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c9cb1251a643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b1ff9297e9484e23"/>
    <x:sheet xmlns:r="http://schemas.openxmlformats.org/officeDocument/2006/relationships" name="Catalogue existant" sheetId="2" r:id="R25d6fe8ec75f4ba3"/>
    <x:sheet xmlns:r="http://schemas.openxmlformats.org/officeDocument/2006/relationships" name="Extension typologies" sheetId="3" r:id="Rc7a539a242cb453f"/>
    <x:sheet xmlns:r="http://schemas.openxmlformats.org/officeDocument/2006/relationships" name="Variantes à concevoir" sheetId="4" r:id="R9ccec23ae0bd4750"/>
    <x:sheet xmlns:r="http://schemas.openxmlformats.org/officeDocument/2006/relationships" name="Chantiers" sheetId="5" r:id="Rab02f78570f8461a"/>
    <x:sheet xmlns:r="http://schemas.openxmlformats.org/officeDocument/2006/relationships" name="Règles seed" sheetId="6" r:id="R52f665f28e974287"/>
    <x:sheet xmlns:r="http://schemas.openxmlformats.org/officeDocument/2006/relationships" name="Familles existantes" sheetId="7" r:id="R2b85b2fcdaf14b57"/>
    <x:sheet xmlns:r="http://schemas.openxmlformats.org/officeDocument/2006/relationships" name="Références" sheetId="8" r:id="R365b52c12c664171"/>
    <x:sheet xmlns:r="http://schemas.openxmlformats.org/officeDocument/2006/relationships" name="Publication" sheetId="9" r:id="R1f36bf7fd3b948de"/>
    <x:sheet xmlns:r="http://schemas.openxmlformats.org/officeDocument/2006/relationships" name="Légende" sheetId="10" r:id="R242747f0be1846ba"/>
    <x:sheet xmlns:r="http://schemas.openxmlformats.org/officeDocument/2006/relationships" name="Références métriques" sheetId="11" r:id="R458357dc5d7d40a6"/>
    <x:sheet xmlns:r="http://schemas.openxmlformats.org/officeDocument/2006/relationships" name="Avancement par type" sheetId="12" r:id="R94eb0ceca1874f79"/>
    <x:sheet xmlns:r="http://schemas.openxmlformats.org/officeDocument/2006/relationships" name="Inspection" sheetId="13" r:id="Rfa5c985834994c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37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2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  <x:xf numFmtId="0" fontId="29" fillId="22" borderId="0" xfId="0" applyNumberFormat="1" applyFont="1" applyFill="1" applyBorder="1" applyAlignment="1">
      <x:alignment vertical="center"/>
    </x:xf>
    <x:xf numFmtId="0" fontId="24" fillId="22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/>
    </x:xf>
    <x:xf numFmtId="0" fontId="29" fillId="22" borderId="0" xfId="0" applyNumberFormat="1" applyFont="1" applyFill="1" applyBorder="1" applyAlignment="1">
      <x:alignment vertical="center" wrapText="1"/>
    </x:xf>
    <x:xf numFmtId="0" fontId="25" fillId="22" borderId="0" xfId="0" applyNumberFormat="1" applyFont="1" applyFill="1" applyBorder="1" applyAlignment="1">
      <x:alignment vertical="center" wrapText="1"/>
    </x:xf>
    <x:xf numFmtId="0" fontId="23" fillId="24" borderId="0" xfId="0" applyNumberFormat="1" applyFont="1" applyFill="1" applyBorder="1" applyAlignment="1">
      <x:alignment vertical="center"/>
    </x:xf>
    <x:xf numFmtId="0" fontId="23" fillId="24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200" fontId="23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200" fontId="26" fillId="25" borderId="0" xfId="0" applyNumberFormat="1" applyFont="1" applyFill="1" applyBorder="1"/>
    <x:xf numFmtId="0" fontId="23" fillId="22" borderId="0" xfId="0" applyNumberFormat="1" applyFont="1" applyFill="1" applyBorder="1" applyAlignment="1">
      <x:alignment vertical="center" wrapText="1"/>
    </x:xf>
    <x:xf numFmtId="0" fontId="27" fillId="22" borderId="0" xfId="0" applyNumberFormat="1" applyFont="1" applyFill="1" applyBorder="1" applyAlignment="1">
      <x:alignment vertical="center" wrapText="1"/>
    </x:xf>
    <x:xf numFmtId="0" fontId="23" fillId="26" borderId="0" xfId="0" applyNumberFormat="1" applyFont="1" applyFill="1" applyBorder="1" applyAlignment="1">
      <x:alignment vertical="center" wrapText="1"/>
    </x:xf>
    <x:xf numFmtId="0" fontId="29" fillId="27" borderId="0" xfId="0" applyNumberFormat="1" applyFont="1" applyFill="1" applyBorder="1" applyAlignment="1">
      <x:alignment vertical="center"/>
    </x:xf>
    <x:xf numFmtId="0" fontId="24" fillId="27" borderId="0" xfId="0" applyNumberFormat="1" applyFont="1" applyFill="1" applyBorder="1" applyAlignment="1">
      <x:alignment vertical="center"/>
    </x:xf>
    <x:xf numFmtId="0" fontId="23" fillId="28" borderId="0" xfId="0" applyNumberFormat="1" applyFont="1" applyFill="1" applyBorder="1" applyAlignment="1">
      <x:alignment vertical="center"/>
    </x:xf>
    <x:xf numFmtId="0" fontId="29" fillId="27" borderId="0" xfId="0" applyNumberFormat="1" applyFont="1" applyFill="1" applyBorder="1" applyAlignment="1">
      <x:alignment vertical="center" wrapText="1"/>
    </x:xf>
    <x:xf numFmtId="0" fontId="25" fillId="27" borderId="0" xfId="0" applyNumberFormat="1" applyFont="1" applyFill="1" applyBorder="1" applyAlignment="1">
      <x:alignment vertical="center" wrapText="1"/>
    </x:xf>
    <x:xf numFmtId="0" fontId="23" fillId="29" borderId="0" xfId="0" applyNumberFormat="1" applyFont="1" applyFill="1" applyBorder="1" applyAlignment="1">
      <x:alignment vertical="center"/>
    </x:xf>
    <x:xf numFmtId="0" fontId="23" fillId="29" borderId="0" xfId="0" applyNumberFormat="1" applyFont="1" applyFill="1" applyBorder="1" applyAlignment="1">
      <x:alignment vertical="center" wrapText="1"/>
    </x:xf>
    <x:xf numFmtId="0" fontId="26" fillId="30" borderId="0" xfId="0" applyNumberFormat="1" applyFont="1" applyFill="1" applyBorder="1"/>
    <x:xf numFmtId="200" fontId="23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0" fontId="26" fillId="30" borderId="0" xfId="0" applyNumberFormat="1" applyFont="1" applyFill="1" applyBorder="1"/>
    <x:xf numFmtId="0" fontId="23" fillId="27" borderId="0" xfId="0" applyNumberFormat="1" applyFont="1" applyFill="1" applyBorder="1" applyAlignment="1">
      <x:alignment vertical="center" wrapText="1"/>
    </x:xf>
    <x:xf numFmtId="0" fontId="27" fillId="27" borderId="0" xfId="0" applyNumberFormat="1" applyFont="1" applyFill="1" applyBorder="1" applyAlignment="1">
      <x:alignment vertical="center" wrapText="1"/>
    </x:xf>
    <x:xf numFmtId="0" fontId="23" fillId="31" borderId="0" xfId="0" applyNumberFormat="1" applyFont="1" applyFill="1" applyBorder="1" applyAlignment="1">
      <x:alignment vertical="center" wrapText="1"/>
    </x:xf>
    <x:xf numFmtId="0" fontId="29" fillId="32" borderId="0" xfId="0" applyNumberFormat="1" applyFont="1" applyFill="1" applyBorder="1" applyAlignment="1">
      <x:alignment vertical="center"/>
    </x:xf>
    <x:xf numFmtId="0" fontId="24" fillId="32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9" fillId="32" borderId="0" xfId="0" applyNumberFormat="1" applyFont="1" applyFill="1" applyBorder="1" applyAlignment="1">
      <x:alignment vertical="center" wrapText="1"/>
    </x:xf>
    <x:xf numFmtId="0" fontId="25" fillId="32" borderId="0" xfId="0" applyNumberFormat="1" applyFont="1" applyFill="1" applyBorder="1" applyAlignment="1">
      <x:alignment vertical="center" wrapText="1"/>
    </x:xf>
    <x:xf numFmtId="0" fontId="23" fillId="34" borderId="0" xfId="0" applyNumberFormat="1" applyFont="1" applyFill="1" applyBorder="1" applyAlignment="1">
      <x:alignment vertical="center"/>
    </x:xf>
    <x:xf numFmtId="0" fontId="23" fillId="34" borderId="0" xfId="0" applyNumberFormat="1" applyFont="1" applyFill="1" applyBorder="1" applyAlignment="1">
      <x:alignment vertical="center" wrapText="1"/>
    </x:xf>
    <x:xf numFmtId="0" fontId="26" fillId="35" borderId="0" xfId="0" applyNumberFormat="1" applyFont="1" applyFill="1" applyBorder="1"/>
    <x:xf numFmtId="200" fontId="23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200" fontId="26" fillId="35" borderId="0" xfId="0" applyNumberFormat="1" applyFont="1" applyFill="1" applyBorder="1"/>
    <x:xf numFmtId="0" fontId="23" fillId="32" borderId="0" xfId="0" applyNumberFormat="1" applyFont="1" applyFill="1" applyBorder="1" applyAlignment="1">
      <x:alignment vertical="center" wrapText="1"/>
    </x:xf>
    <x:xf numFmtId="0" fontId="27" fillId="32" borderId="0" xfId="0" applyNumberFormat="1" applyFont="1" applyFill="1" applyBorder="1" applyAlignment="1">
      <x:alignment vertical="center" wrapText="1"/>
    </x:xf>
    <x:xf numFmtId="0" fontId="23" fillId="3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9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c3e6ea14764eed" /><Relationship Type="http://schemas.openxmlformats.org/officeDocument/2006/relationships/theme" Target="/xl/theme/theme1.xml" Id="R7bc1593055614648" /><Relationship Type="http://schemas.openxmlformats.org/officeDocument/2006/relationships/sharedStrings" Target="/xl/sharedStrings.xml" Id="Rf21289f0fd944176" /><Relationship Type="http://schemas.openxmlformats.org/officeDocument/2006/relationships/worksheet" Target="/xl/worksheets/sheet1.xml" Id="Rb1ff9297e9484e23" /><Relationship Type="http://schemas.openxmlformats.org/officeDocument/2006/relationships/worksheet" Target="/xl/worksheets/sheet2.xml" Id="R25d6fe8ec75f4ba3" /><Relationship Type="http://schemas.openxmlformats.org/officeDocument/2006/relationships/worksheet" Target="/xl/worksheets/sheet3.xml" Id="Rc7a539a242cb453f" /><Relationship Type="http://schemas.openxmlformats.org/officeDocument/2006/relationships/worksheet" Target="/xl/worksheets/sheet4.xml" Id="R9ccec23ae0bd4750" /><Relationship Type="http://schemas.openxmlformats.org/officeDocument/2006/relationships/worksheet" Target="/xl/worksheets/sheet5.xml" Id="Rab02f78570f8461a" /><Relationship Type="http://schemas.openxmlformats.org/officeDocument/2006/relationships/worksheet" Target="/xl/worksheets/sheet6.xml" Id="R52f665f28e974287" /><Relationship Type="http://schemas.openxmlformats.org/officeDocument/2006/relationships/worksheet" Target="/xl/worksheets/sheet7.xml" Id="R2b85b2fcdaf14b57" /><Relationship Type="http://schemas.openxmlformats.org/officeDocument/2006/relationships/worksheet" Target="/xl/worksheets/sheet8.xml" Id="R365b52c12c664171" /><Relationship Type="http://schemas.openxmlformats.org/officeDocument/2006/relationships/worksheet" Target="/xl/worksheets/sheet9.xml" Id="R1f36bf7fd3b948de" /><Relationship Type="http://schemas.openxmlformats.org/officeDocument/2006/relationships/worksheet" Target="/xl/worksheets/sheet10.xml" Id="R242747f0be1846ba" /><Relationship Type="http://schemas.openxmlformats.org/officeDocument/2006/relationships/worksheet" Target="/xl/worksheets/sheet11.xml" Id="R458357dc5d7d40a6" /><Relationship Type="http://schemas.openxmlformats.org/officeDocument/2006/relationships/worksheet" Target="/xl/worksheets/sheet12.xml" Id="R94eb0ceca1874f79" /><Relationship Type="http://schemas.openxmlformats.org/officeDocument/2006/relationships/worksheet" Target="/xl/worksheets/sheet13.xml" Id="Rfa5c985834994c2f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85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0c08de578544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be88acc15d46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434bb1200842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538fb0ccea41a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756497123d42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1c3b978edf743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284b07404ef4db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bf815c3c25a4e3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e7b8e6318dd45b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306291189d8c432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bbab8ad5b4a409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3310f8ef9fb04088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DEADWALL 1.71 · 80 types / 4 000 plans d’inspection auteur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#18.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400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397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4000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0</x:v>
      </x:c>
      <x:c r="L17" s="122"/>
    </x:row>
    <x:row r="18" ht="34" customHeight="1">
      <x:c r="A18" s="90" t="str">
        <x:v>Variantes jouables</x:v>
      </x:c>
      <x:c r="B18" s="90"/>
      <x:c r="C18" s="92" t="n">
        <x:f>COUNTIF('Variantes à concevoir'!J6:J4005,"Oui")</x:f>
        <x:v>0</x:v>
      </x:c>
      <x:c r="D18" s="90" t="str">
        <x:v>Pas de qualification déduite</x:v>
      </x:c>
      <x:c r="E18" s="90"/>
      <x:c r="F18" s="91"/>
      <x:c r="G18" s="91" t="str">
        <x:v>Variantes jouables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80 typologies, 4 000 objectifs et 800 tâches. 3 validations métriques conservées, 397 tâches en cours, 400 à faire.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Les 41 types précédemment absents ont chacun 50 variantes contrôlées. Les 4 000 inspections ne valident pas automatiquement la campagne.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0 type et 0 plan manquant pour la cible d’inspection auteur. Seed, butin, rencontres, services et art définitif restent ouverts ; la persistance de campagne est distincte de la reprise d’inspection.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Cotes publiées, choix de composition auteur et dimensions inconnues restent distingués. Les dimensions auteur ne sont pas des relevés réels.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https://github.com/darknigthmare/deadwall-last-enclosure/blob/f0ef5a2036d4876ae8f4d4477676da968a032d01/codex-3000/originaux/DEADWALL_CODEX_1.22/fiches/DW-0001.md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https://github.com/darknigthmare/deadwall-last-enclosure/blob/f0ef5a2036d4876ae8f4d4477676da968a032d01/codex-3000/originaux/DEADWALL_CODEX_1.22/fiches/DW-0002.md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https://github.com/darknigthmare/deadwall-last-enclosure/blob/f0ef5a2036d4876ae8f4d4477676da968a032d01/codex-3000/originaux/DEADWALL_CODEX_1.22/fiches/DW-0003.md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https://github.com/darknigthmare/deadwall-last-enclosure/blob/f0ef5a2036d4876ae8f4d4477676da968a032d01/codex-3000/originaux/DEADWALL_CODEX_1.22/fiches/DW-0004.md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https://github.com/darknigthmare/deadwall-last-enclosure/blob/f0ef5a2036d4876ae8f4d4477676da968a032d01/codex-3000/originaux/DEADWALL_CODEX_1.22/fiches/DW-0005.md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https://github.com/darknigthmare/deadwall-last-enclosure/blob/f0ef5a2036d4876ae8f4d4477676da968a032d01/codex-3000/originaux/DEADWALL_CODEX_1.22/fiches/DW-0006.md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https://github.com/darknigthmare/deadwall-last-enclosure/blob/f0ef5a2036d4876ae8f4d4477676da968a032d01/codex-3000/originaux/DEADWALL_CODEX_1.22/fiches/DW-0007.md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https://github.com/darknigthmare/deadwall-last-enclosure/blob/f0ef5a2036d4876ae8f4d4477676da968a032d01/codex-3000/originaux/DEADWALL_CODEX_1.22/fiches/DW-0008.md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https://github.com/darknigthmare/deadwall-last-enclosure/blob/f0ef5a2036d4876ae8f4d4477676da968a032d01/codex-3000/originaux/DEADWALL_CODEX_1.22/fiches/DW-0009.md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https://github.com/darknigthmare/deadwall-last-enclosure/blob/f0ef5a2036d4876ae8f4d4477676da968a032d01/codex-3000/originaux/DEADWALL_CODEX_1.22/fiches/DW-0010.md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https://github.com/darknigthmare/deadwall-last-enclosure/blob/f0ef5a2036d4876ae8f4d4477676da968a032d01/codex-3000/originaux/DEADWALL_CODEX_1.22/fiches/DW-0011.md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https://github.com/darknigthmare/deadwall-last-enclosure/blob/f0ef5a2036d4876ae8f4d4477676da968a032d01/codex-3000/originaux/DEADWALL_CODEX_1.22/fiches/DW-0012.md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https://github.com/darknigthmare/deadwall-last-enclosure/blob/f0ef5a2036d4876ae8f4d4477676da968a032d01/codex-3000/originaux/DEADWALL_CODEX_1.22/fiches/DW-0013.md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https://github.com/darknigthmare/deadwall-last-enclosure/blob/f0ef5a2036d4876ae8f4d4477676da968a032d01/codex-3000/originaux/DEADWALL_CODEX_1.22/fiches/DW-0014.md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https://github.com/darknigthmare/deadwall-last-enclosure/blob/f0ef5a2036d4876ae8f4d4477676da968a032d01/codex-3000/originaux/DEADWALL_CODEX_1.22/fiches/DW-0015.md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https://github.com/darknigthmare/deadwall-last-enclosure/blob/f0ef5a2036d4876ae8f4d4477676da968a032d01/codex-3000/originaux/DEADWALL_CODEX_1.22/fiches/DW-0016.md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https://github.com/darknigthmare/deadwall-last-enclosure/blob/f0ef5a2036d4876ae8f4d4477676da968a032d01/codex-3000/originaux/DEADWALL_CODEX_1.22/fiches/DW-0017.md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https://github.com/darknigthmare/deadwall-last-enclosure/blob/f0ef5a2036d4876ae8f4d4477676da968a032d01/codex-3000/originaux/DEADWALL_CODEX_1.22/fiches/DW-0018.md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https://github.com/darknigthmare/deadwall-last-enclosure/blob/f0ef5a2036d4876ae8f4d4477676da968a032d01/codex-3000/originaux/DEADWALL_CODEX_1.22/fiches/DW-0019.md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https://github.com/darknigthmare/deadwall-last-enclosure/blob/f0ef5a2036d4876ae8f4d4477676da968a032d01/codex-3000/originaux/DEADWALL_CODEX_1.22/fiches/DW-0020.md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https://github.com/darknigthmare/deadwall-last-enclosure/blob/f0ef5a2036d4876ae8f4d4477676da968a032d01/codex-3000/originaux/DEADWALL_CODEX_1.22/fiches/DW-0021.md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https://github.com/darknigthmare/deadwall-last-enclosure/blob/f0ef5a2036d4876ae8f4d4477676da968a032d01/codex-3000/originaux/DEADWALL_CODEX_1.22/fiches/DW-0022.md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https://github.com/darknigthmare/deadwall-last-enclosure/blob/f0ef5a2036d4876ae8f4d4477676da968a032d01/codex-3000/originaux/DEADWALL_CODEX_1.22/fiches/DW-0023.md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https://github.com/darknigthmare/deadwall-last-enclosure/blob/f0ef5a2036d4876ae8f4d4477676da968a032d01/codex-3000/originaux/DEADWALL_CODEX_1.22/fiches/DW-0024.md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https://github.com/darknigthmare/deadwall-last-enclosure/blob/f0ef5a2036d4876ae8f4d4477676da968a032d01/codex-3000/originaux/DEADWALL_CODEX_1.22/fiches/DW-0025.md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https://github.com/darknigthmare/deadwall-last-enclosure/blob/f0ef5a2036d4876ae8f4d4477676da968a032d01/codex-3000/originaux/DEADWALL_CODEX_1.22/fiches/DW-0026.md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https://github.com/darknigthmare/deadwall-last-enclosure/blob/f0ef5a2036d4876ae8f4d4477676da968a032d01/codex-3000/originaux/DEADWALL_CODEX_1.22/fiches/DW-0027.md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https://github.com/darknigthmare/deadwall-last-enclosure/blob/f0ef5a2036d4876ae8f4d4477676da968a032d01/codex-3000/originaux/DEADWALL_CODEX_1.22/fiches/DW-0028.md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https://github.com/darknigthmare/deadwall-last-enclosure/blob/f0ef5a2036d4876ae8f4d4477676da968a032d01/codex-3000/originaux/DEADWALL_CODEX_1.22/fiches/DW-0029.md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https://github.com/darknigthmare/deadwall-last-enclosure/blob/f0ef5a2036d4876ae8f4d4477676da968a032d01/codex-3000/originaux/DEADWALL_CODEX_1.22/fiches/DW-0030.md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https://github.com/darknigthmare/deadwall-last-enclosure/blob/f0ef5a2036d4876ae8f4d4477676da968a032d01/codex-3000/originaux/DEADWALL_CODEX_1.22/fiches/DW-0031.md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https://github.com/darknigthmare/deadwall-last-enclosure/blob/f0ef5a2036d4876ae8f4d4477676da968a032d01/codex-3000/originaux/DEADWALL_CODEX_1.22/fiches/DW-0032.md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https://github.com/darknigthmare/deadwall-last-enclosure/blob/f0ef5a2036d4876ae8f4d4477676da968a032d01/codex-3000/originaux/DEADWALL_CODEX_1.22/fiches/DW-0033.md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https://github.com/darknigthmare/deadwall-last-enclosure/blob/f0ef5a2036d4876ae8f4d4477676da968a032d01/codex-3000/originaux/DEADWALL_CODEX_1.22/fiches/DW-0034.md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https://github.com/darknigthmare/deadwall-last-enclosure/blob/f0ef5a2036d4876ae8f4d4477676da968a032d01/codex-3000/originaux/DEADWALL_CODEX_1.22/fiches/DW-0035.md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https://github.com/darknigthmare/deadwall-last-enclosure/blob/f0ef5a2036d4876ae8f4d4477676da968a032d01/codex-3000/originaux/DEADWALL_CODEX_1.22/fiches/DW-0036.md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https://github.com/darknigthmare/deadwall-last-enclosure/blob/f0ef5a2036d4876ae8f4d4477676da968a032d01/codex-3000/originaux/DEADWALL_CODEX_1.22/fiches/DW-0037.md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https://github.com/darknigthmare/deadwall-last-enclosure/blob/f0ef5a2036d4876ae8f4d4477676da968a032d01/codex-3000/originaux/DEADWALL_CODEX_1.22/fiches/DW-0038.md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https://github.com/darknigthmare/deadwall-last-enclosure/blob/f0ef5a2036d4876ae8f4d4477676da968a032d01/codex-3000/originaux/DEADWALL_CODEX_1.22/fiches/DW-0039.md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https://github.com/darknigthmare/deadwall-last-enclosure/blob/f0ef5a2036d4876ae8f4d4477676da968a032d01/codex-3000/originaux/DEADWALL_CODEX_1.22/fiches/DW-0040.md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https://github.com/darknigthmare/deadwall-last-enclosure/blob/f0ef5a2036d4876ae8f4d4477676da968a032d01/codex-3000/originaux/DEADWALL_CODEX_1.22/fiches/DW-0041.md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https://github.com/darknigthmare/deadwall-last-enclosure/blob/f0ef5a2036d4876ae8f4d4477676da968a032d01/codex-3000/originaux/DEADWALL_CODEX_1.22/fiches/DW-0042.md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https://github.com/darknigthmare/deadwall-last-enclosure/blob/f0ef5a2036d4876ae8f4d4477676da968a032d01/codex-3000/originaux/DEADWALL_CODEX_1.22/fiches/DW-0043.md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https://github.com/darknigthmare/deadwall-last-enclosure/blob/f0ef5a2036d4876ae8f4d4477676da968a032d01/codex-3000/originaux/DEADWALL_CODEX_1.22/fiches/DW-0044.md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https://github.com/darknigthmare/deadwall-last-enclosure/blob/f0ef5a2036d4876ae8f4d4477676da968a032d01/codex-3000/originaux/DEADWALL_CODEX_1.22/fiches/DW-0045.md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https://github.com/darknigthmare/deadwall-last-enclosure/blob/f0ef5a2036d4876ae8f4d4477676da968a032d01/codex-3000/originaux/DEADWALL_CODEX_1.22/fiches/DW-0046.md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https://github.com/darknigthmare/deadwall-last-enclosure/blob/f0ef5a2036d4876ae8f4d4477676da968a032d01/codex-3000/originaux/DEADWALL_CODEX_1.22/fiches/DW-0047.md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https://github.com/darknigthmare/deadwall-last-enclosure/blob/f0ef5a2036d4876ae8f4d4477676da968a032d01/codex-3000/originaux/DEADWALL_CODEX_1.22/fiches/DW-0048.md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https://github.com/darknigthmare/deadwall-last-enclosure/blob/f0ef5a2036d4876ae8f4d4477676da968a032d01/codex-3000/originaux/DEADWALL_CODEX_1.22/fiches/DW-0049.md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https://github.com/darknigthmare/deadwall-last-enclosure/blob/f0ef5a2036d4876ae8f4d4477676da968a032d01/codex-3000/originaux/DEADWALL_CODEX_1.22/fiches/DW-0050.md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https://github.com/darknigthmare/deadwall-last-enclosure/blob/f0ef5a2036d4876ae8f4d4477676da968a032d01/codex-3000/originaux/DEADWALL_CODEX_1.22/fiches/DW-0051.md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https://github.com/darknigthmare/deadwall-last-enclosure/blob/f0ef5a2036d4876ae8f4d4477676da968a032d01/codex-3000/originaux/DEADWALL_CODEX_1.22/fiches/DW-0052.md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https://github.com/darknigthmare/deadwall-last-enclosure/blob/f0ef5a2036d4876ae8f4d4477676da968a032d01/codex-3000/originaux/DEADWALL_CODEX_1.22/fiches/DW-0053.md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https://github.com/darknigthmare/deadwall-last-enclosure/blob/f0ef5a2036d4876ae8f4d4477676da968a032d01/codex-3000/originaux/DEADWALL_CODEX_1.22/fiches/DW-0054.md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https://github.com/darknigthmare/deadwall-last-enclosure/blob/f0ef5a2036d4876ae8f4d4477676da968a032d01/codex-3000/originaux/DEADWALL_CODEX_1.22/fiches/DW-0055.md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https://github.com/darknigthmare/deadwall-last-enclosure/blob/f0ef5a2036d4876ae8f4d4477676da968a032d01/codex-3000/originaux/DEADWALL_CODEX_1.22/fiches/DW-0056.md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https://github.com/darknigthmare/deadwall-last-enclosure/blob/f0ef5a2036d4876ae8f4d4477676da968a032d01/codex-3000/originaux/DEADWALL_CODEX_1.22/fiches/DW-0057.md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https://github.com/darknigthmare/deadwall-last-enclosure/blob/f0ef5a2036d4876ae8f4d4477676da968a032d01/codex-3000/originaux/DEADWALL_CODEX_1.22/fiches/DW-0058.md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https://github.com/darknigthmare/deadwall-last-enclosure/blob/f0ef5a2036d4876ae8f4d4477676da968a032d01/codex-3000/originaux/DEADWALL_CODEX_1.22/fiches/DW-0059.md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https://github.com/darknigthmare/deadwall-last-enclosure/blob/f0ef5a2036d4876ae8f4d4477676da968a032d01/codex-3000/originaux/DEADWALL_CODEX_1.22/fiches/DW-0060.md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https://github.com/darknigthmare/deadwall-last-enclosure/blob/f0ef5a2036d4876ae8f4d4477676da968a032d01/codex-3000/originaux/DEADWALL_CODEX_1.22/fiches/DW-0061.md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https://github.com/darknigthmare/deadwall-last-enclosure/blob/f0ef5a2036d4876ae8f4d4477676da968a032d01/codex-3000/originaux/DEADWALL_CODEX_1.22/fiches/DW-0062.md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https://github.com/darknigthmare/deadwall-last-enclosure/blob/f0ef5a2036d4876ae8f4d4477676da968a032d01/codex-3000/originaux/DEADWALL_CODEX_1.22/fiches/DW-0063.md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https://github.com/darknigthmare/deadwall-last-enclosure/blob/f0ef5a2036d4876ae8f4d4477676da968a032d01/codex-3000/originaux/DEADWALL_CODEX_1.22/fiches/DW-0064.md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https://github.com/darknigthmare/deadwall-last-enclosure/blob/f0ef5a2036d4876ae8f4d4477676da968a032d01/codex-3000/originaux/DEADWALL_CODEX_1.22/fiches/DW-0065.md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https://github.com/darknigthmare/deadwall-last-enclosure/blob/f0ef5a2036d4876ae8f4d4477676da968a032d01/codex-3000/originaux/DEADWALL_CODEX_1.22/fiches/DW-0066.md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https://github.com/darknigthmare/deadwall-last-enclosure/blob/f0ef5a2036d4876ae8f4d4477676da968a032d01/codex-3000/originaux/DEADWALL_CODEX_1.22/fiches/DW-0067.md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https://github.com/darknigthmare/deadwall-last-enclosure/blob/f0ef5a2036d4876ae8f4d4477676da968a032d01/codex-3000/originaux/DEADWALL_CODEX_1.22/fiches/DW-0068.md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https://github.com/darknigthmare/deadwall-last-enclosure/blob/f0ef5a2036d4876ae8f4d4477676da968a032d01/codex-3000/originaux/DEADWALL_CODEX_1.22/fiches/DW-0069.md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https://github.com/darknigthmare/deadwall-last-enclosure/blob/f0ef5a2036d4876ae8f4d4477676da968a032d01/codex-3000/originaux/DEADWALL_CODEX_1.22/fiches/DW-0070.md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https://github.com/darknigthmare/deadwall-last-enclosure/blob/f0ef5a2036d4876ae8f4d4477676da968a032d01/codex-3000/originaux/DEADWALL_CODEX_1.22/fiches/DW-0071.md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https://github.com/darknigthmare/deadwall-last-enclosure/blob/f0ef5a2036d4876ae8f4d4477676da968a032d01/codex-3000/originaux/DEADWALL_CODEX_1.22/fiches/DW-0072.md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https://github.com/darknigthmare/deadwall-last-enclosure/blob/f0ef5a2036d4876ae8f4d4477676da968a032d01/codex-3000/originaux/DEADWALL_CODEX_1.22/fiches/DW-0073.md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https://github.com/darknigthmare/deadwall-last-enclosure/blob/f0ef5a2036d4876ae8f4d4477676da968a032d01/codex-3000/originaux/DEADWALL_CODEX_1.22/fiches/DW-0074.md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https://github.com/darknigthmare/deadwall-last-enclosure/blob/f0ef5a2036d4876ae8f4d4477676da968a032d01/codex-3000/originaux/DEADWALL_CODEX_1.22/fiches/DW-0075.md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https://github.com/darknigthmare/deadwall-last-enclosure/blob/f0ef5a2036d4876ae8f4d4477676da968a032d01/codex-3000/originaux/DEADWALL_CODEX_1.22/fiches/DW-0076.md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https://github.com/darknigthmare/deadwall-last-enclosure/blob/f0ef5a2036d4876ae8f4d4477676da968a032d01/codex-3000/originaux/DEADWALL_CODEX_1.22/fiches/DW-0077.md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https://github.com/darknigthmare/deadwall-last-enclosure/blob/f0ef5a2036d4876ae8f4d4477676da968a032d01/codex-3000/originaux/DEADWALL_CODEX_1.22/fiches/DW-0078.md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https://github.com/darknigthmare/deadwall-last-enclosure/blob/f0ef5a2036d4876ae8f4d4477676da968a032d01/codex-3000/originaux/DEADWALL_CODEX_1.22/fiches/DW-0079.md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https://github.com/darknigthmare/deadwall-last-enclosure/blob/f0ef5a2036d4876ae8f4d4477676da968a032d01/codex-3000/originaux/DEADWALL_CODEX_1.22/fiches/DW-0080.md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https://github.com/darknigthmare/deadwall-last-enclosure/blob/f0ef5a2036d4876ae8f4d4477676da968a032d01/codex-3000/originaux/DEADWALL_CODEX_1.22/fiches/DW-0081.md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https://github.com/darknigthmare/deadwall-last-enclosure/blob/f0ef5a2036d4876ae8f4d4477676da968a032d01/codex-3000/originaux/DEADWALL_CODEX_1.22/fiches/DW-0082.md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https://github.com/darknigthmare/deadwall-last-enclosure/blob/f0ef5a2036d4876ae8f4d4477676da968a032d01/codex-3000/originaux/DEADWALL_CODEX_1.22/fiches/DW-0083.md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https://github.com/darknigthmare/deadwall-last-enclosure/blob/f0ef5a2036d4876ae8f4d4477676da968a032d01/codex-3000/originaux/DEADWALL_CODEX_1.22/fiches/DW-0084.md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https://github.com/darknigthmare/deadwall-last-enclosure/blob/f0ef5a2036d4876ae8f4d4477676da968a032d01/codex-3000/originaux/DEADWALL_CODEX_1.22/fiches/DW-0085.md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https://github.com/darknigthmare/deadwall-last-enclosure/blob/f0ef5a2036d4876ae8f4d4477676da968a032d01/codex-3000/originaux/DEADWALL_CODEX_1.22/fiches/DW-0086.md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https://github.com/darknigthmare/deadwall-last-enclosure/blob/f0ef5a2036d4876ae8f4d4477676da968a032d01/codex-3000/originaux/DEADWALL_CODEX_1.22/fiches/DW-0087.md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https://github.com/darknigthmare/deadwall-last-enclosure/blob/f0ef5a2036d4876ae8f4d4477676da968a032d01/codex-3000/originaux/DEADWALL_CODEX_1.22/fiches/DW-0088.md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https://github.com/darknigthmare/deadwall-last-enclosure/blob/f0ef5a2036d4876ae8f4d4477676da968a032d01/codex-3000/originaux/DEADWALL_CODEX_1.22/fiches/DW-0089.md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https://github.com/darknigthmare/deadwall-last-enclosure/blob/f0ef5a2036d4876ae8f4d4477676da968a032d01/codex-3000/originaux/DEADWALL_CODEX_1.22/fiches/DW-0090.md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https://github.com/darknigthmare/deadwall-last-enclosure/blob/f0ef5a2036d4876ae8f4d4477676da968a032d01/codex-3000/originaux/DEADWALL_CODEX_1.22/fiches/DW-0091.md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https://github.com/darknigthmare/deadwall-last-enclosure/blob/f0ef5a2036d4876ae8f4d4477676da968a032d01/codex-3000/originaux/DEADWALL_CODEX_1.22/fiches/DW-0092.md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https://github.com/darknigthmare/deadwall-last-enclosure/blob/f0ef5a2036d4876ae8f4d4477676da968a032d01/codex-3000/originaux/DEADWALL_CODEX_1.22/fiches/DW-0093.md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https://github.com/darknigthmare/deadwall-last-enclosure/blob/f0ef5a2036d4876ae8f4d4477676da968a032d01/codex-3000/originaux/DEADWALL_CODEX_1.22/fiches/DW-0094.md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https://github.com/darknigthmare/deadwall-last-enclosure/blob/f0ef5a2036d4876ae8f4d4477676da968a032d01/codex-3000/originaux/DEADWALL_CODEX_1.22/fiches/DW-0095.md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https://github.com/darknigthmare/deadwall-last-enclosure/blob/f0ef5a2036d4876ae8f4d4477676da968a032d01/codex-3000/originaux/DEADWALL_CODEX_1.22/fiches/DW-0096.md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https://github.com/darknigthmare/deadwall-last-enclosure/blob/f0ef5a2036d4876ae8f4d4477676da968a032d01/codex-3000/originaux/DEADWALL_CODEX_1.22/fiches/DW-0097.md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https://github.com/darknigthmare/deadwall-last-enclosure/blob/f0ef5a2036d4876ae8f4d4477676da968a032d01/codex-3000/originaux/DEADWALL_CODEX_1.22/fiches/DW-0098.md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https://github.com/darknigthmare/deadwall-last-enclosure/blob/f0ef5a2036d4876ae8f4d4477676da968a032d01/codex-3000/originaux/DEADWALL_CODEX_1.22/fiches/DW-0099.md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https://github.com/darknigthmare/deadwall-last-enclosure/blob/f0ef5a2036d4876ae8f4d4477676da968a032d01/codex-3000/originaux/DEADWALL_CODEX_1.22/fiches/DW-0100.md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https://github.com/darknigthmare/deadwall-last-enclosure/blob/f0ef5a2036d4876ae8f4d4477676da968a032d01/codex-3000/originaux/DEADWALL_CODEX_1.22/fiches/DW-0101.md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https://github.com/darknigthmare/deadwall-last-enclosure/blob/f0ef5a2036d4876ae8f4d4477676da968a032d01/codex-3000/originaux/DEADWALL_CODEX_1.22/fiches/DW-0102.md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https://github.com/darknigthmare/deadwall-last-enclosure/blob/f0ef5a2036d4876ae8f4d4477676da968a032d01/codex-3000/originaux/DEADWALL_CODEX_1.22/fiches/DW-0103.md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https://github.com/darknigthmare/deadwall-last-enclosure/blob/f0ef5a2036d4876ae8f4d4477676da968a032d01/codex-3000/originaux/DEADWALL_CODEX_1.22/fiches/DW-0104.md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https://github.com/darknigthmare/deadwall-last-enclosure/blob/f0ef5a2036d4876ae8f4d4477676da968a032d01/codex-3000/originaux/DEADWALL_CODEX_1.22/fiches/DW-0105.md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https://github.com/darknigthmare/deadwall-last-enclosure/blob/f0ef5a2036d4876ae8f4d4477676da968a032d01/codex-3000/originaux/DEADWALL_CODEX_1.22/fiches/DW-0106.md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https://github.com/darknigthmare/deadwall-last-enclosure/blob/f0ef5a2036d4876ae8f4d4477676da968a032d01/codex-3000/originaux/DEADWALL_CODEX_1.22/fiches/DW-0107.md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https://github.com/darknigthmare/deadwall-last-enclosure/blob/f0ef5a2036d4876ae8f4d4477676da968a032d01/codex-3000/originaux/DEADWALL_CODEX_1.22/fiches/DW-0108.md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https://github.com/darknigthmare/deadwall-last-enclosure/blob/f0ef5a2036d4876ae8f4d4477676da968a032d01/codex-3000/originaux/DEADWALL_CODEX_1.22/fiches/DW-0109.md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https://github.com/darknigthmare/deadwall-last-enclosure/blob/f0ef5a2036d4876ae8f4d4477676da968a032d01/codex-3000/originaux/DEADWALL_CODEX_1.22/fiches/DW-0110.md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https://github.com/darknigthmare/deadwall-last-enclosure/blob/f0ef5a2036d4876ae8f4d4477676da968a032d01/codex-3000/originaux/DEADWALL_CODEX_1.22/fiches/DW-0111.md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https://github.com/darknigthmare/deadwall-last-enclosure/blob/f0ef5a2036d4876ae8f4d4477676da968a032d01/codex-3000/originaux/DEADWALL_CODEX_1.22/fiches/DW-0112.md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https://github.com/darknigthmare/deadwall-last-enclosure/blob/f0ef5a2036d4876ae8f4d4477676da968a032d01/codex-3000/originaux/DEADWALL_CODEX_1.22/fiches/DW-0113.md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https://github.com/darknigthmare/deadwall-last-enclosure/blob/f0ef5a2036d4876ae8f4d4477676da968a032d01/codex-3000/originaux/DEADWALL_CODEX_1.22/fiches/DW-0114.md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https://github.com/darknigthmare/deadwall-last-enclosure/blob/f0ef5a2036d4876ae8f4d4477676da968a032d01/codex-3000/originaux/DEADWALL_CODEX_1.22/fiches/DW-0115.md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https://github.com/darknigthmare/deadwall-last-enclosure/blob/f0ef5a2036d4876ae8f4d4477676da968a032d01/codex-3000/originaux/DEADWALL_CODEX_1.22/fiches/DW-0116.md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https://github.com/darknigthmare/deadwall-last-enclosure/blob/f0ef5a2036d4876ae8f4d4477676da968a032d01/codex-3000/originaux/DEADWALL_CODEX_1.22/fiches/DW-0117.md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https://github.com/darknigthmare/deadwall-last-enclosure/blob/f0ef5a2036d4876ae8f4d4477676da968a032d01/codex-3000/originaux/DEADWALL_CODEX_1.22/fiches/DW-0118.md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https://github.com/darknigthmare/deadwall-last-enclosure/blob/f0ef5a2036d4876ae8f4d4477676da968a032d01/codex-3000/originaux/DEADWALL_CODEX_1.22/fiches/DW-0119.md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https://github.com/darknigthmare/deadwall-last-enclosure/blob/f0ef5a2036d4876ae8f4d4477676da968a032d01/codex-3000/originaux/DEADWALL_CODEX_1.22/fiches/DW-0120.md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https://github.com/darknigthmare/deadwall-last-enclosure/blob/f0ef5a2036d4876ae8f4d4477676da968a032d01/codex-3000/originaux/DEADWALL_CODEX_1.22/fiches/DW-0121.md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https://github.com/darknigthmare/deadwall-last-enclosure/blob/f0ef5a2036d4876ae8f4d4477676da968a032d01/codex-3000/originaux/DEADWALL_CODEX_1.22/fiches/DW-0122.md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https://github.com/darknigthmare/deadwall-last-enclosure/blob/f0ef5a2036d4876ae8f4d4477676da968a032d01/codex-3000/originaux/DEADWALL_CODEX_1.22/fiches/DW-0123.md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https://github.com/darknigthmare/deadwall-last-enclosure/blob/f0ef5a2036d4876ae8f4d4477676da968a032d01/codex-3000/originaux/DEADWALL_CODEX_1.22/fiches/DW-0124.md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https://github.com/darknigthmare/deadwall-last-enclosure/blob/f0ef5a2036d4876ae8f4d4477676da968a032d01/codex-3000/originaux/DEADWALL_CODEX_1.22/fiches/DW-0125.md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https://github.com/darknigthmare/deadwall-last-enclosure/blob/f0ef5a2036d4876ae8f4d4477676da968a032d01/codex-3000/originaux/DEADWALL_CODEX_1.22/fiches/DW-0126.md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https://github.com/darknigthmare/deadwall-last-enclosure/blob/f0ef5a2036d4876ae8f4d4477676da968a032d01/codex-3000/originaux/DEADWALL_CODEX_1.22/fiches/DW-0127.md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https://github.com/darknigthmare/deadwall-last-enclosure/blob/f0ef5a2036d4876ae8f4d4477676da968a032d01/codex-3000/originaux/DEADWALL_CODEX_1.22/fiches/DW-0128.md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https://github.com/darknigthmare/deadwall-last-enclosure/blob/f0ef5a2036d4876ae8f4d4477676da968a032d01/codex-3000/originaux/DEADWALL_CODEX_1.22/fiches/DW-0129.md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https://github.com/darknigthmare/deadwall-last-enclosure/blob/f0ef5a2036d4876ae8f4d4477676da968a032d01/codex-3000/originaux/DEADWALL_CODEX_1.22/fiches/DW-0130.md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https://github.com/darknigthmare/deadwall-last-enclosure/blob/f0ef5a2036d4876ae8f4d4477676da968a032d01/codex-3000/originaux/DEADWALL_CODEX_1.22/fiches/DW-0131.md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https://github.com/darknigthmare/deadwall-last-enclosure/blob/f0ef5a2036d4876ae8f4d4477676da968a032d01/codex-3000/originaux/DEADWALL_CODEX_1.22/fiches/DW-0132.md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https://github.com/darknigthmare/deadwall-last-enclosure/blob/f0ef5a2036d4876ae8f4d4477676da968a032d01/codex-3000/originaux/DEADWALL_CODEX_1.22/fiches/DW-0133.md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https://github.com/darknigthmare/deadwall-last-enclosure/blob/f0ef5a2036d4876ae8f4d4477676da968a032d01/codex-3000/originaux/DEADWALL_CODEX_1.22/fiches/DW-0134.md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https://github.com/darknigthmare/deadwall-last-enclosure/blob/f0ef5a2036d4876ae8f4d4477676da968a032d01/codex-3000/originaux/DEADWALL_CODEX_1.22/fiches/DW-0135.md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https://github.com/darknigthmare/deadwall-last-enclosure/blob/f0ef5a2036d4876ae8f4d4477676da968a032d01/codex-3000/originaux/DEADWALL_CODEX_1.22/fiches/DW-0136.md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https://github.com/darknigthmare/deadwall-last-enclosure/blob/f0ef5a2036d4876ae8f4d4477676da968a032d01/codex-3000/originaux/DEADWALL_CODEX_1.22/fiches/DW-0137.md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https://github.com/darknigthmare/deadwall-last-enclosure/blob/f0ef5a2036d4876ae8f4d4477676da968a032d01/codex-3000/originaux/DEADWALL_CODEX_1.22/fiches/DW-0138.md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https://github.com/darknigthmare/deadwall-last-enclosure/blob/f0ef5a2036d4876ae8f4d4477676da968a032d01/codex-3000/originaux/DEADWALL_CODEX_1.22/fiches/DW-0139.md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https://github.com/darknigthmare/deadwall-last-enclosure/blob/f0ef5a2036d4876ae8f4d4477676da968a032d01/codex-3000/originaux/DEADWALL_CODEX_1.22/fiches/DW-0140.md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https://github.com/darknigthmare/deadwall-last-enclosure/blob/f0ef5a2036d4876ae8f4d4477676da968a032d01/codex-3000/originaux/DEADWALL_CODEX_1.22/fiches/DW-0141.md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https://github.com/darknigthmare/deadwall-last-enclosure/blob/f0ef5a2036d4876ae8f4d4477676da968a032d01/codex-3000/originaux/DEADWALL_CODEX_1.22/fiches/DW-0142.md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https://github.com/darknigthmare/deadwall-last-enclosure/blob/f0ef5a2036d4876ae8f4d4477676da968a032d01/codex-3000/originaux/DEADWALL_CODEX_1.22/fiches/DW-0143.md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https://github.com/darknigthmare/deadwall-last-enclosure/blob/f0ef5a2036d4876ae8f4d4477676da968a032d01/codex-3000/originaux/DEADWALL_CODEX_1.22/fiches/DW-0144.md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https://github.com/darknigthmare/deadwall-last-enclosure/blob/f0ef5a2036d4876ae8f4d4477676da968a032d01/codex-3000/originaux/DEADWALL_CODEX_1.22/fiches/DW-0145.md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https://github.com/darknigthmare/deadwall-last-enclosure/blob/f0ef5a2036d4876ae8f4d4477676da968a032d01/codex-3000/originaux/DEADWALL_CODEX_1.22/fiches/DW-0146.md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https://github.com/darknigthmare/deadwall-last-enclosure/blob/f0ef5a2036d4876ae8f4d4477676da968a032d01/codex-3000/originaux/DEADWALL_CODEX_1.22/fiches/DW-0147.md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https://github.com/darknigthmare/deadwall-last-enclosure/blob/f0ef5a2036d4876ae8f4d4477676da968a032d01/codex-3000/originaux/DEADWALL_CODEX_1.22/fiches/DW-0148.md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https://github.com/darknigthmare/deadwall-last-enclosure/blob/f0ef5a2036d4876ae8f4d4477676da968a032d01/codex-3000/originaux/DEADWALL_CODEX_1.22/fiches/DW-0149.md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https://github.com/darknigthmare/deadwall-last-enclosure/blob/f0ef5a2036d4876ae8f4d4477676da968a032d01/codex-3000/originaux/DEADWALL_CODEX_1.22/fiches/DW-0150.md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https://github.com/darknigthmare/deadwall-last-enclosure/blob/f0ef5a2036d4876ae8f4d4477676da968a032d01/codex-3000/originaux/DEADWALL_CODEX_1.22/fiches/DW-0151.md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https://github.com/darknigthmare/deadwall-last-enclosure/blob/f0ef5a2036d4876ae8f4d4477676da968a032d01/codex-3000/originaux/DEADWALL_CODEX_1.22/fiches/DW-0152.md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https://github.com/darknigthmare/deadwall-last-enclosure/blob/f0ef5a2036d4876ae8f4d4477676da968a032d01/codex-3000/originaux/DEADWALL_CODEX_1.22/fiches/DW-0153.md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https://github.com/darknigthmare/deadwall-last-enclosure/blob/f0ef5a2036d4876ae8f4d4477676da968a032d01/codex-3000/originaux/DEADWALL_CODEX_1.22/fiches/DW-0154.md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https://github.com/darknigthmare/deadwall-last-enclosure/blob/f0ef5a2036d4876ae8f4d4477676da968a032d01/codex-3000/originaux/DEADWALL_CODEX_1.22/fiches/DW-0155.md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https://github.com/darknigthmare/deadwall-last-enclosure/blob/f0ef5a2036d4876ae8f4d4477676da968a032d01/codex-3000/originaux/DEADWALL_CODEX_1.22/fiches/DW-0156.md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https://github.com/darknigthmare/deadwall-last-enclosure/blob/f0ef5a2036d4876ae8f4d4477676da968a032d01/codex-3000/originaux/DEADWALL_CODEX_1.22/fiches/DW-0157.md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https://github.com/darknigthmare/deadwall-last-enclosure/blob/f0ef5a2036d4876ae8f4d4477676da968a032d01/codex-3000/originaux/DEADWALL_CODEX_1.22/fiches/DW-0158.md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https://github.com/darknigthmare/deadwall-last-enclosure/blob/f0ef5a2036d4876ae8f4d4477676da968a032d01/codex-3000/originaux/DEADWALL_CODEX_1.22/fiches/DW-0159.md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https://github.com/darknigthmare/deadwall-last-enclosure/blob/f0ef5a2036d4876ae8f4d4477676da968a032d01/codex-3000/originaux/DEADWALL_CODEX_1.22/fiches/DW-0160.md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https://github.com/darknigthmare/deadwall-last-enclosure/blob/f0ef5a2036d4876ae8f4d4477676da968a032d01/codex-3000/originaux/DEADWALL_CODEX_1.22/fiches/DW-0161.md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https://github.com/darknigthmare/deadwall-last-enclosure/blob/f0ef5a2036d4876ae8f4d4477676da968a032d01/codex-3000/originaux/DEADWALL_CODEX_1.22/fiches/DW-0162.md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https://github.com/darknigthmare/deadwall-last-enclosure/blob/f0ef5a2036d4876ae8f4d4477676da968a032d01/codex-3000/originaux/DEADWALL_CODEX_1.22/fiches/DW-0163.md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https://github.com/darknigthmare/deadwall-last-enclosure/blob/f0ef5a2036d4876ae8f4d4477676da968a032d01/codex-3000/originaux/DEADWALL_CODEX_1.22/fiches/DW-0164.md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https://github.com/darknigthmare/deadwall-last-enclosure/blob/f0ef5a2036d4876ae8f4d4477676da968a032d01/codex-3000/originaux/DEADWALL_CODEX_1.22/fiches/DW-0165.md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https://github.com/darknigthmare/deadwall-last-enclosure/blob/f0ef5a2036d4876ae8f4d4477676da968a032d01/codex-3000/originaux/DEADWALL_CODEX_1.22/fiches/DW-0166.md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https://github.com/darknigthmare/deadwall-last-enclosure/blob/f0ef5a2036d4876ae8f4d4477676da968a032d01/codex-3000/originaux/DEADWALL_CODEX_1.22/fiches/DW-0167.md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https://github.com/darknigthmare/deadwall-last-enclosure/blob/f0ef5a2036d4876ae8f4d4477676da968a032d01/codex-3000/originaux/DEADWALL_CODEX_1.22/fiches/DW-0168.md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https://github.com/darknigthmare/deadwall-last-enclosure/blob/f0ef5a2036d4876ae8f4d4477676da968a032d01/codex-3000/originaux/DEADWALL_CODEX_1.22/fiches/DW-0169.md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https://github.com/darknigthmare/deadwall-last-enclosure/blob/f0ef5a2036d4876ae8f4d4477676da968a032d01/codex-3000/originaux/DEADWALL_CODEX_1.22/fiches/DW-0170.md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https://github.com/darknigthmare/deadwall-last-enclosure/blob/f0ef5a2036d4876ae8f4d4477676da968a032d01/codex-3000/originaux/DEADWALL_CODEX_1.22/fiches/DW-0171.md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https://github.com/darknigthmare/deadwall-last-enclosure/blob/f0ef5a2036d4876ae8f4d4477676da968a032d01/codex-3000/originaux/DEADWALL_CODEX_1.22/fiches/DW-0172.md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https://github.com/darknigthmare/deadwall-last-enclosure/blob/f0ef5a2036d4876ae8f4d4477676da968a032d01/codex-3000/originaux/DEADWALL_CODEX_1.22/fiches/DW-0173.md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https://github.com/darknigthmare/deadwall-last-enclosure/blob/f0ef5a2036d4876ae8f4d4477676da968a032d01/codex-3000/originaux/DEADWALL_CODEX_1.22/fiches/DW-0174.md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https://github.com/darknigthmare/deadwall-last-enclosure/blob/f0ef5a2036d4876ae8f4d4477676da968a032d01/codex-3000/originaux/DEADWALL_CODEX_1.22/fiches/DW-0175.md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https://github.com/darknigthmare/deadwall-last-enclosure/blob/f0ef5a2036d4876ae8f4d4477676da968a032d01/codex-3000/originaux/DEADWALL_CODEX_1.22/fiches/DW-0176.md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https://github.com/darknigthmare/deadwall-last-enclosure/blob/f0ef5a2036d4876ae8f4d4477676da968a032d01/codex-3000/originaux/DEADWALL_CODEX_1.22/fiches/DW-0177.md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https://github.com/darknigthmare/deadwall-last-enclosure/blob/f0ef5a2036d4876ae8f4d4477676da968a032d01/codex-3000/originaux/DEADWALL_CODEX_1.22/fiches/DW-0178.md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https://github.com/darknigthmare/deadwall-last-enclosure/blob/f0ef5a2036d4876ae8f4d4477676da968a032d01/codex-3000/originaux/DEADWALL_CODEX_1.22/fiches/DW-0179.md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https://github.com/darknigthmare/deadwall-last-enclosure/blob/f0ef5a2036d4876ae8f4d4477676da968a032d01/codex-3000/originaux/DEADWALL_CODEX_1.22/fiches/DW-0180.md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https://github.com/darknigthmare/deadwall-last-enclosure/blob/f0ef5a2036d4876ae8f4d4477676da968a032d01/codex-3000/originaux/DEADWALL_CODEX_1.22/fiches/DW-0181.md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https://github.com/darknigthmare/deadwall-last-enclosure/blob/f0ef5a2036d4876ae8f4d4477676da968a032d01/codex-3000/originaux/DEADWALL_CODEX_1.22/fiches/DW-0182.md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https://github.com/darknigthmare/deadwall-last-enclosure/blob/f0ef5a2036d4876ae8f4d4477676da968a032d01/codex-3000/originaux/DEADWALL_CODEX_1.22/fiches/DW-0183.md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https://github.com/darknigthmare/deadwall-last-enclosure/blob/f0ef5a2036d4876ae8f4d4477676da968a032d01/codex-3000/originaux/DEADWALL_CODEX_1.22/fiches/DW-0184.md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https://github.com/darknigthmare/deadwall-last-enclosure/blob/f0ef5a2036d4876ae8f4d4477676da968a032d01/codex-3000/originaux/DEADWALL_CODEX_1.22/fiches/DW-0185.md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https://github.com/darknigthmare/deadwall-last-enclosure/blob/f0ef5a2036d4876ae8f4d4477676da968a032d01/codex-3000/originaux/DEADWALL_CODEX_1.22/fiches/DW-0186.md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https://github.com/darknigthmare/deadwall-last-enclosure/blob/f0ef5a2036d4876ae8f4d4477676da968a032d01/codex-3000/originaux/DEADWALL_CODEX_1.22/fiches/DW-0187.md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https://github.com/darknigthmare/deadwall-last-enclosure/blob/f0ef5a2036d4876ae8f4d4477676da968a032d01/codex-3000/originaux/DEADWALL_CODEX_1.22/fiches/DW-0188.md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https://github.com/darknigthmare/deadwall-last-enclosure/blob/f0ef5a2036d4876ae8f4d4477676da968a032d01/codex-3000/originaux/DEADWALL_CODEX_1.22/fiches/DW-0189.md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https://github.com/darknigthmare/deadwall-last-enclosure/blob/f0ef5a2036d4876ae8f4d4477676da968a032d01/codex-3000/originaux/DEADWALL_CODEX_1.22/fiches/DW-0190.md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https://github.com/darknigthmare/deadwall-last-enclosure/blob/f0ef5a2036d4876ae8f4d4477676da968a032d01/codex-3000/originaux/DEADWALL_CODEX_1.22/fiches/DW-0191.md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https://github.com/darknigthmare/deadwall-last-enclosure/blob/f0ef5a2036d4876ae8f4d4477676da968a032d01/codex-3000/originaux/DEADWALL_CODEX_1.22/fiches/DW-0192.md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https://github.com/darknigthmare/deadwall-last-enclosure/blob/f0ef5a2036d4876ae8f4d4477676da968a032d01/codex-3000/originaux/DEADWALL_CODEX_1.22/fiches/DW-0193.md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https://github.com/darknigthmare/deadwall-last-enclosure/blob/f0ef5a2036d4876ae8f4d4477676da968a032d01/codex-3000/originaux/DEADWALL_CODEX_1.22/fiches/DW-0194.md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https://github.com/darknigthmare/deadwall-last-enclosure/blob/f0ef5a2036d4876ae8f4d4477676da968a032d01/codex-3000/originaux/DEADWALL_CODEX_1.22/fiches/DW-0195.md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https://github.com/darknigthmare/deadwall-last-enclosure/blob/f0ef5a2036d4876ae8f4d4477676da968a032d01/codex-3000/originaux/DEADWALL_CODEX_1.22/fiches/DW-0196.md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https://github.com/darknigthmare/deadwall-last-enclosure/blob/f0ef5a2036d4876ae8f4d4477676da968a032d01/codex-3000/originaux/DEADWALL_CODEX_1.22/fiches/DW-0197.md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https://github.com/darknigthmare/deadwall-last-enclosure/blob/f0ef5a2036d4876ae8f4d4477676da968a032d01/codex-3000/originaux/DEADWALL_CODEX_1.22/fiches/DW-0198.md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https://github.com/darknigthmare/deadwall-last-enclosure/blob/f0ef5a2036d4876ae8f4d4477676da968a032d01/codex-3000/originaux/DEADWALL_CODEX_1.22/fiches/DW-0199.md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https://github.com/darknigthmare/deadwall-last-enclosure/blob/f0ef5a2036d4876ae8f4d4477676da968a032d01/codex-3000/originaux/DEADWALL_CODEX_1.22/fiches/DW-0200.md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https://github.com/darknigthmare/deadwall-last-enclosure/blob/f0ef5a2036d4876ae8f4d4477676da968a032d01/codex-3000/originaux/DEADWALL_CODEX_1.22/fiches/DW-0201.md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https://github.com/darknigthmare/deadwall-last-enclosure/blob/f0ef5a2036d4876ae8f4d4477676da968a032d01/codex-3000/originaux/DEADWALL_CODEX_1.22/fiches/DW-0202.md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https://github.com/darknigthmare/deadwall-last-enclosure/blob/f0ef5a2036d4876ae8f4d4477676da968a032d01/codex-3000/originaux/DEADWALL_CODEX_1.22/fiches/DW-0203.md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https://github.com/darknigthmare/deadwall-last-enclosure/blob/f0ef5a2036d4876ae8f4d4477676da968a032d01/codex-3000/originaux/DEADWALL_CODEX_1.22/fiches/DW-0204.md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https://github.com/darknigthmare/deadwall-last-enclosure/blob/f0ef5a2036d4876ae8f4d4477676da968a032d01/codex-3000/originaux/DEADWALL_CODEX_1.22/fiches/DW-0205.md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https://github.com/darknigthmare/deadwall-last-enclosure/blob/f0ef5a2036d4876ae8f4d4477676da968a032d01/codex-3000/originaux/DEADWALL_CODEX_1.22/fiches/DW-0206.md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https://github.com/darknigthmare/deadwall-last-enclosure/blob/f0ef5a2036d4876ae8f4d4477676da968a032d01/codex-3000/originaux/DEADWALL_CODEX_1.22/fiches/DW-0207.md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https://github.com/darknigthmare/deadwall-last-enclosure/blob/f0ef5a2036d4876ae8f4d4477676da968a032d01/codex-3000/originaux/DEADWALL_CODEX_1.22/fiches/DW-0208.md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https://github.com/darknigthmare/deadwall-last-enclosure/blob/f0ef5a2036d4876ae8f4d4477676da968a032d01/codex-3000/originaux/DEADWALL_CODEX_1.22/fiches/DW-0209.md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https://github.com/darknigthmare/deadwall-last-enclosure/blob/f0ef5a2036d4876ae8f4d4477676da968a032d01/codex-3000/originaux/DEADWALL_CODEX_1.22/fiches/DW-0210.md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https://github.com/darknigthmare/deadwall-last-enclosure/blob/f0ef5a2036d4876ae8f4d4477676da968a032d01/codex-3000/originaux/DEADWALL_CODEX_1.22/fiches/DW-0211.md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https://github.com/darknigthmare/deadwall-last-enclosure/blob/f0ef5a2036d4876ae8f4d4477676da968a032d01/codex-3000/originaux/DEADWALL_CODEX_1.22/fiches/DW-0212.md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https://github.com/darknigthmare/deadwall-last-enclosure/blob/f0ef5a2036d4876ae8f4d4477676da968a032d01/codex-3000/originaux/DEADWALL_CODEX_1.22/fiches/DW-0213.md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https://github.com/darknigthmare/deadwall-last-enclosure/blob/f0ef5a2036d4876ae8f4d4477676da968a032d01/codex-3000/originaux/DEADWALL_CODEX_1.22/fiches/DW-0214.md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https://github.com/darknigthmare/deadwall-last-enclosure/blob/f0ef5a2036d4876ae8f4d4477676da968a032d01/codex-3000/originaux/DEADWALL_CODEX_1.22/fiches/DW-0215.md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https://github.com/darknigthmare/deadwall-last-enclosure/blob/f0ef5a2036d4876ae8f4d4477676da968a032d01/codex-3000/originaux/DEADWALL_CODEX_1.22/fiches/DW-0216.md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https://github.com/darknigthmare/deadwall-last-enclosure/blob/f0ef5a2036d4876ae8f4d4477676da968a032d01/codex-3000/originaux/DEADWALL_CODEX_1.22/fiches/DW-0217.md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https://github.com/darknigthmare/deadwall-last-enclosure/blob/f0ef5a2036d4876ae8f4d4477676da968a032d01/codex-3000/originaux/DEADWALL_CODEX_1.22/fiches/DW-0218.md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https://github.com/darknigthmare/deadwall-last-enclosure/blob/f0ef5a2036d4876ae8f4d4477676da968a032d01/codex-3000/originaux/DEADWALL_CODEX_1.22/fiches/DW-0219.md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https://github.com/darknigthmare/deadwall-last-enclosure/blob/f0ef5a2036d4876ae8f4d4477676da968a032d01/codex-3000/originaux/DEADWALL_CODEX_1.22/fiches/DW-0220.md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https://github.com/darknigthmare/deadwall-last-enclosure/blob/f0ef5a2036d4876ae8f4d4477676da968a032d01/codex-3000/originaux/DEADWALL_CODEX_1.22/fiches/DW-0221.md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https://github.com/darknigthmare/deadwall-last-enclosure/blob/f0ef5a2036d4876ae8f4d4477676da968a032d01/codex-3000/originaux/DEADWALL_CODEX_1.22/fiches/DW-0222.md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https://github.com/darknigthmare/deadwall-last-enclosure/blob/f0ef5a2036d4876ae8f4d4477676da968a032d01/codex-3000/originaux/DEADWALL_CODEX_1.22/fiches/DW-0223.md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https://github.com/darknigthmare/deadwall-last-enclosure/blob/f0ef5a2036d4876ae8f4d4477676da968a032d01/codex-3000/originaux/DEADWALL_CODEX_1.22/fiches/DW-0224.md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https://github.com/darknigthmare/deadwall-last-enclosure/blob/f0ef5a2036d4876ae8f4d4477676da968a032d01/codex-3000/originaux/DEADWALL_CODEX_1.22/fiches/DW-0225.md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https://github.com/darknigthmare/deadwall-last-enclosure/blob/f0ef5a2036d4876ae8f4d4477676da968a032d01/codex-3000/originaux/DEADWALL_CODEX_1.22/fiches/DW-0226.md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https://github.com/darknigthmare/deadwall-last-enclosure/blob/f0ef5a2036d4876ae8f4d4477676da968a032d01/codex-3000/originaux/DEADWALL_CODEX_1.22/fiches/DW-0227.md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https://github.com/darknigthmare/deadwall-last-enclosure/blob/f0ef5a2036d4876ae8f4d4477676da968a032d01/codex-3000/originaux/DEADWALL_CODEX_1.22/fiches/DW-0228.md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https://github.com/darknigthmare/deadwall-last-enclosure/blob/f0ef5a2036d4876ae8f4d4477676da968a032d01/codex-3000/originaux/DEADWALL_CODEX_1.22/fiches/DW-0229.md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https://github.com/darknigthmare/deadwall-last-enclosure/blob/f0ef5a2036d4876ae8f4d4477676da968a032d01/codex-3000/originaux/DEADWALL_CODEX_1.22/fiches/DW-0230.md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https://github.com/darknigthmare/deadwall-last-enclosure/blob/f0ef5a2036d4876ae8f4d4477676da968a032d01/codex-3000/originaux/DEADWALL_CODEX_1.22/fiches/DW-0231.md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https://github.com/darknigthmare/deadwall-last-enclosure/blob/f0ef5a2036d4876ae8f4d4477676da968a032d01/codex-3000/originaux/DEADWALL_CODEX_1.22/fiches/DW-0232.md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https://github.com/darknigthmare/deadwall-last-enclosure/blob/f0ef5a2036d4876ae8f4d4477676da968a032d01/codex-3000/originaux/DEADWALL_CODEX_1.22/fiches/DW-0233.md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https://github.com/darknigthmare/deadwall-last-enclosure/blob/f0ef5a2036d4876ae8f4d4477676da968a032d01/codex-3000/originaux/DEADWALL_CODEX_1.22/fiches/DW-0234.md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https://github.com/darknigthmare/deadwall-last-enclosure/blob/f0ef5a2036d4876ae8f4d4477676da968a032d01/codex-3000/originaux/DEADWALL_CODEX_1.22/fiches/DW-0235.md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https://github.com/darknigthmare/deadwall-last-enclosure/blob/f0ef5a2036d4876ae8f4d4477676da968a032d01/codex-3000/originaux/DEADWALL_CODEX_1.22/fiches/DW-0236.md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https://github.com/darknigthmare/deadwall-last-enclosure/blob/f0ef5a2036d4876ae8f4d4477676da968a032d01/codex-3000/originaux/DEADWALL_CODEX_1.22/fiches/DW-0237.md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https://github.com/darknigthmare/deadwall-last-enclosure/blob/f0ef5a2036d4876ae8f4d4477676da968a032d01/codex-3000/originaux/DEADWALL_CODEX_1.22/fiches/DW-0238.md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https://github.com/darknigthmare/deadwall-last-enclosure/blob/f0ef5a2036d4876ae8f4d4477676da968a032d01/codex-3000/originaux/DEADWALL_CODEX_1.22/fiches/DW-0239.md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https://github.com/darknigthmare/deadwall-last-enclosure/blob/f0ef5a2036d4876ae8f4d4477676da968a032d01/codex-3000/originaux/DEADWALL_CODEX_1.22/fiches/DW-0240.md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https://github.com/darknigthmare/deadwall-last-enclosure/blob/f0ef5a2036d4876ae8f4d4477676da968a032d01/codex-3000/originaux/DEADWALL_CODEX_1.22/fiches/DW-0241.md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https://github.com/darknigthmare/deadwall-last-enclosure/blob/f0ef5a2036d4876ae8f4d4477676da968a032d01/codex-3000/originaux/DEADWALL_CODEX_1.22/fiches/DW-0242.md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https://github.com/darknigthmare/deadwall-last-enclosure/blob/f0ef5a2036d4876ae8f4d4477676da968a032d01/codex-3000/originaux/DEADWALL_CODEX_1.22/fiches/DW-0243.md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https://github.com/darknigthmare/deadwall-last-enclosure/blob/f0ef5a2036d4876ae8f4d4477676da968a032d01/codex-3000/originaux/DEADWALL_CODEX_1.22/fiches/DW-0244.md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https://github.com/darknigthmare/deadwall-last-enclosure/blob/f0ef5a2036d4876ae8f4d4477676da968a032d01/codex-3000/originaux/DEADWALL_CODEX_1.22/fiches/DW-0245.md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https://github.com/darknigthmare/deadwall-last-enclosure/blob/f0ef5a2036d4876ae8f4d4477676da968a032d01/codex-3000/originaux/DEADWALL_CODEX_1.22/fiches/DW-0246.md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https://github.com/darknigthmare/deadwall-last-enclosure/blob/f0ef5a2036d4876ae8f4d4477676da968a032d01/codex-3000/originaux/DEADWALL_CODEX_1.22/fiches/DW-0247.md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https://github.com/darknigthmare/deadwall-last-enclosure/blob/f0ef5a2036d4876ae8f4d4477676da968a032d01/codex-3000/originaux/DEADWALL_CODEX_1.22/fiches/DW-0248.md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https://github.com/darknigthmare/deadwall-last-enclosure/blob/f0ef5a2036d4876ae8f4d4477676da968a032d01/codex-3000/originaux/DEADWALL_CODEX_1.22/fiches/DW-0249.md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https://github.com/darknigthmare/deadwall-last-enclosure/blob/f0ef5a2036d4876ae8f4d4477676da968a032d01/codex-3000/originaux/DEADWALL_CODEX_1.22/fiches/DW-0250.md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https://github.com/darknigthmare/deadwall-last-enclosure/blob/f0ef5a2036d4876ae8f4d4477676da968a032d01/codex-3000/originaux/DEADWALL_CODEX_1.22/fiches/DW-0251.md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https://github.com/darknigthmare/deadwall-last-enclosure/blob/f0ef5a2036d4876ae8f4d4477676da968a032d01/codex-3000/originaux/DEADWALL_CODEX_1.22/fiches/DW-0252.md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https://github.com/darknigthmare/deadwall-last-enclosure/blob/f0ef5a2036d4876ae8f4d4477676da968a032d01/codex-3000/originaux/DEADWALL_CODEX_1.22/fiches/DW-0253.md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https://github.com/darknigthmare/deadwall-last-enclosure/blob/f0ef5a2036d4876ae8f4d4477676da968a032d01/codex-3000/originaux/DEADWALL_CODEX_1.22/fiches/DW-0254.md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https://github.com/darknigthmare/deadwall-last-enclosure/blob/f0ef5a2036d4876ae8f4d4477676da968a032d01/codex-3000/originaux/DEADWALL_CODEX_1.22/fiches/DW-0255.md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https://github.com/darknigthmare/deadwall-last-enclosure/blob/f0ef5a2036d4876ae8f4d4477676da968a032d01/codex-3000/originaux/DEADWALL_CODEX_1.22/fiches/DW-0256.md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https://github.com/darknigthmare/deadwall-last-enclosure/blob/f0ef5a2036d4876ae8f4d4477676da968a032d01/codex-3000/originaux/DEADWALL_CODEX_1.22/fiches/DW-0257.md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https://github.com/darknigthmare/deadwall-last-enclosure/blob/f0ef5a2036d4876ae8f4d4477676da968a032d01/codex-3000/originaux/DEADWALL_CODEX_1.22/fiches/DW-0258.md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https://github.com/darknigthmare/deadwall-last-enclosure/blob/f0ef5a2036d4876ae8f4d4477676da968a032d01/codex-3000/originaux/DEADWALL_CODEX_1.22/fiches/DW-0259.md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https://github.com/darknigthmare/deadwall-last-enclosure/blob/f0ef5a2036d4876ae8f4d4477676da968a032d01/codex-3000/originaux/DEADWALL_CODEX_1.22/fiches/DW-0260.md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https://github.com/darknigthmare/deadwall-last-enclosure/blob/f0ef5a2036d4876ae8f4d4477676da968a032d01/codex-3000/originaux/DEADWALL_CODEX_1.22/fiches/DW-0261.md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https://github.com/darknigthmare/deadwall-last-enclosure/blob/f0ef5a2036d4876ae8f4d4477676da968a032d01/codex-3000/originaux/DEADWALL_CODEX_1.22/fiches/DW-0262.md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https://github.com/darknigthmare/deadwall-last-enclosure/blob/f0ef5a2036d4876ae8f4d4477676da968a032d01/codex-3000/originaux/DEADWALL_CODEX_1.22/fiches/DW-0263.md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https://github.com/darknigthmare/deadwall-last-enclosure/blob/f0ef5a2036d4876ae8f4d4477676da968a032d01/codex-3000/originaux/DEADWALL_CODEX_1.22/fiches/DW-0264.md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https://github.com/darknigthmare/deadwall-last-enclosure/blob/f0ef5a2036d4876ae8f4d4477676da968a032d01/codex-3000/originaux/DEADWALL_CODEX_1.22/fiches/DW-0265.md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https://github.com/darknigthmare/deadwall-last-enclosure/blob/f0ef5a2036d4876ae8f4d4477676da968a032d01/codex-3000/originaux/DEADWALL_CODEX_1.22/fiches/DW-0266.md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https://github.com/darknigthmare/deadwall-last-enclosure/blob/f0ef5a2036d4876ae8f4d4477676da968a032d01/codex-3000/originaux/DEADWALL_CODEX_1.22/fiches/DW-0267.md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https://github.com/darknigthmare/deadwall-last-enclosure/blob/f0ef5a2036d4876ae8f4d4477676da968a032d01/codex-3000/originaux/DEADWALL_CODEX_1.22/fiches/DW-0268.md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https://github.com/darknigthmare/deadwall-last-enclosure/blob/f0ef5a2036d4876ae8f4d4477676da968a032d01/codex-3000/originaux/DEADWALL_CODEX_1.22/fiches/DW-0269.md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https://github.com/darknigthmare/deadwall-last-enclosure/blob/f0ef5a2036d4876ae8f4d4477676da968a032d01/codex-3000/originaux/DEADWALL_CODEX_1.22/fiches/DW-0270.md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https://github.com/darknigthmare/deadwall-last-enclosure/blob/f0ef5a2036d4876ae8f4d4477676da968a032d01/codex-3000/originaux/DEADWALL_CODEX_1.22/fiches/DW-0271.md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https://github.com/darknigthmare/deadwall-last-enclosure/blob/f0ef5a2036d4876ae8f4d4477676da968a032d01/codex-3000/originaux/DEADWALL_CODEX_1.22/fiches/DW-0272.md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https://github.com/darknigthmare/deadwall-last-enclosure/blob/f0ef5a2036d4876ae8f4d4477676da968a032d01/codex-3000/originaux/DEADWALL_CODEX_1.22/fiches/DW-0273.md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https://github.com/darknigthmare/deadwall-last-enclosure/blob/f0ef5a2036d4876ae8f4d4477676da968a032d01/codex-3000/originaux/DEADWALL_CODEX_1.22/fiches/DW-0274.md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https://github.com/darknigthmare/deadwall-last-enclosure/blob/f0ef5a2036d4876ae8f4d4477676da968a032d01/codex-3000/originaux/DEADWALL_CODEX_1.22/fiches/DW-0275.md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https://github.com/darknigthmare/deadwall-last-enclosure/blob/f0ef5a2036d4876ae8f4d4477676da968a032d01/codex-3000/originaux/DEADWALL_CODEX_1.22/fiches/DW-0276.md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https://github.com/darknigthmare/deadwall-last-enclosure/blob/f0ef5a2036d4876ae8f4d4477676da968a032d01/codex-3000/originaux/DEADWALL_CODEX_1.22/fiches/DW-0277.md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https://github.com/darknigthmare/deadwall-last-enclosure/blob/f0ef5a2036d4876ae8f4d4477676da968a032d01/codex-3000/originaux/DEADWALL_CODEX_1.22/fiches/DW-0278.md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https://github.com/darknigthmare/deadwall-last-enclosure/blob/f0ef5a2036d4876ae8f4d4477676da968a032d01/codex-3000/originaux/DEADWALL_CODEX_1.22/fiches/DW-0279.md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https://github.com/darknigthmare/deadwall-last-enclosure/blob/f0ef5a2036d4876ae8f4d4477676da968a032d01/codex-3000/originaux/DEADWALL_CODEX_1.22/fiches/DW-0280.md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https://github.com/darknigthmare/deadwall-last-enclosure/blob/f0ef5a2036d4876ae8f4d4477676da968a032d01/codex-3000/originaux/DEADWALL_CODEX_1.22/fiches/DW-0281.md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https://github.com/darknigthmare/deadwall-last-enclosure/blob/f0ef5a2036d4876ae8f4d4477676da968a032d01/codex-3000/originaux/DEADWALL_CODEX_1.22/fiches/DW-0282.md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https://github.com/darknigthmare/deadwall-last-enclosure/blob/f0ef5a2036d4876ae8f4d4477676da968a032d01/codex-3000/originaux/DEADWALL_CODEX_1.22/fiches/DW-0283.md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https://github.com/darknigthmare/deadwall-last-enclosure/blob/f0ef5a2036d4876ae8f4d4477676da968a032d01/codex-3000/originaux/DEADWALL_CODEX_1.22/fiches/DW-0284.md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https://github.com/darknigthmare/deadwall-last-enclosure/blob/f0ef5a2036d4876ae8f4d4477676da968a032d01/codex-3000/originaux/DEADWALL_CODEX_1.22/fiches/DW-0285.md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https://github.com/darknigthmare/deadwall-last-enclosure/blob/f0ef5a2036d4876ae8f4d4477676da968a032d01/codex-3000/originaux/DEADWALL_CODEX_1.22/fiches/DW-0286.md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https://github.com/darknigthmare/deadwall-last-enclosure/blob/f0ef5a2036d4876ae8f4d4477676da968a032d01/codex-3000/originaux/DEADWALL_CODEX_1.22/fiches/DW-0287.md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https://github.com/darknigthmare/deadwall-last-enclosure/blob/f0ef5a2036d4876ae8f4d4477676da968a032d01/codex-3000/originaux/DEADWALL_CODEX_1.22/fiches/DW-0288.md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https://github.com/darknigthmare/deadwall-last-enclosure/blob/f0ef5a2036d4876ae8f4d4477676da968a032d01/codex-3000/originaux/DEADWALL_CODEX_1.22/fiches/DW-0289.md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https://github.com/darknigthmare/deadwall-last-enclosure/blob/f0ef5a2036d4876ae8f4d4477676da968a032d01/codex-3000/originaux/DEADWALL_CODEX_1.22/fiches/DW-0290.md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https://github.com/darknigthmare/deadwall-last-enclosure/blob/f0ef5a2036d4876ae8f4d4477676da968a032d01/codex-3000/originaux/DEADWALL_CODEX_1.22/fiches/DW-0291.md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https://github.com/darknigthmare/deadwall-last-enclosure/blob/f0ef5a2036d4876ae8f4d4477676da968a032d01/codex-3000/originaux/DEADWALL_CODEX_1.22/fiches/DW-0292.md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https://github.com/darknigthmare/deadwall-last-enclosure/blob/f0ef5a2036d4876ae8f4d4477676da968a032d01/codex-3000/originaux/DEADWALL_CODEX_1.22/fiches/DW-0293.md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https://github.com/darknigthmare/deadwall-last-enclosure/blob/f0ef5a2036d4876ae8f4d4477676da968a032d01/codex-3000/originaux/DEADWALL_CODEX_1.22/fiches/DW-0294.md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https://github.com/darknigthmare/deadwall-last-enclosure/blob/f0ef5a2036d4876ae8f4d4477676da968a032d01/codex-3000/originaux/DEADWALL_CODEX_1.22/fiches/DW-0295.md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https://github.com/darknigthmare/deadwall-last-enclosure/blob/f0ef5a2036d4876ae8f4d4477676da968a032d01/codex-3000/originaux/DEADWALL_CODEX_1.22/fiches/DW-0296.md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https://github.com/darknigthmare/deadwall-last-enclosure/blob/f0ef5a2036d4876ae8f4d4477676da968a032d01/codex-3000/originaux/DEADWALL_CODEX_1.22/fiches/DW-0297.md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https://github.com/darknigthmare/deadwall-last-enclosure/blob/f0ef5a2036d4876ae8f4d4477676da968a032d01/codex-3000/originaux/DEADWALL_CODEX_1.22/fiches/DW-0298.md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https://github.com/darknigthmare/deadwall-last-enclosure/blob/f0ef5a2036d4876ae8f4d4477676da968a032d01/codex-3000/originaux/DEADWALL_CODEX_1.22/fiches/DW-0299.md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https://github.com/darknigthmare/deadwall-last-enclosure/blob/f0ef5a2036d4876ae8f4d4477676da968a032d01/codex-3000/originaux/DEADWALL_CODEX_1.22/fiches/DW-0300.md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https://github.com/darknigthmare/deadwall-last-enclosure/blob/f0ef5a2036d4876ae8f4d4477676da968a032d01/codex-3000/originaux/DEADWALL_CODEX_1.22/fiches/DW-0301.md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https://github.com/darknigthmare/deadwall-last-enclosure/blob/f0ef5a2036d4876ae8f4d4477676da968a032d01/codex-3000/originaux/DEADWALL_CODEX_1.22/fiches/DW-0302.md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https://github.com/darknigthmare/deadwall-last-enclosure/blob/f0ef5a2036d4876ae8f4d4477676da968a032d01/codex-3000/originaux/DEADWALL_CODEX_1.22/fiches/DW-0303.md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https://github.com/darknigthmare/deadwall-last-enclosure/blob/f0ef5a2036d4876ae8f4d4477676da968a032d01/codex-3000/originaux/DEADWALL_CODEX_1.22/fiches/DW-0304.md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https://github.com/darknigthmare/deadwall-last-enclosure/blob/f0ef5a2036d4876ae8f4d4477676da968a032d01/codex-3000/originaux/DEADWALL_CODEX_1.22/fiches/DW-0305.md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https://github.com/darknigthmare/deadwall-last-enclosure/blob/f0ef5a2036d4876ae8f4d4477676da968a032d01/codex-3000/originaux/DEADWALL_CODEX_1.22/fiches/DW-0306.md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https://github.com/darknigthmare/deadwall-last-enclosure/blob/f0ef5a2036d4876ae8f4d4477676da968a032d01/codex-3000/originaux/DEADWALL_CODEX_1.22/fiches/DW-0307.md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https://github.com/darknigthmare/deadwall-last-enclosure/blob/f0ef5a2036d4876ae8f4d4477676da968a032d01/codex-3000/originaux/DEADWALL_CODEX_1.22/fiches/DW-0308.md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https://github.com/darknigthmare/deadwall-last-enclosure/blob/f0ef5a2036d4876ae8f4d4477676da968a032d01/codex-3000/originaux/DEADWALL_CODEX_1.22/fiches/DW-0309.md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https://github.com/darknigthmare/deadwall-last-enclosure/blob/f0ef5a2036d4876ae8f4d4477676da968a032d01/codex-3000/originaux/DEADWALL_CODEX_1.22/fiches/DW-0310.md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https://github.com/darknigthmare/deadwall-last-enclosure/blob/f0ef5a2036d4876ae8f4d4477676da968a032d01/codex-3000/originaux/DEADWALL_CODEX_1.22/fiches/DW-0311.md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https://github.com/darknigthmare/deadwall-last-enclosure/blob/f0ef5a2036d4876ae8f4d4477676da968a032d01/codex-3000/originaux/DEADWALL_CODEX_1.22/fiches/DW-0312.md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https://github.com/darknigthmare/deadwall-last-enclosure/blob/f0ef5a2036d4876ae8f4d4477676da968a032d01/codex-3000/originaux/DEADWALL_CODEX_1.22/fiches/DW-0313.md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https://github.com/darknigthmare/deadwall-last-enclosure/blob/f0ef5a2036d4876ae8f4d4477676da968a032d01/codex-3000/originaux/DEADWALL_CODEX_1.22/fiches/DW-0314.md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https://github.com/darknigthmare/deadwall-last-enclosure/blob/f0ef5a2036d4876ae8f4d4477676da968a032d01/codex-3000/originaux/DEADWALL_CODEX_1.22/fiches/DW-0315.md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https://github.com/darknigthmare/deadwall-last-enclosure/blob/f0ef5a2036d4876ae8f4d4477676da968a032d01/codex-3000/originaux/DEADWALL_CODEX_1.22/fiches/DW-0316.md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https://github.com/darknigthmare/deadwall-last-enclosure/blob/f0ef5a2036d4876ae8f4d4477676da968a032d01/codex-3000/originaux/DEADWALL_CODEX_1.22/fiches/DW-0317.md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https://github.com/darknigthmare/deadwall-last-enclosure/blob/f0ef5a2036d4876ae8f4d4477676da968a032d01/codex-3000/originaux/DEADWALL_CODEX_1.22/fiches/DW-0318.md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https://github.com/darknigthmare/deadwall-last-enclosure/blob/f0ef5a2036d4876ae8f4d4477676da968a032d01/codex-3000/originaux/DEADWALL_CODEX_1.22/fiches/DW-0319.md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https://github.com/darknigthmare/deadwall-last-enclosure/blob/f0ef5a2036d4876ae8f4d4477676da968a032d01/codex-3000/originaux/DEADWALL_CODEX_1.22/fiches/DW-0320.md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https://github.com/darknigthmare/deadwall-last-enclosure/blob/f0ef5a2036d4876ae8f4d4477676da968a032d01/codex-3000/originaux/DEADWALL_CODEX_1.22/fiches/DW-0321.md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https://github.com/darknigthmare/deadwall-last-enclosure/blob/f0ef5a2036d4876ae8f4d4477676da968a032d01/codex-3000/originaux/DEADWALL_CODEX_1.22/fiches/DW-0322.md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https://github.com/darknigthmare/deadwall-last-enclosure/blob/f0ef5a2036d4876ae8f4d4477676da968a032d01/codex-3000/originaux/DEADWALL_CODEX_1.22/fiches/DW-0323.md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https://github.com/darknigthmare/deadwall-last-enclosure/blob/f0ef5a2036d4876ae8f4d4477676da968a032d01/codex-3000/originaux/DEADWALL_CODEX_1.22/fiches/DW-0324.md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https://github.com/darknigthmare/deadwall-last-enclosure/blob/f0ef5a2036d4876ae8f4d4477676da968a032d01/codex-3000/originaux/DEADWALL_CODEX_1.22/fiches/DW-0325.md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https://github.com/darknigthmare/deadwall-last-enclosure/blob/f0ef5a2036d4876ae8f4d4477676da968a032d01/codex-3000/originaux/DEADWALL_CODEX_1.22/fiches/DW-0326.md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https://github.com/darknigthmare/deadwall-last-enclosure/blob/f0ef5a2036d4876ae8f4d4477676da968a032d01/codex-3000/originaux/DEADWALL_CODEX_1.22/fiches/DW-0327.md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https://github.com/darknigthmare/deadwall-last-enclosure/blob/f0ef5a2036d4876ae8f4d4477676da968a032d01/codex-3000/originaux/DEADWALL_CODEX_1.22/fiches/DW-0328.md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https://github.com/darknigthmare/deadwall-last-enclosure/blob/f0ef5a2036d4876ae8f4d4477676da968a032d01/codex-3000/originaux/DEADWALL_CODEX_1.22/fiches/DW-0329.md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https://github.com/darknigthmare/deadwall-last-enclosure/blob/f0ef5a2036d4876ae8f4d4477676da968a032d01/codex-3000/originaux/DEADWALL_CODEX_1.22/fiches/DW-0330.md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https://github.com/darknigthmare/deadwall-last-enclosure/blob/f0ef5a2036d4876ae8f4d4477676da968a032d01/codex-3000/originaux/DEADWALL_CODEX_1.22/fiches/DW-0331.md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https://github.com/darknigthmare/deadwall-last-enclosure/blob/f0ef5a2036d4876ae8f4d4477676da968a032d01/codex-3000/originaux/DEADWALL_CODEX_1.22/fiches/DW-0332.md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https://github.com/darknigthmare/deadwall-last-enclosure/blob/f0ef5a2036d4876ae8f4d4477676da968a032d01/codex-3000/originaux/DEADWALL_CODEX_1.22/fiches/DW-0333.md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https://github.com/darknigthmare/deadwall-last-enclosure/blob/f0ef5a2036d4876ae8f4d4477676da968a032d01/codex-3000/originaux/DEADWALL_CODEX_1.22/fiches/DW-0334.md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https://github.com/darknigthmare/deadwall-last-enclosure/blob/f0ef5a2036d4876ae8f4d4477676da968a032d01/codex-3000/originaux/DEADWALL_CODEX_1.22/fiches/DW-0335.md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https://github.com/darknigthmare/deadwall-last-enclosure/blob/f0ef5a2036d4876ae8f4d4477676da968a032d01/codex-3000/originaux/DEADWALL_CODEX_1.22/fiches/DW-0336.md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https://github.com/darknigthmare/deadwall-last-enclosure/blob/f0ef5a2036d4876ae8f4d4477676da968a032d01/codex-3000/originaux/DEADWALL_CODEX_1.22/fiches/DW-0337.md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https://github.com/darknigthmare/deadwall-last-enclosure/blob/f0ef5a2036d4876ae8f4d4477676da968a032d01/codex-3000/originaux/DEADWALL_CODEX_1.22/fiches/DW-0338.md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https://github.com/darknigthmare/deadwall-last-enclosure/blob/f0ef5a2036d4876ae8f4d4477676da968a032d01/codex-3000/originaux/DEADWALL_CODEX_1.22/fiches/DW-0339.md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https://github.com/darknigthmare/deadwall-last-enclosure/blob/f0ef5a2036d4876ae8f4d4477676da968a032d01/codex-3000/originaux/DEADWALL_CODEX_1.22/fiches/DW-0340.md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https://github.com/darknigthmare/deadwall-last-enclosure/blob/f0ef5a2036d4876ae8f4d4477676da968a032d01/codex-3000/originaux/DEADWALL_CODEX_1.22/fiches/DW-0341.md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https://github.com/darknigthmare/deadwall-last-enclosure/blob/f0ef5a2036d4876ae8f4d4477676da968a032d01/codex-3000/originaux/DEADWALL_CODEX_1.22/fiches/DW-0342.md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https://github.com/darknigthmare/deadwall-last-enclosure/blob/f0ef5a2036d4876ae8f4d4477676da968a032d01/codex-3000/originaux/DEADWALL_CODEX_1.22/fiches/DW-0343.md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https://github.com/darknigthmare/deadwall-last-enclosure/blob/f0ef5a2036d4876ae8f4d4477676da968a032d01/codex-3000/originaux/DEADWALL_CODEX_1.22/fiches/DW-0344.md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https://github.com/darknigthmare/deadwall-last-enclosure/blob/f0ef5a2036d4876ae8f4d4477676da968a032d01/codex-3000/originaux/DEADWALL_CODEX_1.22/fiches/DW-0345.md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https://github.com/darknigthmare/deadwall-last-enclosure/blob/f0ef5a2036d4876ae8f4d4477676da968a032d01/codex-3000/originaux/DEADWALL_CODEX_1.22/fiches/DW-0346.md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https://github.com/darknigthmare/deadwall-last-enclosure/blob/f0ef5a2036d4876ae8f4d4477676da968a032d01/codex-3000/originaux/DEADWALL_CODEX_1.22/fiches/DW-0347.md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https://github.com/darknigthmare/deadwall-last-enclosure/blob/f0ef5a2036d4876ae8f4d4477676da968a032d01/codex-3000/originaux/DEADWALL_CODEX_1.22/fiches/DW-0348.md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https://github.com/darknigthmare/deadwall-last-enclosure/blob/f0ef5a2036d4876ae8f4d4477676da968a032d01/codex-3000/originaux/DEADWALL_CODEX_1.22/fiches/DW-0349.md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https://github.com/darknigthmare/deadwall-last-enclosure/blob/f0ef5a2036d4876ae8f4d4477676da968a032d01/codex-3000/originaux/DEADWALL_CODEX_1.22/fiches/DW-0350.md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https://github.com/darknigthmare/deadwall-last-enclosure/blob/f0ef5a2036d4876ae8f4d4477676da968a032d01/codex-3000/originaux/DEADWALL_CODEX_1.22/fiches/DW-0351.md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https://github.com/darknigthmare/deadwall-last-enclosure/blob/f0ef5a2036d4876ae8f4d4477676da968a032d01/codex-3000/originaux/DEADWALL_CODEX_1.22/fiches/DW-0352.md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https://github.com/darknigthmare/deadwall-last-enclosure/blob/f0ef5a2036d4876ae8f4d4477676da968a032d01/codex-3000/originaux/DEADWALL_CODEX_1.22/fiches/DW-0353.md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https://github.com/darknigthmare/deadwall-last-enclosure/blob/f0ef5a2036d4876ae8f4d4477676da968a032d01/codex-3000/originaux/DEADWALL_CODEX_1.22/fiches/DW-0354.md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https://github.com/darknigthmare/deadwall-last-enclosure/blob/f0ef5a2036d4876ae8f4d4477676da968a032d01/codex-3000/originaux/DEADWALL_CODEX_1.22/fiches/DW-0355.md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https://github.com/darknigthmare/deadwall-last-enclosure/blob/f0ef5a2036d4876ae8f4d4477676da968a032d01/codex-3000/originaux/DEADWALL_CODEX_1.22/fiches/DW-0356.md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https://github.com/darknigthmare/deadwall-last-enclosure/blob/f0ef5a2036d4876ae8f4d4477676da968a032d01/codex-3000/originaux/DEADWALL_CODEX_1.22/fiches/DW-0357.md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https://github.com/darknigthmare/deadwall-last-enclosure/blob/f0ef5a2036d4876ae8f4d4477676da968a032d01/codex-3000/originaux/DEADWALL_CODEX_1.22/fiches/DW-0358.md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https://github.com/darknigthmare/deadwall-last-enclosure/blob/f0ef5a2036d4876ae8f4d4477676da968a032d01/codex-3000/originaux/DEADWALL_CODEX_1.22/fiches/DW-0359.md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https://github.com/darknigthmare/deadwall-last-enclosure/blob/f0ef5a2036d4876ae8f4d4477676da968a032d01/codex-3000/originaux/DEADWALL_CODEX_1.22/fiches/DW-0360.md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https://github.com/darknigthmare/deadwall-last-enclosure/blob/f0ef5a2036d4876ae8f4d4477676da968a032d01/codex-3000/originaux/DEADWALL_CODEX_1.22/fiches/DW-0361.md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https://github.com/darknigthmare/deadwall-last-enclosure/blob/f0ef5a2036d4876ae8f4d4477676da968a032d01/codex-3000/originaux/DEADWALL_CODEX_1.22/fiches/DW-0362.md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https://github.com/darknigthmare/deadwall-last-enclosure/blob/f0ef5a2036d4876ae8f4d4477676da968a032d01/codex-3000/originaux/DEADWALL_CODEX_1.22/fiches/DW-0363.md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https://github.com/darknigthmare/deadwall-last-enclosure/blob/f0ef5a2036d4876ae8f4d4477676da968a032d01/codex-3000/originaux/DEADWALL_CODEX_1.22/fiches/DW-0364.md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https://github.com/darknigthmare/deadwall-last-enclosure/blob/f0ef5a2036d4876ae8f4d4477676da968a032d01/codex-3000/originaux/DEADWALL_CODEX_1.22/fiches/DW-0365.md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https://github.com/darknigthmare/deadwall-last-enclosure/blob/f0ef5a2036d4876ae8f4d4477676da968a032d01/codex-3000/originaux/DEADWALL_CODEX_1.22/fiches/DW-0366.md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https://github.com/darknigthmare/deadwall-last-enclosure/blob/f0ef5a2036d4876ae8f4d4477676da968a032d01/codex-3000/originaux/DEADWALL_CODEX_1.22/fiches/DW-0367.md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https://github.com/darknigthmare/deadwall-last-enclosure/blob/f0ef5a2036d4876ae8f4d4477676da968a032d01/codex-3000/originaux/DEADWALL_CODEX_1.22/fiches/DW-0368.md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https://github.com/darknigthmare/deadwall-last-enclosure/blob/f0ef5a2036d4876ae8f4d4477676da968a032d01/codex-3000/originaux/DEADWALL_CODEX_1.22/fiches/DW-0369.md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https://github.com/darknigthmare/deadwall-last-enclosure/blob/f0ef5a2036d4876ae8f4d4477676da968a032d01/codex-3000/originaux/DEADWALL_CODEX_1.22/fiches/DW-0370.md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https://github.com/darknigthmare/deadwall-last-enclosure/blob/f0ef5a2036d4876ae8f4d4477676da968a032d01/codex-3000/originaux/DEADWALL_CODEX_1.22/fiches/DW-0371.md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https://github.com/darknigthmare/deadwall-last-enclosure/blob/f0ef5a2036d4876ae8f4d4477676da968a032d01/codex-3000/originaux/DEADWALL_CODEX_1.22/fiches/DW-0372.md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https://github.com/darknigthmare/deadwall-last-enclosure/blob/f0ef5a2036d4876ae8f4d4477676da968a032d01/codex-3000/originaux/DEADWALL_CODEX_1.22/fiches/DW-0373.md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https://github.com/darknigthmare/deadwall-last-enclosure/blob/f0ef5a2036d4876ae8f4d4477676da968a032d01/codex-3000/originaux/DEADWALL_CODEX_1.22/fiches/DW-0374.md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https://github.com/darknigthmare/deadwall-last-enclosure/blob/f0ef5a2036d4876ae8f4d4477676da968a032d01/codex-3000/originaux/DEADWALL_CODEX_1.22/fiches/DW-0375.md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https://github.com/darknigthmare/deadwall-last-enclosure/blob/f0ef5a2036d4876ae8f4d4477676da968a032d01/codex-3000/originaux/DEADWALL_CODEX_1.22/fiches/DW-0376.md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https://github.com/darknigthmare/deadwall-last-enclosure/blob/f0ef5a2036d4876ae8f4d4477676da968a032d01/codex-3000/originaux/DEADWALL_CODEX_1.22/fiches/DW-0377.md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https://github.com/darknigthmare/deadwall-last-enclosure/blob/f0ef5a2036d4876ae8f4d4477676da968a032d01/codex-3000/originaux/DEADWALL_CODEX_1.22/fiches/DW-0378.md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https://github.com/darknigthmare/deadwall-last-enclosure/blob/f0ef5a2036d4876ae8f4d4477676da968a032d01/codex-3000/originaux/DEADWALL_CODEX_1.22/fiches/DW-0379.md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https://github.com/darknigthmare/deadwall-last-enclosure/blob/f0ef5a2036d4876ae8f4d4477676da968a032d01/codex-3000/originaux/DEADWALL_CODEX_1.22/fiches/DW-0380.md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https://github.com/darknigthmare/deadwall-last-enclosure/blob/f0ef5a2036d4876ae8f4d4477676da968a032d01/codex-3000/originaux/DEADWALL_CODEX_1.22/fiches/DW-0381.md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https://github.com/darknigthmare/deadwall-last-enclosure/blob/f0ef5a2036d4876ae8f4d4477676da968a032d01/codex-3000/originaux/DEADWALL_CODEX_1.22/fiches/DW-0382.md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https://github.com/darknigthmare/deadwall-last-enclosure/blob/f0ef5a2036d4876ae8f4d4477676da968a032d01/codex-3000/originaux/DEADWALL_CODEX_1.22/fiches/DW-0383.md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https://github.com/darknigthmare/deadwall-last-enclosure/blob/f0ef5a2036d4876ae8f4d4477676da968a032d01/codex-3000/originaux/DEADWALL_CODEX_1.22/fiches/DW-0384.md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https://github.com/darknigthmare/deadwall-last-enclosure/blob/f0ef5a2036d4876ae8f4d4477676da968a032d01/codex-3000/originaux/DEADWALL_CODEX_1.22/fiches/DW-0385.md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https://github.com/darknigthmare/deadwall-last-enclosure/blob/f0ef5a2036d4876ae8f4d4477676da968a032d01/codex-3000/originaux/DEADWALL_CODEX_1.22/fiches/DW-0386.md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https://github.com/darknigthmare/deadwall-last-enclosure/blob/f0ef5a2036d4876ae8f4d4477676da968a032d01/codex-3000/originaux/DEADWALL_CODEX_1.22/fiches/DW-0387.md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https://github.com/darknigthmare/deadwall-last-enclosure/blob/f0ef5a2036d4876ae8f4d4477676da968a032d01/codex-3000/originaux/DEADWALL_CODEX_1.22/fiches/DW-0388.md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https://github.com/darknigthmare/deadwall-last-enclosure/blob/f0ef5a2036d4876ae8f4d4477676da968a032d01/codex-3000/originaux/DEADWALL_CODEX_1.22/fiches/DW-0389.md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https://github.com/darknigthmare/deadwall-last-enclosure/blob/f0ef5a2036d4876ae8f4d4477676da968a032d01/codex-3000/originaux/DEADWALL_CODEX_1.22/fiches/DW-0390.md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https://github.com/darknigthmare/deadwall-last-enclosure/blob/f0ef5a2036d4876ae8f4d4477676da968a032d01/codex-3000/originaux/DEADWALL_CODEX_1.22/fiches/DW-0391.md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https://github.com/darknigthmare/deadwall-last-enclosure/blob/f0ef5a2036d4876ae8f4d4477676da968a032d01/codex-3000/originaux/DEADWALL_CODEX_1.22/fiches/DW-0392.md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https://github.com/darknigthmare/deadwall-last-enclosure/blob/f0ef5a2036d4876ae8f4d4477676da968a032d01/codex-3000/originaux/DEADWALL_CODEX_1.22/fiches/DW-0393.md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https://github.com/darknigthmare/deadwall-last-enclosure/blob/f0ef5a2036d4876ae8f4d4477676da968a032d01/codex-3000/originaux/DEADWALL_CODEX_1.22/fiches/DW-0394.md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https://github.com/darknigthmare/deadwall-last-enclosure/blob/f0ef5a2036d4876ae8f4d4477676da968a032d01/codex-3000/originaux/DEADWALL_CODEX_1.22/fiches/DW-0395.md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https://github.com/darknigthmare/deadwall-last-enclosure/blob/f0ef5a2036d4876ae8f4d4477676da968a032d01/codex-3000/originaux/DEADWALL_CODEX_1.22/fiches/DW-0396.md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https://github.com/darknigthmare/deadwall-last-enclosure/blob/f0ef5a2036d4876ae8f4d4477676da968a032d01/codex-3000/originaux/DEADWALL_CODEX_1.22/fiches/DW-0397.md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https://github.com/darknigthmare/deadwall-last-enclosure/blob/f0ef5a2036d4876ae8f4d4477676da968a032d01/codex-3000/originaux/DEADWALL_CODEX_1.22/fiches/DW-0398.md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https://github.com/darknigthmare/deadwall-last-enclosure/blob/f0ef5a2036d4876ae8f4d4477676da968a032d01/codex-3000/originaux/DEADWALL_CODEX_1.22/fiches/DW-0399.md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https://github.com/darknigthmare/deadwall-last-enclosure/blob/f0ef5a2036d4876ae8f4d4477676da968a032d01/codex-3000/originaux/DEADWALL_CODEX_1.22/fiches/DW-0400.md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https://github.com/darknigthmare/deadwall-last-enclosure/blob/f0ef5a2036d4876ae8f4d4477676da968a032d01/codex-3000/originaux/DEADWALL_CODEX_1.22/fiches/DW-0401.md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https://github.com/darknigthmare/deadwall-last-enclosure/blob/f0ef5a2036d4876ae8f4d4477676da968a032d01/codex-3000/originaux/DEADWALL_CODEX_1.22/fiches/DW-0402.md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https://github.com/darknigthmare/deadwall-last-enclosure/blob/f0ef5a2036d4876ae8f4d4477676da968a032d01/codex-3000/originaux/DEADWALL_CODEX_1.22/fiches/DW-0403.md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https://github.com/darknigthmare/deadwall-last-enclosure/blob/f0ef5a2036d4876ae8f4d4477676da968a032d01/codex-3000/originaux/DEADWALL_CODEX_1.22/fiches/DW-0404.md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https://github.com/darknigthmare/deadwall-last-enclosure/blob/f0ef5a2036d4876ae8f4d4477676da968a032d01/codex-3000/originaux/DEADWALL_CODEX_1.22/fiches/DW-0405.md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https://github.com/darknigthmare/deadwall-last-enclosure/blob/f0ef5a2036d4876ae8f4d4477676da968a032d01/codex-3000/originaux/DEADWALL_CODEX_1.22/fiches/DW-0406.md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https://github.com/darknigthmare/deadwall-last-enclosure/blob/f0ef5a2036d4876ae8f4d4477676da968a032d01/codex-3000/originaux/DEADWALL_CODEX_1.22/fiches/DW-0407.md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https://github.com/darknigthmare/deadwall-last-enclosure/blob/f0ef5a2036d4876ae8f4d4477676da968a032d01/codex-3000/originaux/DEADWALL_CODEX_1.22/fiches/DW-0408.md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https://github.com/darknigthmare/deadwall-last-enclosure/blob/f0ef5a2036d4876ae8f4d4477676da968a032d01/codex-3000/originaux/DEADWALL_CODEX_1.22/fiches/DW-0409.md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https://github.com/darknigthmare/deadwall-last-enclosure/blob/f0ef5a2036d4876ae8f4d4477676da968a032d01/codex-3000/originaux/DEADWALL_CODEX_1.22/fiches/DW-0410.md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https://github.com/darknigthmare/deadwall-last-enclosure/blob/f0ef5a2036d4876ae8f4d4477676da968a032d01/codex-3000/originaux/DEADWALL_CODEX_1.22/fiches/DW-0411.md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https://github.com/darknigthmare/deadwall-last-enclosure/blob/f0ef5a2036d4876ae8f4d4477676da968a032d01/codex-3000/originaux/DEADWALL_CODEX_1.22/fiches/DW-0412.md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https://github.com/darknigthmare/deadwall-last-enclosure/blob/f0ef5a2036d4876ae8f4d4477676da968a032d01/codex-3000/originaux/DEADWALL_CODEX_1.22/fiches/DW-0413.md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https://github.com/darknigthmare/deadwall-last-enclosure/blob/f0ef5a2036d4876ae8f4d4477676da968a032d01/codex-3000/originaux/DEADWALL_CODEX_1.22/fiches/DW-0414.md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https://github.com/darknigthmare/deadwall-last-enclosure/blob/f0ef5a2036d4876ae8f4d4477676da968a032d01/codex-3000/originaux/DEADWALL_CODEX_1.22/fiches/DW-0415.md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https://github.com/darknigthmare/deadwall-last-enclosure/blob/f0ef5a2036d4876ae8f4d4477676da968a032d01/codex-3000/originaux/DEADWALL_CODEX_1.22/fiches/DW-0416.md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https://github.com/darknigthmare/deadwall-last-enclosure/blob/f0ef5a2036d4876ae8f4d4477676da968a032d01/codex-3000/originaux/DEADWALL_CODEX_1.22/fiches/DW-0417.md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https://github.com/darknigthmare/deadwall-last-enclosure/blob/f0ef5a2036d4876ae8f4d4477676da968a032d01/codex-3000/originaux/DEADWALL_CODEX_1.22/fiches/DW-0418.md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https://github.com/darknigthmare/deadwall-last-enclosure/blob/f0ef5a2036d4876ae8f4d4477676da968a032d01/codex-3000/originaux/DEADWALL_CODEX_1.22/fiches/DW-0419.md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https://github.com/darknigthmare/deadwall-last-enclosure/blob/f0ef5a2036d4876ae8f4d4477676da968a032d01/codex-3000/originaux/DEADWALL_CODEX_1.22/fiches/DW-0420.md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https://github.com/darknigthmare/deadwall-last-enclosure/blob/f0ef5a2036d4876ae8f4d4477676da968a032d01/codex-3000/originaux/DEADWALL_CODEX_1.22/fiches/DW-0421.md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https://github.com/darknigthmare/deadwall-last-enclosure/blob/f0ef5a2036d4876ae8f4d4477676da968a032d01/codex-3000/originaux/DEADWALL_CODEX_1.22/fiches/DW-0422.md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https://github.com/darknigthmare/deadwall-last-enclosure/blob/f0ef5a2036d4876ae8f4d4477676da968a032d01/codex-3000/originaux/DEADWALL_CODEX_1.22/fiches/DW-0423.md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https://github.com/darknigthmare/deadwall-last-enclosure/blob/f0ef5a2036d4876ae8f4d4477676da968a032d01/codex-3000/originaux/DEADWALL_CODEX_1.22/fiches/DW-0424.md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https://github.com/darknigthmare/deadwall-last-enclosure/blob/f0ef5a2036d4876ae8f4d4477676da968a032d01/codex-3000/originaux/DEADWALL_CODEX_1.22/fiches/DW-0425.md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https://github.com/darknigthmare/deadwall-last-enclosure/blob/f0ef5a2036d4876ae8f4d4477676da968a032d01/codex-3000/originaux/DEADWALL_CODEX_1.22/fiches/DW-0426.md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https://github.com/darknigthmare/deadwall-last-enclosure/blob/f0ef5a2036d4876ae8f4d4477676da968a032d01/codex-3000/originaux/DEADWALL_CODEX_1.22/fiches/DW-0427.md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https://github.com/darknigthmare/deadwall-last-enclosure/blob/f0ef5a2036d4876ae8f4d4477676da968a032d01/codex-3000/originaux/DEADWALL_CODEX_1.22/fiches/DW-0428.md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https://github.com/darknigthmare/deadwall-last-enclosure/blob/f0ef5a2036d4876ae8f4d4477676da968a032d01/codex-3000/originaux/DEADWALL_CODEX_1.22/fiches/DW-0429.md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https://github.com/darknigthmare/deadwall-last-enclosure/blob/f0ef5a2036d4876ae8f4d4477676da968a032d01/codex-3000/originaux/DEADWALL_CODEX_1.22/fiches/DW-0430.md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https://github.com/darknigthmare/deadwall-last-enclosure/blob/f0ef5a2036d4876ae8f4d4477676da968a032d01/codex-3000/originaux/DEADWALL_CODEX_1.22/fiches/DW-0431.md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https://github.com/darknigthmare/deadwall-last-enclosure/blob/f0ef5a2036d4876ae8f4d4477676da968a032d01/codex-3000/originaux/DEADWALL_CODEX_1.22/fiches/DW-0432.md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https://github.com/darknigthmare/deadwall-last-enclosure/blob/f0ef5a2036d4876ae8f4d4477676da968a032d01/codex-3000/originaux/DEADWALL_CODEX_1.22/fiches/DW-0433.md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https://github.com/darknigthmare/deadwall-last-enclosure/blob/f0ef5a2036d4876ae8f4d4477676da968a032d01/codex-3000/originaux/DEADWALL_CODEX_1.22/fiches/DW-0434.md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https://github.com/darknigthmare/deadwall-last-enclosure/blob/f0ef5a2036d4876ae8f4d4477676da968a032d01/codex-3000/originaux/DEADWALL_CODEX_1.22/fiches/DW-0435.md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https://github.com/darknigthmare/deadwall-last-enclosure/blob/f0ef5a2036d4876ae8f4d4477676da968a032d01/codex-3000/originaux/DEADWALL_CODEX_1.22/fiches/DW-0436.md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https://github.com/darknigthmare/deadwall-last-enclosure/blob/f0ef5a2036d4876ae8f4d4477676da968a032d01/codex-3000/originaux/DEADWALL_CODEX_1.22/fiches/DW-0437.md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https://github.com/darknigthmare/deadwall-last-enclosure/blob/f0ef5a2036d4876ae8f4d4477676da968a032d01/codex-3000/originaux/DEADWALL_CODEX_1.22/fiches/DW-0438.md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https://github.com/darknigthmare/deadwall-last-enclosure/blob/f0ef5a2036d4876ae8f4d4477676da968a032d01/codex-3000/originaux/DEADWALL_CODEX_1.22/fiches/DW-0439.md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https://github.com/darknigthmare/deadwall-last-enclosure/blob/f0ef5a2036d4876ae8f4d4477676da968a032d01/codex-3000/originaux/DEADWALL_CODEX_1.22/fiches/DW-0440.md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https://github.com/darknigthmare/deadwall-last-enclosure/blob/f0ef5a2036d4876ae8f4d4477676da968a032d01/codex-3000/originaux/DEADWALL_CODEX_1.22/fiches/DW-0441.md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https://github.com/darknigthmare/deadwall-last-enclosure/blob/f0ef5a2036d4876ae8f4d4477676da968a032d01/codex-3000/originaux/DEADWALL_CODEX_1.22/fiches/DW-0442.md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https://github.com/darknigthmare/deadwall-last-enclosure/blob/f0ef5a2036d4876ae8f4d4477676da968a032d01/codex-3000/originaux/DEADWALL_CODEX_1.22/fiches/DW-0443.md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https://github.com/darknigthmare/deadwall-last-enclosure/blob/f0ef5a2036d4876ae8f4d4477676da968a032d01/codex-3000/originaux/DEADWALL_CODEX_1.22/fiches/DW-0444.md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https://github.com/darknigthmare/deadwall-last-enclosure/blob/f0ef5a2036d4876ae8f4d4477676da968a032d01/codex-3000/originaux/DEADWALL_CODEX_1.22/fiches/DW-0445.md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https://github.com/darknigthmare/deadwall-last-enclosure/blob/f0ef5a2036d4876ae8f4d4477676da968a032d01/codex-3000/originaux/DEADWALL_CODEX_1.22/fiches/DW-0446.md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https://github.com/darknigthmare/deadwall-last-enclosure/blob/f0ef5a2036d4876ae8f4d4477676da968a032d01/codex-3000/originaux/DEADWALL_CODEX_1.22/fiches/DW-0447.md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https://github.com/darknigthmare/deadwall-last-enclosure/blob/f0ef5a2036d4876ae8f4d4477676da968a032d01/codex-3000/originaux/DEADWALL_CODEX_1.22/fiches/DW-0448.md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https://github.com/darknigthmare/deadwall-last-enclosure/blob/f0ef5a2036d4876ae8f4d4477676da968a032d01/codex-3000/originaux/DEADWALL_CODEX_1.22/fiches/DW-0449.md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https://github.com/darknigthmare/deadwall-last-enclosure/blob/f0ef5a2036d4876ae8f4d4477676da968a032d01/codex-3000/originaux/DEADWALL_CODEX_1.22/fiches/DW-0450.md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https://github.com/darknigthmare/deadwall-last-enclosure/blob/f0ef5a2036d4876ae8f4d4477676da968a032d01/codex-3000/originaux/DEADWALL_CODEX_1.22/fiches/DW-0451.md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https://github.com/darknigthmare/deadwall-last-enclosure/blob/f0ef5a2036d4876ae8f4d4477676da968a032d01/codex-3000/originaux/DEADWALL_CODEX_1.22/fiches/DW-0452.md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https://github.com/darknigthmare/deadwall-last-enclosure/blob/f0ef5a2036d4876ae8f4d4477676da968a032d01/codex-3000/originaux/DEADWALL_CODEX_1.22/fiches/DW-0453.md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https://github.com/darknigthmare/deadwall-last-enclosure/blob/f0ef5a2036d4876ae8f4d4477676da968a032d01/codex-3000/originaux/DEADWALL_CODEX_1.22/fiches/DW-0454.md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https://github.com/darknigthmare/deadwall-last-enclosure/blob/f0ef5a2036d4876ae8f4d4477676da968a032d01/codex-3000/originaux/DEADWALL_CODEX_1.22/fiches/DW-0455.md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https://github.com/darknigthmare/deadwall-last-enclosure/blob/f0ef5a2036d4876ae8f4d4477676da968a032d01/codex-3000/originaux/DEADWALL_CODEX_1.22/fiches/DW-0456.md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https://github.com/darknigthmare/deadwall-last-enclosure/blob/f0ef5a2036d4876ae8f4d4477676da968a032d01/codex-3000/originaux/DEADWALL_CODEX_1.22/fiches/DW-0457.md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https://github.com/darknigthmare/deadwall-last-enclosure/blob/f0ef5a2036d4876ae8f4d4477676da968a032d01/codex-3000/originaux/DEADWALL_CODEX_1.22/fiches/DW-0458.md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https://github.com/darknigthmare/deadwall-last-enclosure/blob/f0ef5a2036d4876ae8f4d4477676da968a032d01/codex-3000/originaux/DEADWALL_CODEX_1.22/fiches/DW-0459.md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https://github.com/darknigthmare/deadwall-last-enclosure/blob/f0ef5a2036d4876ae8f4d4477676da968a032d01/codex-3000/originaux/DEADWALL_CODEX_1.22/fiches/DW-0460.md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https://github.com/darknigthmare/deadwall-last-enclosure/blob/f0ef5a2036d4876ae8f4d4477676da968a032d01/codex-3000/originaux/DEADWALL_CODEX_1.22/fiches/DW-0461.md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https://github.com/darknigthmare/deadwall-last-enclosure/blob/f0ef5a2036d4876ae8f4d4477676da968a032d01/codex-3000/originaux/DEADWALL_CODEX_1.22/fiches/DW-0462.md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https://github.com/darknigthmare/deadwall-last-enclosure/blob/f0ef5a2036d4876ae8f4d4477676da968a032d01/codex-3000/originaux/DEADWALL_CODEX_1.22/fiches/DW-0463.md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https://github.com/darknigthmare/deadwall-last-enclosure/blob/f0ef5a2036d4876ae8f4d4477676da968a032d01/codex-3000/originaux/DEADWALL_CODEX_1.22/fiches/DW-0464.md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https://github.com/darknigthmare/deadwall-last-enclosure/blob/f0ef5a2036d4876ae8f4d4477676da968a032d01/codex-3000/originaux/DEADWALL_CODEX_1.22/fiches/DW-0465.md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https://github.com/darknigthmare/deadwall-last-enclosure/blob/f0ef5a2036d4876ae8f4d4477676da968a032d01/codex-3000/originaux/DEADWALL_CODEX_1.22/fiches/DW-0466.md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https://github.com/darknigthmare/deadwall-last-enclosure/blob/f0ef5a2036d4876ae8f4d4477676da968a032d01/codex-3000/originaux/DEADWALL_CODEX_1.22/fiches/DW-0467.md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https://github.com/darknigthmare/deadwall-last-enclosure/blob/f0ef5a2036d4876ae8f4d4477676da968a032d01/codex-3000/originaux/DEADWALL_CODEX_1.22/fiches/DW-0468.md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https://github.com/darknigthmare/deadwall-last-enclosure/blob/f0ef5a2036d4876ae8f4d4477676da968a032d01/codex-3000/originaux/DEADWALL_CODEX_1.22/fiches/DW-0469.md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https://github.com/darknigthmare/deadwall-last-enclosure/blob/f0ef5a2036d4876ae8f4d4477676da968a032d01/codex-3000/originaux/DEADWALL_CODEX_1.22/fiches/DW-0470.md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https://github.com/darknigthmare/deadwall-last-enclosure/blob/f0ef5a2036d4876ae8f4d4477676da968a032d01/codex-3000/originaux/DEADWALL_CODEX_1.22/fiches/DW-0471.md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https://github.com/darknigthmare/deadwall-last-enclosure/blob/f0ef5a2036d4876ae8f4d4477676da968a032d01/codex-3000/originaux/DEADWALL_CODEX_1.22/fiches/DW-0472.md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https://github.com/darknigthmare/deadwall-last-enclosure/blob/f0ef5a2036d4876ae8f4d4477676da968a032d01/codex-3000/originaux/DEADWALL_CODEX_1.22/fiches/DW-0473.md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https://github.com/darknigthmare/deadwall-last-enclosure/blob/f0ef5a2036d4876ae8f4d4477676da968a032d01/codex-3000/originaux/DEADWALL_CODEX_1.22/fiches/DW-0474.md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https://github.com/darknigthmare/deadwall-last-enclosure/blob/f0ef5a2036d4876ae8f4d4477676da968a032d01/codex-3000/originaux/DEADWALL_CODEX_1.22/fiches/DW-0475.md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https://github.com/darknigthmare/deadwall-last-enclosure/blob/f0ef5a2036d4876ae8f4d4477676da968a032d01/codex-3000/originaux/DEADWALL_CODEX_1.22/fiches/DW-0476.md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https://github.com/darknigthmare/deadwall-last-enclosure/blob/f0ef5a2036d4876ae8f4d4477676da968a032d01/codex-3000/originaux/DEADWALL_CODEX_1.22/fiches/DW-0477.md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https://github.com/darknigthmare/deadwall-last-enclosure/blob/f0ef5a2036d4876ae8f4d4477676da968a032d01/codex-3000/originaux/DEADWALL_CODEX_1.22/fiches/DW-0478.md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https://github.com/darknigthmare/deadwall-last-enclosure/blob/f0ef5a2036d4876ae8f4d4477676da968a032d01/codex-3000/originaux/DEADWALL_CODEX_1.22/fiches/DW-0479.md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https://github.com/darknigthmare/deadwall-last-enclosure/blob/f0ef5a2036d4876ae8f4d4477676da968a032d01/codex-3000/originaux/DEADWALL_CODEX_1.22/fiches/DW-0480.md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https://github.com/darknigthmare/deadwall-last-enclosure/blob/f0ef5a2036d4876ae8f4d4477676da968a032d01/codex-3000/originaux/DEADWALL_CODEX_1.22/fiches/DW-0481.md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https://github.com/darknigthmare/deadwall-last-enclosure/blob/f0ef5a2036d4876ae8f4d4477676da968a032d01/codex-3000/originaux/DEADWALL_CODEX_1.22/fiches/DW-0482.md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https://github.com/darknigthmare/deadwall-last-enclosure/blob/f0ef5a2036d4876ae8f4d4477676da968a032d01/codex-3000/originaux/DEADWALL_CODEX_1.22/fiches/DW-0483.md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https://github.com/darknigthmare/deadwall-last-enclosure/blob/f0ef5a2036d4876ae8f4d4477676da968a032d01/codex-3000/originaux/DEADWALL_CODEX_1.22/fiches/DW-0484.md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https://github.com/darknigthmare/deadwall-last-enclosure/blob/f0ef5a2036d4876ae8f4d4477676da968a032d01/codex-3000/originaux/DEADWALL_CODEX_1.22/fiches/DW-0485.md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https://github.com/darknigthmare/deadwall-last-enclosure/blob/f0ef5a2036d4876ae8f4d4477676da968a032d01/codex-3000/originaux/DEADWALL_CODEX_1.22/fiches/DW-0486.md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https://github.com/darknigthmare/deadwall-last-enclosure/blob/f0ef5a2036d4876ae8f4d4477676da968a032d01/codex-3000/originaux/DEADWALL_CODEX_1.22/fiches/DW-0487.md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https://github.com/darknigthmare/deadwall-last-enclosure/blob/f0ef5a2036d4876ae8f4d4477676da968a032d01/codex-3000/originaux/DEADWALL_CODEX_1.22/fiches/DW-0488.md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https://github.com/darknigthmare/deadwall-last-enclosure/blob/f0ef5a2036d4876ae8f4d4477676da968a032d01/codex-3000/originaux/DEADWALL_CODEX_1.22/fiches/DW-0489.md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https://github.com/darknigthmare/deadwall-last-enclosure/blob/f0ef5a2036d4876ae8f4d4477676da968a032d01/codex-3000/originaux/DEADWALL_CODEX_1.22/fiches/DW-0490.md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https://github.com/darknigthmare/deadwall-last-enclosure/blob/f0ef5a2036d4876ae8f4d4477676da968a032d01/codex-3000/originaux/DEADWALL_CODEX_1.22/fiches/DW-0491.md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https://github.com/darknigthmare/deadwall-last-enclosure/blob/f0ef5a2036d4876ae8f4d4477676da968a032d01/codex-3000/originaux/DEADWALL_CODEX_1.22/fiches/DW-0492.md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https://github.com/darknigthmare/deadwall-last-enclosure/blob/f0ef5a2036d4876ae8f4d4477676da968a032d01/codex-3000/originaux/DEADWALL_CODEX_1.22/fiches/DW-0493.md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https://github.com/darknigthmare/deadwall-last-enclosure/blob/f0ef5a2036d4876ae8f4d4477676da968a032d01/codex-3000/originaux/DEADWALL_CODEX_1.22/fiches/DW-0494.md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https://github.com/darknigthmare/deadwall-last-enclosure/blob/f0ef5a2036d4876ae8f4d4477676da968a032d01/codex-3000/originaux/DEADWALL_CODEX_1.22/fiches/DW-0495.md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https://github.com/darknigthmare/deadwall-last-enclosure/blob/f0ef5a2036d4876ae8f4d4477676da968a032d01/codex-3000/originaux/DEADWALL_CODEX_1.22/fiches/DW-0496.md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https://github.com/darknigthmare/deadwall-last-enclosure/blob/f0ef5a2036d4876ae8f4d4477676da968a032d01/codex-3000/originaux/DEADWALL_CODEX_1.22/fiches/DW-0497.md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https://github.com/darknigthmare/deadwall-last-enclosure/blob/f0ef5a2036d4876ae8f4d4477676da968a032d01/codex-3000/originaux/DEADWALL_CODEX_1.22/fiches/DW-0498.md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https://github.com/darknigthmare/deadwall-last-enclosure/blob/f0ef5a2036d4876ae8f4d4477676da968a032d01/codex-3000/originaux/DEADWALL_CODEX_1.22/fiches/DW-0499.md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https://github.com/darknigthmare/deadwall-last-enclosure/blob/f0ef5a2036d4876ae8f4d4477676da968a032d01/codex-3000/originaux/DEADWALL_CODEX_1.22/fiches/DW-0500.md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https://github.com/darknigthmare/deadwall-last-enclosure/blob/f0ef5a2036d4876ae8f4d4477676da968a032d01/codex-3000/originaux/DEADWALL_CODEX_SUPPLEMENT_1.23/FICHES_501_1000/DW-0501.md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https://github.com/darknigthmare/deadwall-last-enclosure/blob/f0ef5a2036d4876ae8f4d4477676da968a032d01/codex-3000/originaux/DEADWALL_CODEX_SUPPLEMENT_1.23/FICHES_501_1000/DW-0502.md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https://github.com/darknigthmare/deadwall-last-enclosure/blob/f0ef5a2036d4876ae8f4d4477676da968a032d01/codex-3000/originaux/DEADWALL_CODEX_SUPPLEMENT_1.23/FICHES_501_1000/DW-0503.md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https://github.com/darknigthmare/deadwall-last-enclosure/blob/f0ef5a2036d4876ae8f4d4477676da968a032d01/codex-3000/originaux/DEADWALL_CODEX_SUPPLEMENT_1.23/FICHES_501_1000/DW-0504.md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https://github.com/darknigthmare/deadwall-last-enclosure/blob/f0ef5a2036d4876ae8f4d4477676da968a032d01/codex-3000/originaux/DEADWALL_CODEX_SUPPLEMENT_1.23/FICHES_501_1000/DW-0505.md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https://github.com/darknigthmare/deadwall-last-enclosure/blob/f0ef5a2036d4876ae8f4d4477676da968a032d01/codex-3000/originaux/DEADWALL_CODEX_SUPPLEMENT_1.23/FICHES_501_1000/DW-0506.md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https://github.com/darknigthmare/deadwall-last-enclosure/blob/f0ef5a2036d4876ae8f4d4477676da968a032d01/codex-3000/originaux/DEADWALL_CODEX_SUPPLEMENT_1.23/FICHES_501_1000/DW-0507.md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https://github.com/darknigthmare/deadwall-last-enclosure/blob/f0ef5a2036d4876ae8f4d4477676da968a032d01/codex-3000/originaux/DEADWALL_CODEX_SUPPLEMENT_1.23/FICHES_501_1000/DW-0508.md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https://github.com/darknigthmare/deadwall-last-enclosure/blob/f0ef5a2036d4876ae8f4d4477676da968a032d01/codex-3000/originaux/DEADWALL_CODEX_SUPPLEMENT_1.23/FICHES_501_1000/DW-0509.md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https://github.com/darknigthmare/deadwall-last-enclosure/blob/f0ef5a2036d4876ae8f4d4477676da968a032d01/codex-3000/originaux/DEADWALL_CODEX_SUPPLEMENT_1.23/FICHES_501_1000/DW-0510.md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https://github.com/darknigthmare/deadwall-last-enclosure/blob/f0ef5a2036d4876ae8f4d4477676da968a032d01/codex-3000/originaux/DEADWALL_CODEX_SUPPLEMENT_1.23/FICHES_501_1000/DW-0511.md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https://github.com/darknigthmare/deadwall-last-enclosure/blob/f0ef5a2036d4876ae8f4d4477676da968a032d01/codex-3000/originaux/DEADWALL_CODEX_SUPPLEMENT_1.23/FICHES_501_1000/DW-0512.md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https://github.com/darknigthmare/deadwall-last-enclosure/blob/f0ef5a2036d4876ae8f4d4477676da968a032d01/codex-3000/originaux/DEADWALL_CODEX_SUPPLEMENT_1.23/FICHES_501_1000/DW-0513.md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https://github.com/darknigthmare/deadwall-last-enclosure/blob/f0ef5a2036d4876ae8f4d4477676da968a032d01/codex-3000/originaux/DEADWALL_CODEX_SUPPLEMENT_1.23/FICHES_501_1000/DW-0514.md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https://github.com/darknigthmare/deadwall-last-enclosure/blob/f0ef5a2036d4876ae8f4d4477676da968a032d01/codex-3000/originaux/DEADWALL_CODEX_SUPPLEMENT_1.23/FICHES_501_1000/DW-0515.md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https://github.com/darknigthmare/deadwall-last-enclosure/blob/f0ef5a2036d4876ae8f4d4477676da968a032d01/codex-3000/originaux/DEADWALL_CODEX_SUPPLEMENT_1.23/FICHES_501_1000/DW-0516.md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https://github.com/darknigthmare/deadwall-last-enclosure/blob/f0ef5a2036d4876ae8f4d4477676da968a032d01/codex-3000/originaux/DEADWALL_CODEX_SUPPLEMENT_1.23/FICHES_501_1000/DW-0517.md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https://github.com/darknigthmare/deadwall-last-enclosure/blob/f0ef5a2036d4876ae8f4d4477676da968a032d01/codex-3000/originaux/DEADWALL_CODEX_SUPPLEMENT_1.23/FICHES_501_1000/DW-0518.md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https://github.com/darknigthmare/deadwall-last-enclosure/blob/f0ef5a2036d4876ae8f4d4477676da968a032d01/codex-3000/originaux/DEADWALL_CODEX_SUPPLEMENT_1.23/FICHES_501_1000/DW-0519.md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https://github.com/darknigthmare/deadwall-last-enclosure/blob/f0ef5a2036d4876ae8f4d4477676da968a032d01/codex-3000/originaux/DEADWALL_CODEX_SUPPLEMENT_1.23/FICHES_501_1000/DW-0520.md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https://github.com/darknigthmare/deadwall-last-enclosure/blob/f0ef5a2036d4876ae8f4d4477676da968a032d01/codex-3000/originaux/DEADWALL_CODEX_SUPPLEMENT_1.23/FICHES_501_1000/DW-0521.md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https://github.com/darknigthmare/deadwall-last-enclosure/blob/f0ef5a2036d4876ae8f4d4477676da968a032d01/codex-3000/originaux/DEADWALL_CODEX_SUPPLEMENT_1.23/FICHES_501_1000/DW-0522.md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https://github.com/darknigthmare/deadwall-last-enclosure/blob/f0ef5a2036d4876ae8f4d4477676da968a032d01/codex-3000/originaux/DEADWALL_CODEX_SUPPLEMENT_1.23/FICHES_501_1000/DW-0523.md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https://github.com/darknigthmare/deadwall-last-enclosure/blob/f0ef5a2036d4876ae8f4d4477676da968a032d01/codex-3000/originaux/DEADWALL_CODEX_SUPPLEMENT_1.23/FICHES_501_1000/DW-0524.md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https://github.com/darknigthmare/deadwall-last-enclosure/blob/f0ef5a2036d4876ae8f4d4477676da968a032d01/codex-3000/originaux/DEADWALL_CODEX_SUPPLEMENT_1.23/FICHES_501_1000/DW-0525.md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https://github.com/darknigthmare/deadwall-last-enclosure/blob/f0ef5a2036d4876ae8f4d4477676da968a032d01/codex-3000/originaux/DEADWALL_CODEX_SUPPLEMENT_1.23/FICHES_501_1000/DW-0526.md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https://github.com/darknigthmare/deadwall-last-enclosure/blob/f0ef5a2036d4876ae8f4d4477676da968a032d01/codex-3000/originaux/DEADWALL_CODEX_SUPPLEMENT_1.23/FICHES_501_1000/DW-0527.md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https://github.com/darknigthmare/deadwall-last-enclosure/blob/f0ef5a2036d4876ae8f4d4477676da968a032d01/codex-3000/originaux/DEADWALL_CODEX_SUPPLEMENT_1.23/FICHES_501_1000/DW-0528.md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https://github.com/darknigthmare/deadwall-last-enclosure/blob/f0ef5a2036d4876ae8f4d4477676da968a032d01/codex-3000/originaux/DEADWALL_CODEX_SUPPLEMENT_1.23/FICHES_501_1000/DW-0529.md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https://github.com/darknigthmare/deadwall-last-enclosure/blob/f0ef5a2036d4876ae8f4d4477676da968a032d01/codex-3000/originaux/DEADWALL_CODEX_SUPPLEMENT_1.23/FICHES_501_1000/DW-0530.md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https://github.com/darknigthmare/deadwall-last-enclosure/blob/f0ef5a2036d4876ae8f4d4477676da968a032d01/codex-3000/originaux/DEADWALL_CODEX_SUPPLEMENT_1.23/FICHES_501_1000/DW-0531.md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https://github.com/darknigthmare/deadwall-last-enclosure/blob/f0ef5a2036d4876ae8f4d4477676da968a032d01/codex-3000/originaux/DEADWALL_CODEX_SUPPLEMENT_1.23/FICHES_501_1000/DW-0532.md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https://github.com/darknigthmare/deadwall-last-enclosure/blob/f0ef5a2036d4876ae8f4d4477676da968a032d01/codex-3000/originaux/DEADWALL_CODEX_SUPPLEMENT_1.23/FICHES_501_1000/DW-0533.md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https://github.com/darknigthmare/deadwall-last-enclosure/blob/f0ef5a2036d4876ae8f4d4477676da968a032d01/codex-3000/originaux/DEADWALL_CODEX_SUPPLEMENT_1.23/FICHES_501_1000/DW-0534.md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https://github.com/darknigthmare/deadwall-last-enclosure/blob/f0ef5a2036d4876ae8f4d4477676da968a032d01/codex-3000/originaux/DEADWALL_CODEX_SUPPLEMENT_1.23/FICHES_501_1000/DW-0535.md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https://github.com/darknigthmare/deadwall-last-enclosure/blob/f0ef5a2036d4876ae8f4d4477676da968a032d01/codex-3000/originaux/DEADWALL_CODEX_SUPPLEMENT_1.23/FICHES_501_1000/DW-0536.md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https://github.com/darknigthmare/deadwall-last-enclosure/blob/f0ef5a2036d4876ae8f4d4477676da968a032d01/codex-3000/originaux/DEADWALL_CODEX_SUPPLEMENT_1.23/FICHES_501_1000/DW-0537.md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https://github.com/darknigthmare/deadwall-last-enclosure/blob/f0ef5a2036d4876ae8f4d4477676da968a032d01/codex-3000/originaux/DEADWALL_CODEX_SUPPLEMENT_1.23/FICHES_501_1000/DW-0538.md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https://github.com/darknigthmare/deadwall-last-enclosure/blob/f0ef5a2036d4876ae8f4d4477676da968a032d01/codex-3000/originaux/DEADWALL_CODEX_SUPPLEMENT_1.23/FICHES_501_1000/DW-0539.md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https://github.com/darknigthmare/deadwall-last-enclosure/blob/f0ef5a2036d4876ae8f4d4477676da968a032d01/codex-3000/originaux/DEADWALL_CODEX_SUPPLEMENT_1.23/FICHES_501_1000/DW-0540.md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https://github.com/darknigthmare/deadwall-last-enclosure/blob/f0ef5a2036d4876ae8f4d4477676da968a032d01/codex-3000/originaux/DEADWALL_CODEX_SUPPLEMENT_1.23/FICHES_501_1000/DW-0541.md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https://github.com/darknigthmare/deadwall-last-enclosure/blob/f0ef5a2036d4876ae8f4d4477676da968a032d01/codex-3000/originaux/DEADWALL_CODEX_SUPPLEMENT_1.23/FICHES_501_1000/DW-0542.md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https://github.com/darknigthmare/deadwall-last-enclosure/blob/f0ef5a2036d4876ae8f4d4477676da968a032d01/codex-3000/originaux/DEADWALL_CODEX_SUPPLEMENT_1.23/FICHES_501_1000/DW-0543.md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https://github.com/darknigthmare/deadwall-last-enclosure/blob/f0ef5a2036d4876ae8f4d4477676da968a032d01/codex-3000/originaux/DEADWALL_CODEX_SUPPLEMENT_1.23/FICHES_501_1000/DW-0544.md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https://github.com/darknigthmare/deadwall-last-enclosure/blob/f0ef5a2036d4876ae8f4d4477676da968a032d01/codex-3000/originaux/DEADWALL_CODEX_SUPPLEMENT_1.23/FICHES_501_1000/DW-0545.md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https://github.com/darknigthmare/deadwall-last-enclosure/blob/f0ef5a2036d4876ae8f4d4477676da968a032d01/codex-3000/originaux/DEADWALL_CODEX_SUPPLEMENT_1.23/FICHES_501_1000/DW-0546.md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https://github.com/darknigthmare/deadwall-last-enclosure/blob/f0ef5a2036d4876ae8f4d4477676da968a032d01/codex-3000/originaux/DEADWALL_CODEX_SUPPLEMENT_1.23/FICHES_501_1000/DW-0547.md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https://github.com/darknigthmare/deadwall-last-enclosure/blob/f0ef5a2036d4876ae8f4d4477676da968a032d01/codex-3000/originaux/DEADWALL_CODEX_SUPPLEMENT_1.23/FICHES_501_1000/DW-0548.md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https://github.com/darknigthmare/deadwall-last-enclosure/blob/f0ef5a2036d4876ae8f4d4477676da968a032d01/codex-3000/originaux/DEADWALL_CODEX_SUPPLEMENT_1.23/FICHES_501_1000/DW-0549.md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https://github.com/darknigthmare/deadwall-last-enclosure/blob/f0ef5a2036d4876ae8f4d4477676da968a032d01/codex-3000/originaux/DEADWALL_CODEX_SUPPLEMENT_1.23/FICHES_501_1000/DW-0550.md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https://github.com/darknigthmare/deadwall-last-enclosure/blob/f0ef5a2036d4876ae8f4d4477676da968a032d01/codex-3000/originaux/DEADWALL_CODEX_SUPPLEMENT_1.23/FICHES_501_1000/DW-0551.md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https://github.com/darknigthmare/deadwall-last-enclosure/blob/f0ef5a2036d4876ae8f4d4477676da968a032d01/codex-3000/originaux/DEADWALL_CODEX_SUPPLEMENT_1.23/FICHES_501_1000/DW-0552.md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https://github.com/darknigthmare/deadwall-last-enclosure/blob/f0ef5a2036d4876ae8f4d4477676da968a032d01/codex-3000/originaux/DEADWALL_CODEX_SUPPLEMENT_1.23/FICHES_501_1000/DW-0553.md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https://github.com/darknigthmare/deadwall-last-enclosure/blob/f0ef5a2036d4876ae8f4d4477676da968a032d01/codex-3000/originaux/DEADWALL_CODEX_SUPPLEMENT_1.23/FICHES_501_1000/DW-0554.md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https://github.com/darknigthmare/deadwall-last-enclosure/blob/f0ef5a2036d4876ae8f4d4477676da968a032d01/codex-3000/originaux/DEADWALL_CODEX_SUPPLEMENT_1.23/FICHES_501_1000/DW-0555.md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https://github.com/darknigthmare/deadwall-last-enclosure/blob/f0ef5a2036d4876ae8f4d4477676da968a032d01/codex-3000/originaux/DEADWALL_CODEX_SUPPLEMENT_1.23/FICHES_501_1000/DW-0556.md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https://github.com/darknigthmare/deadwall-last-enclosure/blob/f0ef5a2036d4876ae8f4d4477676da968a032d01/codex-3000/originaux/DEADWALL_CODEX_SUPPLEMENT_1.23/FICHES_501_1000/DW-0557.md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https://github.com/darknigthmare/deadwall-last-enclosure/blob/f0ef5a2036d4876ae8f4d4477676da968a032d01/codex-3000/originaux/DEADWALL_CODEX_SUPPLEMENT_1.23/FICHES_501_1000/DW-0558.md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https://github.com/darknigthmare/deadwall-last-enclosure/blob/f0ef5a2036d4876ae8f4d4477676da968a032d01/codex-3000/originaux/DEADWALL_CODEX_SUPPLEMENT_1.23/FICHES_501_1000/DW-0559.md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https://github.com/darknigthmare/deadwall-last-enclosure/blob/f0ef5a2036d4876ae8f4d4477676da968a032d01/codex-3000/originaux/DEADWALL_CODEX_SUPPLEMENT_1.23/FICHES_501_1000/DW-0560.md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https://github.com/darknigthmare/deadwall-last-enclosure/blob/f0ef5a2036d4876ae8f4d4477676da968a032d01/codex-3000/originaux/DEADWALL_CODEX_SUPPLEMENT_1.23/FICHES_501_1000/DW-0561.md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https://github.com/darknigthmare/deadwall-last-enclosure/blob/f0ef5a2036d4876ae8f4d4477676da968a032d01/codex-3000/originaux/DEADWALL_CODEX_SUPPLEMENT_1.23/FICHES_501_1000/DW-0562.md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https://github.com/darknigthmare/deadwall-last-enclosure/blob/f0ef5a2036d4876ae8f4d4477676da968a032d01/codex-3000/originaux/DEADWALL_CODEX_SUPPLEMENT_1.23/FICHES_501_1000/DW-0563.md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https://github.com/darknigthmare/deadwall-last-enclosure/blob/f0ef5a2036d4876ae8f4d4477676da968a032d01/codex-3000/originaux/DEADWALL_CODEX_SUPPLEMENT_1.23/FICHES_501_1000/DW-0564.md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https://github.com/darknigthmare/deadwall-last-enclosure/blob/f0ef5a2036d4876ae8f4d4477676da968a032d01/codex-3000/originaux/DEADWALL_CODEX_SUPPLEMENT_1.23/FICHES_501_1000/DW-0565.md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https://github.com/darknigthmare/deadwall-last-enclosure/blob/f0ef5a2036d4876ae8f4d4477676da968a032d01/codex-3000/originaux/DEADWALL_CODEX_SUPPLEMENT_1.23/FICHES_501_1000/DW-0566.md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https://github.com/darknigthmare/deadwall-last-enclosure/blob/f0ef5a2036d4876ae8f4d4477676da968a032d01/codex-3000/originaux/DEADWALL_CODEX_SUPPLEMENT_1.23/FICHES_501_1000/DW-0567.md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https://github.com/darknigthmare/deadwall-last-enclosure/blob/f0ef5a2036d4876ae8f4d4477676da968a032d01/codex-3000/originaux/DEADWALL_CODEX_SUPPLEMENT_1.23/FICHES_501_1000/DW-0568.md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https://github.com/darknigthmare/deadwall-last-enclosure/blob/f0ef5a2036d4876ae8f4d4477676da968a032d01/codex-3000/originaux/DEADWALL_CODEX_SUPPLEMENT_1.23/FICHES_501_1000/DW-0569.md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https://github.com/darknigthmare/deadwall-last-enclosure/blob/f0ef5a2036d4876ae8f4d4477676da968a032d01/codex-3000/originaux/DEADWALL_CODEX_SUPPLEMENT_1.23/FICHES_501_1000/DW-0570.md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https://github.com/darknigthmare/deadwall-last-enclosure/blob/f0ef5a2036d4876ae8f4d4477676da968a032d01/codex-3000/originaux/DEADWALL_CODEX_SUPPLEMENT_1.23/FICHES_501_1000/DW-0571.md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https://github.com/darknigthmare/deadwall-last-enclosure/blob/f0ef5a2036d4876ae8f4d4477676da968a032d01/codex-3000/originaux/DEADWALL_CODEX_SUPPLEMENT_1.23/FICHES_501_1000/DW-0572.md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https://github.com/darknigthmare/deadwall-last-enclosure/blob/f0ef5a2036d4876ae8f4d4477676da968a032d01/codex-3000/originaux/DEADWALL_CODEX_SUPPLEMENT_1.23/FICHES_501_1000/DW-0573.md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https://github.com/darknigthmare/deadwall-last-enclosure/blob/f0ef5a2036d4876ae8f4d4477676da968a032d01/codex-3000/originaux/DEADWALL_CODEX_SUPPLEMENT_1.23/FICHES_501_1000/DW-0574.md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https://github.com/darknigthmare/deadwall-last-enclosure/blob/f0ef5a2036d4876ae8f4d4477676da968a032d01/codex-3000/originaux/DEADWALL_CODEX_SUPPLEMENT_1.23/FICHES_501_1000/DW-0575.md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https://github.com/darknigthmare/deadwall-last-enclosure/blob/f0ef5a2036d4876ae8f4d4477676da968a032d01/codex-3000/originaux/DEADWALL_CODEX_SUPPLEMENT_1.23/FICHES_501_1000/DW-0576.md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https://github.com/darknigthmare/deadwall-last-enclosure/blob/f0ef5a2036d4876ae8f4d4477676da968a032d01/codex-3000/originaux/DEADWALL_CODEX_SUPPLEMENT_1.23/FICHES_501_1000/DW-0577.md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https://github.com/darknigthmare/deadwall-last-enclosure/blob/f0ef5a2036d4876ae8f4d4477676da968a032d01/codex-3000/originaux/DEADWALL_CODEX_SUPPLEMENT_1.23/FICHES_501_1000/DW-0578.md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https://github.com/darknigthmare/deadwall-last-enclosure/blob/f0ef5a2036d4876ae8f4d4477676da968a032d01/codex-3000/originaux/DEADWALL_CODEX_SUPPLEMENT_1.23/FICHES_501_1000/DW-0579.md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https://github.com/darknigthmare/deadwall-last-enclosure/blob/f0ef5a2036d4876ae8f4d4477676da968a032d01/codex-3000/originaux/DEADWALL_CODEX_SUPPLEMENT_1.23/FICHES_501_1000/DW-0580.md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https://github.com/darknigthmare/deadwall-last-enclosure/blob/f0ef5a2036d4876ae8f4d4477676da968a032d01/codex-3000/originaux/DEADWALL_CODEX_SUPPLEMENT_1.23/FICHES_501_1000/DW-0581.md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https://github.com/darknigthmare/deadwall-last-enclosure/blob/f0ef5a2036d4876ae8f4d4477676da968a032d01/codex-3000/originaux/DEADWALL_CODEX_SUPPLEMENT_1.23/FICHES_501_1000/DW-0582.md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https://github.com/darknigthmare/deadwall-last-enclosure/blob/f0ef5a2036d4876ae8f4d4477676da968a032d01/codex-3000/originaux/DEADWALL_CODEX_SUPPLEMENT_1.23/FICHES_501_1000/DW-0583.md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https://github.com/darknigthmare/deadwall-last-enclosure/blob/f0ef5a2036d4876ae8f4d4477676da968a032d01/codex-3000/originaux/DEADWALL_CODEX_SUPPLEMENT_1.23/FICHES_501_1000/DW-0584.md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https://github.com/darknigthmare/deadwall-last-enclosure/blob/f0ef5a2036d4876ae8f4d4477676da968a032d01/codex-3000/originaux/DEADWALL_CODEX_SUPPLEMENT_1.23/FICHES_501_1000/DW-0585.md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https://github.com/darknigthmare/deadwall-last-enclosure/blob/f0ef5a2036d4876ae8f4d4477676da968a032d01/codex-3000/originaux/DEADWALL_CODEX_SUPPLEMENT_1.23/FICHES_501_1000/DW-0586.md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https://github.com/darknigthmare/deadwall-last-enclosure/blob/f0ef5a2036d4876ae8f4d4477676da968a032d01/codex-3000/originaux/DEADWALL_CODEX_SUPPLEMENT_1.23/FICHES_501_1000/DW-0587.md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https://github.com/darknigthmare/deadwall-last-enclosure/blob/f0ef5a2036d4876ae8f4d4477676da968a032d01/codex-3000/originaux/DEADWALL_CODEX_SUPPLEMENT_1.23/FICHES_501_1000/DW-0588.md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https://github.com/darknigthmare/deadwall-last-enclosure/blob/f0ef5a2036d4876ae8f4d4477676da968a032d01/codex-3000/originaux/DEADWALL_CODEX_SUPPLEMENT_1.23/FICHES_501_1000/DW-0589.md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https://github.com/darknigthmare/deadwall-last-enclosure/blob/f0ef5a2036d4876ae8f4d4477676da968a032d01/codex-3000/originaux/DEADWALL_CODEX_SUPPLEMENT_1.23/FICHES_501_1000/DW-0590.md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https://github.com/darknigthmare/deadwall-last-enclosure/blob/f0ef5a2036d4876ae8f4d4477676da968a032d01/codex-3000/originaux/DEADWALL_CODEX_SUPPLEMENT_1.23/FICHES_501_1000/DW-0591.md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https://github.com/darknigthmare/deadwall-last-enclosure/blob/f0ef5a2036d4876ae8f4d4477676da968a032d01/codex-3000/originaux/DEADWALL_CODEX_SUPPLEMENT_1.23/FICHES_501_1000/DW-0592.md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https://github.com/darknigthmare/deadwall-last-enclosure/blob/f0ef5a2036d4876ae8f4d4477676da968a032d01/codex-3000/originaux/DEADWALL_CODEX_SUPPLEMENT_1.23/FICHES_501_1000/DW-0593.md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https://github.com/darknigthmare/deadwall-last-enclosure/blob/f0ef5a2036d4876ae8f4d4477676da968a032d01/codex-3000/originaux/DEADWALL_CODEX_SUPPLEMENT_1.23/FICHES_501_1000/DW-0594.md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https://github.com/darknigthmare/deadwall-last-enclosure/blob/f0ef5a2036d4876ae8f4d4477676da968a032d01/codex-3000/originaux/DEADWALL_CODEX_SUPPLEMENT_1.23/FICHES_501_1000/DW-0595.md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https://github.com/darknigthmare/deadwall-last-enclosure/blob/f0ef5a2036d4876ae8f4d4477676da968a032d01/codex-3000/originaux/DEADWALL_CODEX_SUPPLEMENT_1.23/FICHES_501_1000/DW-0596.md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https://github.com/darknigthmare/deadwall-last-enclosure/blob/f0ef5a2036d4876ae8f4d4477676da968a032d01/codex-3000/originaux/DEADWALL_CODEX_SUPPLEMENT_1.23/FICHES_501_1000/DW-0597.md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https://github.com/darknigthmare/deadwall-last-enclosure/blob/f0ef5a2036d4876ae8f4d4477676da968a032d01/codex-3000/originaux/DEADWALL_CODEX_SUPPLEMENT_1.23/FICHES_501_1000/DW-0598.md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https://github.com/darknigthmare/deadwall-last-enclosure/blob/f0ef5a2036d4876ae8f4d4477676da968a032d01/codex-3000/originaux/DEADWALL_CODEX_SUPPLEMENT_1.23/FICHES_501_1000/DW-0599.md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https://github.com/darknigthmare/deadwall-last-enclosure/blob/f0ef5a2036d4876ae8f4d4477676da968a032d01/codex-3000/originaux/DEADWALL_CODEX_SUPPLEMENT_1.23/FICHES_501_1000/DW-0600.md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https://github.com/darknigthmare/deadwall-last-enclosure/blob/f0ef5a2036d4876ae8f4d4477676da968a032d01/codex-3000/originaux/DEADWALL_CODEX_SUPPLEMENT_1.23/FICHES_501_1000/DW-0601.md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https://github.com/darknigthmare/deadwall-last-enclosure/blob/f0ef5a2036d4876ae8f4d4477676da968a032d01/codex-3000/originaux/DEADWALL_CODEX_SUPPLEMENT_1.23/FICHES_501_1000/DW-0602.md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https://github.com/darknigthmare/deadwall-last-enclosure/blob/f0ef5a2036d4876ae8f4d4477676da968a032d01/codex-3000/originaux/DEADWALL_CODEX_SUPPLEMENT_1.23/FICHES_501_1000/DW-0603.md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https://github.com/darknigthmare/deadwall-last-enclosure/blob/f0ef5a2036d4876ae8f4d4477676da968a032d01/codex-3000/originaux/DEADWALL_CODEX_SUPPLEMENT_1.23/FICHES_501_1000/DW-0604.md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https://github.com/darknigthmare/deadwall-last-enclosure/blob/f0ef5a2036d4876ae8f4d4477676da968a032d01/codex-3000/originaux/DEADWALL_CODEX_SUPPLEMENT_1.23/FICHES_501_1000/DW-0605.md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https://github.com/darknigthmare/deadwall-last-enclosure/blob/f0ef5a2036d4876ae8f4d4477676da968a032d01/codex-3000/originaux/DEADWALL_CODEX_SUPPLEMENT_1.23/FICHES_501_1000/DW-0606.md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https://github.com/darknigthmare/deadwall-last-enclosure/blob/f0ef5a2036d4876ae8f4d4477676da968a032d01/codex-3000/originaux/DEADWALL_CODEX_SUPPLEMENT_1.23/FICHES_501_1000/DW-0607.md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https://github.com/darknigthmare/deadwall-last-enclosure/blob/f0ef5a2036d4876ae8f4d4477676da968a032d01/codex-3000/originaux/DEADWALL_CODEX_SUPPLEMENT_1.23/FICHES_501_1000/DW-0608.md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https://github.com/darknigthmare/deadwall-last-enclosure/blob/f0ef5a2036d4876ae8f4d4477676da968a032d01/codex-3000/originaux/DEADWALL_CODEX_SUPPLEMENT_1.23/FICHES_501_1000/DW-0609.md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https://github.com/darknigthmare/deadwall-last-enclosure/blob/f0ef5a2036d4876ae8f4d4477676da968a032d01/codex-3000/originaux/DEADWALL_CODEX_SUPPLEMENT_1.23/FICHES_501_1000/DW-0610.md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https://github.com/darknigthmare/deadwall-last-enclosure/blob/f0ef5a2036d4876ae8f4d4477676da968a032d01/codex-3000/originaux/DEADWALL_CODEX_SUPPLEMENT_1.23/FICHES_501_1000/DW-0611.md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https://github.com/darknigthmare/deadwall-last-enclosure/blob/f0ef5a2036d4876ae8f4d4477676da968a032d01/codex-3000/originaux/DEADWALL_CODEX_SUPPLEMENT_1.23/FICHES_501_1000/DW-0612.md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https://github.com/darknigthmare/deadwall-last-enclosure/blob/f0ef5a2036d4876ae8f4d4477676da968a032d01/codex-3000/originaux/DEADWALL_CODEX_SUPPLEMENT_1.23/FICHES_501_1000/DW-0613.md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https://github.com/darknigthmare/deadwall-last-enclosure/blob/f0ef5a2036d4876ae8f4d4477676da968a032d01/codex-3000/originaux/DEADWALL_CODEX_SUPPLEMENT_1.23/FICHES_501_1000/DW-0614.md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https://github.com/darknigthmare/deadwall-last-enclosure/blob/f0ef5a2036d4876ae8f4d4477676da968a032d01/codex-3000/originaux/DEADWALL_CODEX_SUPPLEMENT_1.23/FICHES_501_1000/DW-0615.md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https://github.com/darknigthmare/deadwall-last-enclosure/blob/f0ef5a2036d4876ae8f4d4477676da968a032d01/codex-3000/originaux/DEADWALL_CODEX_SUPPLEMENT_1.23/FICHES_501_1000/DW-0616.md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https://github.com/darknigthmare/deadwall-last-enclosure/blob/f0ef5a2036d4876ae8f4d4477676da968a032d01/codex-3000/originaux/DEADWALL_CODEX_SUPPLEMENT_1.23/FICHES_501_1000/DW-0617.md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https://github.com/darknigthmare/deadwall-last-enclosure/blob/f0ef5a2036d4876ae8f4d4477676da968a032d01/codex-3000/originaux/DEADWALL_CODEX_SUPPLEMENT_1.23/FICHES_501_1000/DW-0618.md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https://github.com/darknigthmare/deadwall-last-enclosure/blob/f0ef5a2036d4876ae8f4d4477676da968a032d01/codex-3000/originaux/DEADWALL_CODEX_SUPPLEMENT_1.23/FICHES_501_1000/DW-0619.md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https://github.com/darknigthmare/deadwall-last-enclosure/blob/f0ef5a2036d4876ae8f4d4477676da968a032d01/codex-3000/originaux/DEADWALL_CODEX_SUPPLEMENT_1.23/FICHES_501_1000/DW-0620.md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https://github.com/darknigthmare/deadwall-last-enclosure/blob/f0ef5a2036d4876ae8f4d4477676da968a032d01/codex-3000/originaux/DEADWALL_CODEX_SUPPLEMENT_1.23/FICHES_501_1000/DW-0621.md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https://github.com/darknigthmare/deadwall-last-enclosure/blob/f0ef5a2036d4876ae8f4d4477676da968a032d01/codex-3000/originaux/DEADWALL_CODEX_SUPPLEMENT_1.23/FICHES_501_1000/DW-0622.md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https://github.com/darknigthmare/deadwall-last-enclosure/blob/f0ef5a2036d4876ae8f4d4477676da968a032d01/codex-3000/originaux/DEADWALL_CODEX_SUPPLEMENT_1.23/FICHES_501_1000/DW-0623.md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https://github.com/darknigthmare/deadwall-last-enclosure/blob/f0ef5a2036d4876ae8f4d4477676da968a032d01/codex-3000/originaux/DEADWALL_CODEX_SUPPLEMENT_1.23/FICHES_501_1000/DW-0624.md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https://github.com/darknigthmare/deadwall-last-enclosure/blob/f0ef5a2036d4876ae8f4d4477676da968a032d01/codex-3000/originaux/DEADWALL_CODEX_SUPPLEMENT_1.23/FICHES_501_1000/DW-0625.md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https://github.com/darknigthmare/deadwall-last-enclosure/blob/f0ef5a2036d4876ae8f4d4477676da968a032d01/codex-3000/originaux/DEADWALL_CODEX_SUPPLEMENT_1.23/FICHES_501_1000/DW-0626.md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https://github.com/darknigthmare/deadwall-last-enclosure/blob/f0ef5a2036d4876ae8f4d4477676da968a032d01/codex-3000/originaux/DEADWALL_CODEX_SUPPLEMENT_1.23/FICHES_501_1000/DW-0627.md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https://github.com/darknigthmare/deadwall-last-enclosure/blob/f0ef5a2036d4876ae8f4d4477676da968a032d01/codex-3000/originaux/DEADWALL_CODEX_SUPPLEMENT_1.23/FICHES_501_1000/DW-0628.md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https://github.com/darknigthmare/deadwall-last-enclosure/blob/f0ef5a2036d4876ae8f4d4477676da968a032d01/codex-3000/originaux/DEADWALL_CODEX_SUPPLEMENT_1.23/FICHES_501_1000/DW-0629.md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https://github.com/darknigthmare/deadwall-last-enclosure/blob/f0ef5a2036d4876ae8f4d4477676da968a032d01/codex-3000/originaux/DEADWALL_CODEX_SUPPLEMENT_1.23/FICHES_501_1000/DW-0630.md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https://github.com/darknigthmare/deadwall-last-enclosure/blob/f0ef5a2036d4876ae8f4d4477676da968a032d01/codex-3000/originaux/DEADWALL_CODEX_SUPPLEMENT_1.23/FICHES_501_1000/DW-0631.md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https://github.com/darknigthmare/deadwall-last-enclosure/blob/f0ef5a2036d4876ae8f4d4477676da968a032d01/codex-3000/originaux/DEADWALL_CODEX_SUPPLEMENT_1.23/FICHES_501_1000/DW-0632.md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https://github.com/darknigthmare/deadwall-last-enclosure/blob/f0ef5a2036d4876ae8f4d4477676da968a032d01/codex-3000/originaux/DEADWALL_CODEX_SUPPLEMENT_1.23/FICHES_501_1000/DW-0633.md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https://github.com/darknigthmare/deadwall-last-enclosure/blob/f0ef5a2036d4876ae8f4d4477676da968a032d01/codex-3000/originaux/DEADWALL_CODEX_SUPPLEMENT_1.23/FICHES_501_1000/DW-0634.md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https://github.com/darknigthmare/deadwall-last-enclosure/blob/f0ef5a2036d4876ae8f4d4477676da968a032d01/codex-3000/originaux/DEADWALL_CODEX_SUPPLEMENT_1.23/FICHES_501_1000/DW-0635.md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https://github.com/darknigthmare/deadwall-last-enclosure/blob/f0ef5a2036d4876ae8f4d4477676da968a032d01/codex-3000/originaux/DEADWALL_CODEX_SUPPLEMENT_1.23/FICHES_501_1000/DW-0636.md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https://github.com/darknigthmare/deadwall-last-enclosure/blob/f0ef5a2036d4876ae8f4d4477676da968a032d01/codex-3000/originaux/DEADWALL_CODEX_SUPPLEMENT_1.23/FICHES_501_1000/DW-0637.md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https://github.com/darknigthmare/deadwall-last-enclosure/blob/f0ef5a2036d4876ae8f4d4477676da968a032d01/codex-3000/originaux/DEADWALL_CODEX_SUPPLEMENT_1.23/FICHES_501_1000/DW-0638.md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https://github.com/darknigthmare/deadwall-last-enclosure/blob/f0ef5a2036d4876ae8f4d4477676da968a032d01/codex-3000/originaux/DEADWALL_CODEX_SUPPLEMENT_1.23/FICHES_501_1000/DW-0639.md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https://github.com/darknigthmare/deadwall-last-enclosure/blob/f0ef5a2036d4876ae8f4d4477676da968a032d01/codex-3000/originaux/DEADWALL_CODEX_SUPPLEMENT_1.23/FICHES_501_1000/DW-0640.md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https://github.com/darknigthmare/deadwall-last-enclosure/blob/f0ef5a2036d4876ae8f4d4477676da968a032d01/codex-3000/originaux/DEADWALL_CODEX_SUPPLEMENT_1.23/FICHES_501_1000/DW-0641.md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https://github.com/darknigthmare/deadwall-last-enclosure/blob/f0ef5a2036d4876ae8f4d4477676da968a032d01/codex-3000/originaux/DEADWALL_CODEX_SUPPLEMENT_1.23/FICHES_501_1000/DW-0642.md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https://github.com/darknigthmare/deadwall-last-enclosure/blob/f0ef5a2036d4876ae8f4d4477676da968a032d01/codex-3000/originaux/DEADWALL_CODEX_SUPPLEMENT_1.23/FICHES_501_1000/DW-0643.md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https://github.com/darknigthmare/deadwall-last-enclosure/blob/f0ef5a2036d4876ae8f4d4477676da968a032d01/codex-3000/originaux/DEADWALL_CODEX_SUPPLEMENT_1.23/FICHES_501_1000/DW-0644.md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https://github.com/darknigthmare/deadwall-last-enclosure/blob/f0ef5a2036d4876ae8f4d4477676da968a032d01/codex-3000/originaux/DEADWALL_CODEX_SUPPLEMENT_1.23/FICHES_501_1000/DW-0645.md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https://github.com/darknigthmare/deadwall-last-enclosure/blob/f0ef5a2036d4876ae8f4d4477676da968a032d01/codex-3000/originaux/DEADWALL_CODEX_SUPPLEMENT_1.23/FICHES_501_1000/DW-0646.md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https://github.com/darknigthmare/deadwall-last-enclosure/blob/f0ef5a2036d4876ae8f4d4477676da968a032d01/codex-3000/originaux/DEADWALL_CODEX_SUPPLEMENT_1.23/FICHES_501_1000/DW-0647.md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https://github.com/darknigthmare/deadwall-last-enclosure/blob/f0ef5a2036d4876ae8f4d4477676da968a032d01/codex-3000/originaux/DEADWALL_CODEX_SUPPLEMENT_1.23/FICHES_501_1000/DW-0648.md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https://github.com/darknigthmare/deadwall-last-enclosure/blob/f0ef5a2036d4876ae8f4d4477676da968a032d01/codex-3000/originaux/DEADWALL_CODEX_SUPPLEMENT_1.23/FICHES_501_1000/DW-0649.md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https://github.com/darknigthmare/deadwall-last-enclosure/blob/f0ef5a2036d4876ae8f4d4477676da968a032d01/codex-3000/originaux/DEADWALL_CODEX_SUPPLEMENT_1.23/FICHES_501_1000/DW-0650.md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https://github.com/darknigthmare/deadwall-last-enclosure/blob/f0ef5a2036d4876ae8f4d4477676da968a032d01/codex-3000/originaux/DEADWALL_CODEX_SUPPLEMENT_1.23/FICHES_501_1000/DW-0651.md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https://github.com/darknigthmare/deadwall-last-enclosure/blob/f0ef5a2036d4876ae8f4d4477676da968a032d01/codex-3000/originaux/DEADWALL_CODEX_SUPPLEMENT_1.23/FICHES_501_1000/DW-0652.md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https://github.com/darknigthmare/deadwall-last-enclosure/blob/f0ef5a2036d4876ae8f4d4477676da968a032d01/codex-3000/originaux/DEADWALL_CODEX_SUPPLEMENT_1.23/FICHES_501_1000/DW-0653.md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https://github.com/darknigthmare/deadwall-last-enclosure/blob/f0ef5a2036d4876ae8f4d4477676da968a032d01/codex-3000/originaux/DEADWALL_CODEX_SUPPLEMENT_1.23/FICHES_501_1000/DW-0654.md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https://github.com/darknigthmare/deadwall-last-enclosure/blob/f0ef5a2036d4876ae8f4d4477676da968a032d01/codex-3000/originaux/DEADWALL_CODEX_SUPPLEMENT_1.23/FICHES_501_1000/DW-0655.md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https://github.com/darknigthmare/deadwall-last-enclosure/blob/f0ef5a2036d4876ae8f4d4477676da968a032d01/codex-3000/originaux/DEADWALL_CODEX_SUPPLEMENT_1.23/FICHES_501_1000/DW-0656.md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https://github.com/darknigthmare/deadwall-last-enclosure/blob/f0ef5a2036d4876ae8f4d4477676da968a032d01/codex-3000/originaux/DEADWALL_CODEX_SUPPLEMENT_1.23/FICHES_501_1000/DW-0657.md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https://github.com/darknigthmare/deadwall-last-enclosure/blob/f0ef5a2036d4876ae8f4d4477676da968a032d01/codex-3000/originaux/DEADWALL_CODEX_SUPPLEMENT_1.23/FICHES_501_1000/DW-0658.md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https://github.com/darknigthmare/deadwall-last-enclosure/blob/f0ef5a2036d4876ae8f4d4477676da968a032d01/codex-3000/originaux/DEADWALL_CODEX_SUPPLEMENT_1.23/FICHES_501_1000/DW-0659.md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https://github.com/darknigthmare/deadwall-last-enclosure/blob/f0ef5a2036d4876ae8f4d4477676da968a032d01/codex-3000/originaux/DEADWALL_CODEX_SUPPLEMENT_1.23/FICHES_501_1000/DW-0660.md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https://github.com/darknigthmare/deadwall-last-enclosure/blob/f0ef5a2036d4876ae8f4d4477676da968a032d01/codex-3000/originaux/DEADWALL_CODEX_SUPPLEMENT_1.23/FICHES_501_1000/DW-0661.md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https://github.com/darknigthmare/deadwall-last-enclosure/blob/f0ef5a2036d4876ae8f4d4477676da968a032d01/codex-3000/originaux/DEADWALL_CODEX_SUPPLEMENT_1.23/FICHES_501_1000/DW-0662.md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https://github.com/darknigthmare/deadwall-last-enclosure/blob/f0ef5a2036d4876ae8f4d4477676da968a032d01/codex-3000/originaux/DEADWALL_CODEX_SUPPLEMENT_1.23/FICHES_501_1000/DW-0663.md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https://github.com/darknigthmare/deadwall-last-enclosure/blob/f0ef5a2036d4876ae8f4d4477676da968a032d01/codex-3000/originaux/DEADWALL_CODEX_SUPPLEMENT_1.23/FICHES_501_1000/DW-0664.md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https://github.com/darknigthmare/deadwall-last-enclosure/blob/f0ef5a2036d4876ae8f4d4477676da968a032d01/codex-3000/originaux/DEADWALL_CODEX_SUPPLEMENT_1.23/FICHES_501_1000/DW-0665.md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https://github.com/darknigthmare/deadwall-last-enclosure/blob/f0ef5a2036d4876ae8f4d4477676da968a032d01/codex-3000/originaux/DEADWALL_CODEX_SUPPLEMENT_1.23/FICHES_501_1000/DW-0666.md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https://github.com/darknigthmare/deadwall-last-enclosure/blob/f0ef5a2036d4876ae8f4d4477676da968a032d01/codex-3000/originaux/DEADWALL_CODEX_SUPPLEMENT_1.23/FICHES_501_1000/DW-0667.md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https://github.com/darknigthmare/deadwall-last-enclosure/blob/f0ef5a2036d4876ae8f4d4477676da968a032d01/codex-3000/originaux/DEADWALL_CODEX_SUPPLEMENT_1.23/FICHES_501_1000/DW-0668.md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https://github.com/darknigthmare/deadwall-last-enclosure/blob/f0ef5a2036d4876ae8f4d4477676da968a032d01/codex-3000/originaux/DEADWALL_CODEX_SUPPLEMENT_1.23/FICHES_501_1000/DW-0669.md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https://github.com/darknigthmare/deadwall-last-enclosure/blob/f0ef5a2036d4876ae8f4d4477676da968a032d01/codex-3000/originaux/DEADWALL_CODEX_SUPPLEMENT_1.23/FICHES_501_1000/DW-0670.md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https://github.com/darknigthmare/deadwall-last-enclosure/blob/f0ef5a2036d4876ae8f4d4477676da968a032d01/codex-3000/originaux/DEADWALL_CODEX_SUPPLEMENT_1.23/FICHES_501_1000/DW-0671.md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https://github.com/darknigthmare/deadwall-last-enclosure/blob/f0ef5a2036d4876ae8f4d4477676da968a032d01/codex-3000/originaux/DEADWALL_CODEX_SUPPLEMENT_1.23/FICHES_501_1000/DW-0672.md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https://github.com/darknigthmare/deadwall-last-enclosure/blob/f0ef5a2036d4876ae8f4d4477676da968a032d01/codex-3000/originaux/DEADWALL_CODEX_SUPPLEMENT_1.23/FICHES_501_1000/DW-0673.md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https://github.com/darknigthmare/deadwall-last-enclosure/blob/f0ef5a2036d4876ae8f4d4477676da968a032d01/codex-3000/originaux/DEADWALL_CODEX_SUPPLEMENT_1.23/FICHES_501_1000/DW-0674.md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https://github.com/darknigthmare/deadwall-last-enclosure/blob/f0ef5a2036d4876ae8f4d4477676da968a032d01/codex-3000/originaux/DEADWALL_CODEX_SUPPLEMENT_1.23/FICHES_501_1000/DW-0675.md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https://github.com/darknigthmare/deadwall-last-enclosure/blob/f0ef5a2036d4876ae8f4d4477676da968a032d01/codex-3000/originaux/DEADWALL_CODEX_SUPPLEMENT_1.23/FICHES_501_1000/DW-0676.md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https://github.com/darknigthmare/deadwall-last-enclosure/blob/f0ef5a2036d4876ae8f4d4477676da968a032d01/codex-3000/originaux/DEADWALL_CODEX_SUPPLEMENT_1.23/FICHES_501_1000/DW-0677.md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https://github.com/darknigthmare/deadwall-last-enclosure/blob/f0ef5a2036d4876ae8f4d4477676da968a032d01/codex-3000/originaux/DEADWALL_CODEX_SUPPLEMENT_1.23/FICHES_501_1000/DW-0678.md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https://github.com/darknigthmare/deadwall-last-enclosure/blob/f0ef5a2036d4876ae8f4d4477676da968a032d01/codex-3000/originaux/DEADWALL_CODEX_SUPPLEMENT_1.23/FICHES_501_1000/DW-0679.md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https://github.com/darknigthmare/deadwall-last-enclosure/blob/f0ef5a2036d4876ae8f4d4477676da968a032d01/codex-3000/originaux/DEADWALL_CODEX_SUPPLEMENT_1.23/FICHES_501_1000/DW-0680.md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https://github.com/darknigthmare/deadwall-last-enclosure/blob/f0ef5a2036d4876ae8f4d4477676da968a032d01/codex-3000/originaux/DEADWALL_CODEX_SUPPLEMENT_1.23/FICHES_501_1000/DW-0681.md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https://github.com/darknigthmare/deadwall-last-enclosure/blob/f0ef5a2036d4876ae8f4d4477676da968a032d01/codex-3000/originaux/DEADWALL_CODEX_SUPPLEMENT_1.23/FICHES_501_1000/DW-0682.md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https://github.com/darknigthmare/deadwall-last-enclosure/blob/f0ef5a2036d4876ae8f4d4477676da968a032d01/codex-3000/originaux/DEADWALL_CODEX_SUPPLEMENT_1.23/FICHES_501_1000/DW-0683.md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https://github.com/darknigthmare/deadwall-last-enclosure/blob/f0ef5a2036d4876ae8f4d4477676da968a032d01/codex-3000/originaux/DEADWALL_CODEX_SUPPLEMENT_1.23/FICHES_501_1000/DW-0684.md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https://github.com/darknigthmare/deadwall-last-enclosure/blob/f0ef5a2036d4876ae8f4d4477676da968a032d01/codex-3000/originaux/DEADWALL_CODEX_SUPPLEMENT_1.23/FICHES_501_1000/DW-0685.md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https://github.com/darknigthmare/deadwall-last-enclosure/blob/f0ef5a2036d4876ae8f4d4477676da968a032d01/codex-3000/originaux/DEADWALL_CODEX_SUPPLEMENT_1.23/FICHES_501_1000/DW-0686.md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https://github.com/darknigthmare/deadwall-last-enclosure/blob/f0ef5a2036d4876ae8f4d4477676da968a032d01/codex-3000/originaux/DEADWALL_CODEX_SUPPLEMENT_1.23/FICHES_501_1000/DW-0687.md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https://github.com/darknigthmare/deadwall-last-enclosure/blob/f0ef5a2036d4876ae8f4d4477676da968a032d01/codex-3000/originaux/DEADWALL_CODEX_SUPPLEMENT_1.23/FICHES_501_1000/DW-0688.md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https://github.com/darknigthmare/deadwall-last-enclosure/blob/f0ef5a2036d4876ae8f4d4477676da968a032d01/codex-3000/originaux/DEADWALL_CODEX_SUPPLEMENT_1.23/FICHES_501_1000/DW-0689.md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https://github.com/darknigthmare/deadwall-last-enclosure/blob/f0ef5a2036d4876ae8f4d4477676da968a032d01/codex-3000/originaux/DEADWALL_CODEX_SUPPLEMENT_1.23/FICHES_501_1000/DW-0690.md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https://github.com/darknigthmare/deadwall-last-enclosure/blob/f0ef5a2036d4876ae8f4d4477676da968a032d01/codex-3000/originaux/DEADWALL_CODEX_SUPPLEMENT_1.23/FICHES_501_1000/DW-0691.md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https://github.com/darknigthmare/deadwall-last-enclosure/blob/f0ef5a2036d4876ae8f4d4477676da968a032d01/codex-3000/originaux/DEADWALL_CODEX_SUPPLEMENT_1.23/FICHES_501_1000/DW-0692.md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https://github.com/darknigthmare/deadwall-last-enclosure/blob/f0ef5a2036d4876ae8f4d4477676da968a032d01/codex-3000/originaux/DEADWALL_CODEX_SUPPLEMENT_1.23/FICHES_501_1000/DW-0693.md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https://github.com/darknigthmare/deadwall-last-enclosure/blob/f0ef5a2036d4876ae8f4d4477676da968a032d01/codex-3000/originaux/DEADWALL_CODEX_SUPPLEMENT_1.23/FICHES_501_1000/DW-0694.md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https://github.com/darknigthmare/deadwall-last-enclosure/blob/f0ef5a2036d4876ae8f4d4477676da968a032d01/codex-3000/originaux/DEADWALL_CODEX_SUPPLEMENT_1.23/FICHES_501_1000/DW-0695.md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https://github.com/darknigthmare/deadwall-last-enclosure/blob/f0ef5a2036d4876ae8f4d4477676da968a032d01/codex-3000/originaux/DEADWALL_CODEX_SUPPLEMENT_1.23/FICHES_501_1000/DW-0696.md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https://github.com/darknigthmare/deadwall-last-enclosure/blob/f0ef5a2036d4876ae8f4d4477676da968a032d01/codex-3000/originaux/DEADWALL_CODEX_SUPPLEMENT_1.23/FICHES_501_1000/DW-0697.md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https://github.com/darknigthmare/deadwall-last-enclosure/blob/f0ef5a2036d4876ae8f4d4477676da968a032d01/codex-3000/originaux/DEADWALL_CODEX_SUPPLEMENT_1.23/FICHES_501_1000/DW-0698.md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https://github.com/darknigthmare/deadwall-last-enclosure/blob/f0ef5a2036d4876ae8f4d4477676da968a032d01/codex-3000/originaux/DEADWALL_CODEX_SUPPLEMENT_1.23/FICHES_501_1000/DW-0699.md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https://github.com/darknigthmare/deadwall-last-enclosure/blob/f0ef5a2036d4876ae8f4d4477676da968a032d01/codex-3000/originaux/DEADWALL_CODEX_SUPPLEMENT_1.23/FICHES_501_1000/DW-0700.md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https://github.com/darknigthmare/deadwall-last-enclosure/blob/f0ef5a2036d4876ae8f4d4477676da968a032d01/codex-3000/originaux/DEADWALL_CODEX_SUPPLEMENT_1.23/FICHES_501_1000/DW-0701.md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https://github.com/darknigthmare/deadwall-last-enclosure/blob/f0ef5a2036d4876ae8f4d4477676da968a032d01/codex-3000/originaux/DEADWALL_CODEX_SUPPLEMENT_1.23/FICHES_501_1000/DW-0702.md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https://github.com/darknigthmare/deadwall-last-enclosure/blob/f0ef5a2036d4876ae8f4d4477676da968a032d01/codex-3000/originaux/DEADWALL_CODEX_SUPPLEMENT_1.23/FICHES_501_1000/DW-0703.md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https://github.com/darknigthmare/deadwall-last-enclosure/blob/f0ef5a2036d4876ae8f4d4477676da968a032d01/codex-3000/originaux/DEADWALL_CODEX_SUPPLEMENT_1.23/FICHES_501_1000/DW-0704.md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https://github.com/darknigthmare/deadwall-last-enclosure/blob/f0ef5a2036d4876ae8f4d4477676da968a032d01/codex-3000/originaux/DEADWALL_CODEX_SUPPLEMENT_1.23/FICHES_501_1000/DW-0705.md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https://github.com/darknigthmare/deadwall-last-enclosure/blob/f0ef5a2036d4876ae8f4d4477676da968a032d01/codex-3000/originaux/DEADWALL_CODEX_SUPPLEMENT_1.23/FICHES_501_1000/DW-0706.md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https://github.com/darknigthmare/deadwall-last-enclosure/blob/f0ef5a2036d4876ae8f4d4477676da968a032d01/codex-3000/originaux/DEADWALL_CODEX_SUPPLEMENT_1.23/FICHES_501_1000/DW-0707.md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https://github.com/darknigthmare/deadwall-last-enclosure/blob/f0ef5a2036d4876ae8f4d4477676da968a032d01/codex-3000/originaux/DEADWALL_CODEX_SUPPLEMENT_1.23/FICHES_501_1000/DW-0708.md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https://github.com/darknigthmare/deadwall-last-enclosure/blob/f0ef5a2036d4876ae8f4d4477676da968a032d01/codex-3000/originaux/DEADWALL_CODEX_SUPPLEMENT_1.23/FICHES_501_1000/DW-0709.md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https://github.com/darknigthmare/deadwall-last-enclosure/blob/f0ef5a2036d4876ae8f4d4477676da968a032d01/codex-3000/originaux/DEADWALL_CODEX_SUPPLEMENT_1.23/FICHES_501_1000/DW-0710.md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https://github.com/darknigthmare/deadwall-last-enclosure/blob/f0ef5a2036d4876ae8f4d4477676da968a032d01/codex-3000/originaux/DEADWALL_CODEX_SUPPLEMENT_1.23/FICHES_501_1000/DW-0711.md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https://github.com/darknigthmare/deadwall-last-enclosure/blob/f0ef5a2036d4876ae8f4d4477676da968a032d01/codex-3000/originaux/DEADWALL_CODEX_SUPPLEMENT_1.23/FICHES_501_1000/DW-0712.md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https://github.com/darknigthmare/deadwall-last-enclosure/blob/f0ef5a2036d4876ae8f4d4477676da968a032d01/codex-3000/originaux/DEADWALL_CODEX_SUPPLEMENT_1.23/FICHES_501_1000/DW-0713.md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https://github.com/darknigthmare/deadwall-last-enclosure/blob/f0ef5a2036d4876ae8f4d4477676da968a032d01/codex-3000/originaux/DEADWALL_CODEX_SUPPLEMENT_1.23/FICHES_501_1000/DW-0714.md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https://github.com/darknigthmare/deadwall-last-enclosure/blob/f0ef5a2036d4876ae8f4d4477676da968a032d01/codex-3000/originaux/DEADWALL_CODEX_SUPPLEMENT_1.23/FICHES_501_1000/DW-0715.md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https://github.com/darknigthmare/deadwall-last-enclosure/blob/f0ef5a2036d4876ae8f4d4477676da968a032d01/codex-3000/originaux/DEADWALL_CODEX_SUPPLEMENT_1.23/FICHES_501_1000/DW-0716.md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https://github.com/darknigthmare/deadwall-last-enclosure/blob/f0ef5a2036d4876ae8f4d4477676da968a032d01/codex-3000/originaux/DEADWALL_CODEX_SUPPLEMENT_1.23/FICHES_501_1000/DW-0717.md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https://github.com/darknigthmare/deadwall-last-enclosure/blob/f0ef5a2036d4876ae8f4d4477676da968a032d01/codex-3000/originaux/DEADWALL_CODEX_SUPPLEMENT_1.23/FICHES_501_1000/DW-0718.md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https://github.com/darknigthmare/deadwall-last-enclosure/blob/f0ef5a2036d4876ae8f4d4477676da968a032d01/codex-3000/originaux/DEADWALL_CODEX_SUPPLEMENT_1.23/FICHES_501_1000/DW-0719.md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https://github.com/darknigthmare/deadwall-last-enclosure/blob/f0ef5a2036d4876ae8f4d4477676da968a032d01/codex-3000/originaux/DEADWALL_CODEX_SUPPLEMENT_1.23/FICHES_501_1000/DW-0720.md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https://github.com/darknigthmare/deadwall-last-enclosure/blob/f0ef5a2036d4876ae8f4d4477676da968a032d01/codex-3000/originaux/DEADWALL_CODEX_SUPPLEMENT_1.23/FICHES_501_1000/DW-0721.md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https://github.com/darknigthmare/deadwall-last-enclosure/blob/f0ef5a2036d4876ae8f4d4477676da968a032d01/codex-3000/originaux/DEADWALL_CODEX_SUPPLEMENT_1.23/FICHES_501_1000/DW-0722.md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https://github.com/darknigthmare/deadwall-last-enclosure/blob/f0ef5a2036d4876ae8f4d4477676da968a032d01/codex-3000/originaux/DEADWALL_CODEX_SUPPLEMENT_1.23/FICHES_501_1000/DW-0723.md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https://github.com/darknigthmare/deadwall-last-enclosure/blob/f0ef5a2036d4876ae8f4d4477676da968a032d01/codex-3000/originaux/DEADWALL_CODEX_SUPPLEMENT_1.23/FICHES_501_1000/DW-0724.md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https://github.com/darknigthmare/deadwall-last-enclosure/blob/f0ef5a2036d4876ae8f4d4477676da968a032d01/codex-3000/originaux/DEADWALL_CODEX_SUPPLEMENT_1.23/FICHES_501_1000/DW-0725.md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https://github.com/darknigthmare/deadwall-last-enclosure/blob/f0ef5a2036d4876ae8f4d4477676da968a032d01/codex-3000/originaux/DEADWALL_CODEX_SUPPLEMENT_1.23/FICHES_501_1000/DW-0726.md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https://github.com/darknigthmare/deadwall-last-enclosure/blob/f0ef5a2036d4876ae8f4d4477676da968a032d01/codex-3000/originaux/DEADWALL_CODEX_SUPPLEMENT_1.23/FICHES_501_1000/DW-0727.md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https://github.com/darknigthmare/deadwall-last-enclosure/blob/f0ef5a2036d4876ae8f4d4477676da968a032d01/codex-3000/originaux/DEADWALL_CODEX_SUPPLEMENT_1.23/FICHES_501_1000/DW-0728.md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https://github.com/darknigthmare/deadwall-last-enclosure/blob/f0ef5a2036d4876ae8f4d4477676da968a032d01/codex-3000/originaux/DEADWALL_CODEX_SUPPLEMENT_1.23/FICHES_501_1000/DW-0729.md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https://github.com/darknigthmare/deadwall-last-enclosure/blob/f0ef5a2036d4876ae8f4d4477676da968a032d01/codex-3000/originaux/DEADWALL_CODEX_SUPPLEMENT_1.23/FICHES_501_1000/DW-0730.md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https://github.com/darknigthmare/deadwall-last-enclosure/blob/f0ef5a2036d4876ae8f4d4477676da968a032d01/codex-3000/originaux/DEADWALL_CODEX_SUPPLEMENT_1.23/FICHES_501_1000/DW-0731.md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https://github.com/darknigthmare/deadwall-last-enclosure/blob/f0ef5a2036d4876ae8f4d4477676da968a032d01/codex-3000/originaux/DEADWALL_CODEX_SUPPLEMENT_1.23/FICHES_501_1000/DW-0732.md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https://github.com/darknigthmare/deadwall-last-enclosure/blob/f0ef5a2036d4876ae8f4d4477676da968a032d01/codex-3000/originaux/DEADWALL_CODEX_SUPPLEMENT_1.23/FICHES_501_1000/DW-0733.md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https://github.com/darknigthmare/deadwall-last-enclosure/blob/f0ef5a2036d4876ae8f4d4477676da968a032d01/codex-3000/originaux/DEADWALL_CODEX_SUPPLEMENT_1.23/FICHES_501_1000/DW-0734.md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https://github.com/darknigthmare/deadwall-last-enclosure/blob/f0ef5a2036d4876ae8f4d4477676da968a032d01/codex-3000/originaux/DEADWALL_CODEX_SUPPLEMENT_1.23/FICHES_501_1000/DW-0735.md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https://github.com/darknigthmare/deadwall-last-enclosure/blob/f0ef5a2036d4876ae8f4d4477676da968a032d01/codex-3000/originaux/DEADWALL_CODEX_SUPPLEMENT_1.23/FICHES_501_1000/DW-0736.md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https://github.com/darknigthmare/deadwall-last-enclosure/blob/f0ef5a2036d4876ae8f4d4477676da968a032d01/codex-3000/originaux/DEADWALL_CODEX_SUPPLEMENT_1.23/FICHES_501_1000/DW-0737.md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https://github.com/darknigthmare/deadwall-last-enclosure/blob/f0ef5a2036d4876ae8f4d4477676da968a032d01/codex-3000/originaux/DEADWALL_CODEX_SUPPLEMENT_1.23/FICHES_501_1000/DW-0738.md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https://github.com/darknigthmare/deadwall-last-enclosure/blob/f0ef5a2036d4876ae8f4d4477676da968a032d01/codex-3000/originaux/DEADWALL_CODEX_SUPPLEMENT_1.23/FICHES_501_1000/DW-0739.md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https://github.com/darknigthmare/deadwall-last-enclosure/blob/f0ef5a2036d4876ae8f4d4477676da968a032d01/codex-3000/originaux/DEADWALL_CODEX_SUPPLEMENT_1.23/FICHES_501_1000/DW-0740.md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https://github.com/darknigthmare/deadwall-last-enclosure/blob/f0ef5a2036d4876ae8f4d4477676da968a032d01/codex-3000/originaux/DEADWALL_CODEX_SUPPLEMENT_1.23/FICHES_501_1000/DW-0741.md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https://github.com/darknigthmare/deadwall-last-enclosure/blob/f0ef5a2036d4876ae8f4d4477676da968a032d01/codex-3000/originaux/DEADWALL_CODEX_SUPPLEMENT_1.23/FICHES_501_1000/DW-0742.md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https://github.com/darknigthmare/deadwall-last-enclosure/blob/f0ef5a2036d4876ae8f4d4477676da968a032d01/codex-3000/originaux/DEADWALL_CODEX_SUPPLEMENT_1.23/FICHES_501_1000/DW-0743.md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https://github.com/darknigthmare/deadwall-last-enclosure/blob/f0ef5a2036d4876ae8f4d4477676da968a032d01/codex-3000/originaux/DEADWALL_CODEX_SUPPLEMENT_1.23/FICHES_501_1000/DW-0744.md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https://github.com/darknigthmare/deadwall-last-enclosure/blob/f0ef5a2036d4876ae8f4d4477676da968a032d01/codex-3000/originaux/DEADWALL_CODEX_SUPPLEMENT_1.23/FICHES_501_1000/DW-0745.md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https://github.com/darknigthmare/deadwall-last-enclosure/blob/f0ef5a2036d4876ae8f4d4477676da968a032d01/codex-3000/originaux/DEADWALL_CODEX_SUPPLEMENT_1.23/FICHES_501_1000/DW-0746.md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https://github.com/darknigthmare/deadwall-last-enclosure/blob/f0ef5a2036d4876ae8f4d4477676da968a032d01/codex-3000/originaux/DEADWALL_CODEX_SUPPLEMENT_1.23/FICHES_501_1000/DW-0747.md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https://github.com/darknigthmare/deadwall-last-enclosure/blob/f0ef5a2036d4876ae8f4d4477676da968a032d01/codex-3000/originaux/DEADWALL_CODEX_SUPPLEMENT_1.23/FICHES_501_1000/DW-0748.md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https://github.com/darknigthmare/deadwall-last-enclosure/blob/f0ef5a2036d4876ae8f4d4477676da968a032d01/codex-3000/originaux/DEADWALL_CODEX_SUPPLEMENT_1.23/FICHES_501_1000/DW-0749.md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https://github.com/darknigthmare/deadwall-last-enclosure/blob/f0ef5a2036d4876ae8f4d4477676da968a032d01/codex-3000/originaux/DEADWALL_CODEX_SUPPLEMENT_1.23/FICHES_501_1000/DW-0750.md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https://github.com/darknigthmare/deadwall-last-enclosure/blob/f0ef5a2036d4876ae8f4d4477676da968a032d01/codex-3000/originaux/DEADWALL_CODEX_SUPPLEMENT_1.23/FICHES_501_1000/DW-0751.md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https://github.com/darknigthmare/deadwall-last-enclosure/blob/f0ef5a2036d4876ae8f4d4477676da968a032d01/codex-3000/originaux/DEADWALL_CODEX_SUPPLEMENT_1.23/FICHES_501_1000/DW-0752.md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https://github.com/darknigthmare/deadwall-last-enclosure/blob/f0ef5a2036d4876ae8f4d4477676da968a032d01/codex-3000/originaux/DEADWALL_CODEX_SUPPLEMENT_1.23/FICHES_501_1000/DW-0753.md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https://github.com/darknigthmare/deadwall-last-enclosure/blob/f0ef5a2036d4876ae8f4d4477676da968a032d01/codex-3000/originaux/DEADWALL_CODEX_SUPPLEMENT_1.23/FICHES_501_1000/DW-0754.md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https://github.com/darknigthmare/deadwall-last-enclosure/blob/f0ef5a2036d4876ae8f4d4477676da968a032d01/codex-3000/originaux/DEADWALL_CODEX_SUPPLEMENT_1.23/FICHES_501_1000/DW-0755.md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https://github.com/darknigthmare/deadwall-last-enclosure/blob/f0ef5a2036d4876ae8f4d4477676da968a032d01/codex-3000/originaux/DEADWALL_CODEX_SUPPLEMENT_1.23/FICHES_501_1000/DW-0756.md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https://github.com/darknigthmare/deadwall-last-enclosure/blob/f0ef5a2036d4876ae8f4d4477676da968a032d01/codex-3000/originaux/DEADWALL_CODEX_SUPPLEMENT_1.23/FICHES_501_1000/DW-0757.md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https://github.com/darknigthmare/deadwall-last-enclosure/blob/f0ef5a2036d4876ae8f4d4477676da968a032d01/codex-3000/originaux/DEADWALL_CODEX_SUPPLEMENT_1.23/FICHES_501_1000/DW-0758.md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https://github.com/darknigthmare/deadwall-last-enclosure/blob/f0ef5a2036d4876ae8f4d4477676da968a032d01/codex-3000/originaux/DEADWALL_CODEX_SUPPLEMENT_1.23/FICHES_501_1000/DW-0759.md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https://github.com/darknigthmare/deadwall-last-enclosure/blob/f0ef5a2036d4876ae8f4d4477676da968a032d01/codex-3000/originaux/DEADWALL_CODEX_SUPPLEMENT_1.23/FICHES_501_1000/DW-0760.md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https://github.com/darknigthmare/deadwall-last-enclosure/blob/f0ef5a2036d4876ae8f4d4477676da968a032d01/codex-3000/originaux/DEADWALL_CODEX_SUPPLEMENT_1.23/FICHES_501_1000/DW-0761.md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https://github.com/darknigthmare/deadwall-last-enclosure/blob/f0ef5a2036d4876ae8f4d4477676da968a032d01/codex-3000/originaux/DEADWALL_CODEX_SUPPLEMENT_1.23/FICHES_501_1000/DW-0762.md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https://github.com/darknigthmare/deadwall-last-enclosure/blob/f0ef5a2036d4876ae8f4d4477676da968a032d01/codex-3000/originaux/DEADWALL_CODEX_SUPPLEMENT_1.23/FICHES_501_1000/DW-0763.md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https://github.com/darknigthmare/deadwall-last-enclosure/blob/f0ef5a2036d4876ae8f4d4477676da968a032d01/codex-3000/originaux/DEADWALL_CODEX_SUPPLEMENT_1.23/FICHES_501_1000/DW-0764.md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https://github.com/darknigthmare/deadwall-last-enclosure/blob/f0ef5a2036d4876ae8f4d4477676da968a032d01/codex-3000/originaux/DEADWALL_CODEX_SUPPLEMENT_1.23/FICHES_501_1000/DW-0765.md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https://github.com/darknigthmare/deadwall-last-enclosure/blob/f0ef5a2036d4876ae8f4d4477676da968a032d01/codex-3000/originaux/DEADWALL_CODEX_SUPPLEMENT_1.23/FICHES_501_1000/DW-0766.md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https://github.com/darknigthmare/deadwall-last-enclosure/blob/f0ef5a2036d4876ae8f4d4477676da968a032d01/codex-3000/originaux/DEADWALL_CODEX_SUPPLEMENT_1.23/FICHES_501_1000/DW-0767.md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https://github.com/darknigthmare/deadwall-last-enclosure/blob/f0ef5a2036d4876ae8f4d4477676da968a032d01/codex-3000/originaux/DEADWALL_CODEX_SUPPLEMENT_1.23/FICHES_501_1000/DW-0768.md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https://github.com/darknigthmare/deadwall-last-enclosure/blob/f0ef5a2036d4876ae8f4d4477676da968a032d01/codex-3000/originaux/DEADWALL_CODEX_SUPPLEMENT_1.23/FICHES_501_1000/DW-0769.md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https://github.com/darknigthmare/deadwall-last-enclosure/blob/f0ef5a2036d4876ae8f4d4477676da968a032d01/codex-3000/originaux/DEADWALL_CODEX_SUPPLEMENT_1.23/FICHES_501_1000/DW-0770.md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https://github.com/darknigthmare/deadwall-last-enclosure/blob/f0ef5a2036d4876ae8f4d4477676da968a032d01/codex-3000/originaux/DEADWALL_CODEX_SUPPLEMENT_1.23/FICHES_501_1000/DW-0771.md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https://github.com/darknigthmare/deadwall-last-enclosure/blob/f0ef5a2036d4876ae8f4d4477676da968a032d01/codex-3000/originaux/DEADWALL_CODEX_SUPPLEMENT_1.23/FICHES_501_1000/DW-0772.md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https://github.com/darknigthmare/deadwall-last-enclosure/blob/f0ef5a2036d4876ae8f4d4477676da968a032d01/codex-3000/originaux/DEADWALL_CODEX_SUPPLEMENT_1.23/FICHES_501_1000/DW-0773.md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https://github.com/darknigthmare/deadwall-last-enclosure/blob/f0ef5a2036d4876ae8f4d4477676da968a032d01/codex-3000/originaux/DEADWALL_CODEX_SUPPLEMENT_1.23/FICHES_501_1000/DW-0774.md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https://github.com/darknigthmare/deadwall-last-enclosure/blob/f0ef5a2036d4876ae8f4d4477676da968a032d01/codex-3000/originaux/DEADWALL_CODEX_SUPPLEMENT_1.23/FICHES_501_1000/DW-0775.md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https://github.com/darknigthmare/deadwall-last-enclosure/blob/f0ef5a2036d4876ae8f4d4477676da968a032d01/codex-3000/originaux/DEADWALL_CODEX_SUPPLEMENT_1.23/FICHES_501_1000/DW-0776.md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https://github.com/darknigthmare/deadwall-last-enclosure/blob/f0ef5a2036d4876ae8f4d4477676da968a032d01/codex-3000/originaux/DEADWALL_CODEX_SUPPLEMENT_1.23/FICHES_501_1000/DW-0777.md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https://github.com/darknigthmare/deadwall-last-enclosure/blob/f0ef5a2036d4876ae8f4d4477676da968a032d01/codex-3000/originaux/DEADWALL_CODEX_SUPPLEMENT_1.23/FICHES_501_1000/DW-0778.md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https://github.com/darknigthmare/deadwall-last-enclosure/blob/f0ef5a2036d4876ae8f4d4477676da968a032d01/codex-3000/originaux/DEADWALL_CODEX_SUPPLEMENT_1.23/FICHES_501_1000/DW-0779.md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https://github.com/darknigthmare/deadwall-last-enclosure/blob/f0ef5a2036d4876ae8f4d4477676da968a032d01/codex-3000/originaux/DEADWALL_CODEX_SUPPLEMENT_1.23/FICHES_501_1000/DW-0780.md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https://github.com/darknigthmare/deadwall-last-enclosure/blob/f0ef5a2036d4876ae8f4d4477676da968a032d01/codex-3000/originaux/DEADWALL_CODEX_SUPPLEMENT_1.23/FICHES_501_1000/DW-0781.md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https://github.com/darknigthmare/deadwall-last-enclosure/blob/f0ef5a2036d4876ae8f4d4477676da968a032d01/codex-3000/originaux/DEADWALL_CODEX_SUPPLEMENT_1.23/FICHES_501_1000/DW-0782.md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https://github.com/darknigthmare/deadwall-last-enclosure/blob/f0ef5a2036d4876ae8f4d4477676da968a032d01/codex-3000/originaux/DEADWALL_CODEX_SUPPLEMENT_1.23/FICHES_501_1000/DW-0783.md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https://github.com/darknigthmare/deadwall-last-enclosure/blob/f0ef5a2036d4876ae8f4d4477676da968a032d01/codex-3000/originaux/DEADWALL_CODEX_SUPPLEMENT_1.23/FICHES_501_1000/DW-0784.md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https://github.com/darknigthmare/deadwall-last-enclosure/blob/f0ef5a2036d4876ae8f4d4477676da968a032d01/codex-3000/originaux/DEADWALL_CODEX_SUPPLEMENT_1.23/FICHES_501_1000/DW-0785.md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https://github.com/darknigthmare/deadwall-last-enclosure/blob/f0ef5a2036d4876ae8f4d4477676da968a032d01/codex-3000/originaux/DEADWALL_CODEX_SUPPLEMENT_1.23/FICHES_501_1000/DW-0786.md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https://github.com/darknigthmare/deadwall-last-enclosure/blob/f0ef5a2036d4876ae8f4d4477676da968a032d01/codex-3000/originaux/DEADWALL_CODEX_SUPPLEMENT_1.23/FICHES_501_1000/DW-0787.md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https://github.com/darknigthmare/deadwall-last-enclosure/blob/f0ef5a2036d4876ae8f4d4477676da968a032d01/codex-3000/originaux/DEADWALL_CODEX_SUPPLEMENT_1.23/FICHES_501_1000/DW-0788.md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https://github.com/darknigthmare/deadwall-last-enclosure/blob/f0ef5a2036d4876ae8f4d4477676da968a032d01/codex-3000/originaux/DEADWALL_CODEX_SUPPLEMENT_1.23/FICHES_501_1000/DW-0789.md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https://github.com/darknigthmare/deadwall-last-enclosure/blob/f0ef5a2036d4876ae8f4d4477676da968a032d01/codex-3000/originaux/DEADWALL_CODEX_SUPPLEMENT_1.23/FICHES_501_1000/DW-0790.md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https://github.com/darknigthmare/deadwall-last-enclosure/blob/f0ef5a2036d4876ae8f4d4477676da968a032d01/codex-3000/originaux/DEADWALL_CODEX_SUPPLEMENT_1.23/FICHES_501_1000/DW-0791.md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https://github.com/darknigthmare/deadwall-last-enclosure/blob/f0ef5a2036d4876ae8f4d4477676da968a032d01/codex-3000/originaux/DEADWALL_CODEX_SUPPLEMENT_1.23/FICHES_501_1000/DW-0792.md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https://github.com/darknigthmare/deadwall-last-enclosure/blob/f0ef5a2036d4876ae8f4d4477676da968a032d01/codex-3000/originaux/DEADWALL_CODEX_SUPPLEMENT_1.23/FICHES_501_1000/DW-0793.md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https://github.com/darknigthmare/deadwall-last-enclosure/blob/f0ef5a2036d4876ae8f4d4477676da968a032d01/codex-3000/originaux/DEADWALL_CODEX_SUPPLEMENT_1.23/FICHES_501_1000/DW-0794.md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https://github.com/darknigthmare/deadwall-last-enclosure/blob/f0ef5a2036d4876ae8f4d4477676da968a032d01/codex-3000/originaux/DEADWALL_CODEX_SUPPLEMENT_1.23/FICHES_501_1000/DW-0795.md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https://github.com/darknigthmare/deadwall-last-enclosure/blob/f0ef5a2036d4876ae8f4d4477676da968a032d01/codex-3000/originaux/DEADWALL_CODEX_SUPPLEMENT_1.23/FICHES_501_1000/DW-0796.md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https://github.com/darknigthmare/deadwall-last-enclosure/blob/f0ef5a2036d4876ae8f4d4477676da968a032d01/codex-3000/originaux/DEADWALL_CODEX_SUPPLEMENT_1.23/FICHES_501_1000/DW-0797.md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https://github.com/darknigthmare/deadwall-last-enclosure/blob/f0ef5a2036d4876ae8f4d4477676da968a032d01/codex-3000/originaux/DEADWALL_CODEX_SUPPLEMENT_1.23/FICHES_501_1000/DW-0798.md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https://github.com/darknigthmare/deadwall-last-enclosure/blob/f0ef5a2036d4876ae8f4d4477676da968a032d01/codex-3000/originaux/DEADWALL_CODEX_SUPPLEMENT_1.23/FICHES_501_1000/DW-0799.md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https://github.com/darknigthmare/deadwall-last-enclosure/blob/f0ef5a2036d4876ae8f4d4477676da968a032d01/codex-3000/originaux/DEADWALL_CODEX_SUPPLEMENT_1.23/FICHES_501_1000/DW-0800.md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https://github.com/darknigthmare/deadwall-last-enclosure/blob/f0ef5a2036d4876ae8f4d4477676da968a032d01/codex-3000/originaux/DEADWALL_CODEX_SUPPLEMENT_1.23/FICHES_501_1000/DW-0801.md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https://github.com/darknigthmare/deadwall-last-enclosure/blob/f0ef5a2036d4876ae8f4d4477676da968a032d01/codex-3000/originaux/DEADWALL_CODEX_SUPPLEMENT_1.23/FICHES_501_1000/DW-0802.md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https://github.com/darknigthmare/deadwall-last-enclosure/blob/f0ef5a2036d4876ae8f4d4477676da968a032d01/codex-3000/originaux/DEADWALL_CODEX_SUPPLEMENT_1.23/FICHES_501_1000/DW-0803.md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https://github.com/darknigthmare/deadwall-last-enclosure/blob/f0ef5a2036d4876ae8f4d4477676da968a032d01/codex-3000/originaux/DEADWALL_CODEX_SUPPLEMENT_1.23/FICHES_501_1000/DW-0804.md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https://github.com/darknigthmare/deadwall-last-enclosure/blob/f0ef5a2036d4876ae8f4d4477676da968a032d01/codex-3000/originaux/DEADWALL_CODEX_SUPPLEMENT_1.23/FICHES_501_1000/DW-0805.md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https://github.com/darknigthmare/deadwall-last-enclosure/blob/f0ef5a2036d4876ae8f4d4477676da968a032d01/codex-3000/originaux/DEADWALL_CODEX_SUPPLEMENT_1.23/FICHES_501_1000/DW-0806.md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https://github.com/darknigthmare/deadwall-last-enclosure/blob/f0ef5a2036d4876ae8f4d4477676da968a032d01/codex-3000/originaux/DEADWALL_CODEX_SUPPLEMENT_1.23/FICHES_501_1000/DW-0807.md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https://github.com/darknigthmare/deadwall-last-enclosure/blob/f0ef5a2036d4876ae8f4d4477676da968a032d01/codex-3000/originaux/DEADWALL_CODEX_SUPPLEMENT_1.23/FICHES_501_1000/DW-0808.md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https://github.com/darknigthmare/deadwall-last-enclosure/blob/f0ef5a2036d4876ae8f4d4477676da968a032d01/codex-3000/originaux/DEADWALL_CODEX_SUPPLEMENT_1.23/FICHES_501_1000/DW-0809.md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https://github.com/darknigthmare/deadwall-last-enclosure/blob/f0ef5a2036d4876ae8f4d4477676da968a032d01/codex-3000/originaux/DEADWALL_CODEX_SUPPLEMENT_1.23/FICHES_501_1000/DW-0810.md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https://github.com/darknigthmare/deadwall-last-enclosure/blob/f0ef5a2036d4876ae8f4d4477676da968a032d01/codex-3000/originaux/DEADWALL_CODEX_SUPPLEMENT_1.23/FICHES_501_1000/DW-0811.md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https://github.com/darknigthmare/deadwall-last-enclosure/blob/f0ef5a2036d4876ae8f4d4477676da968a032d01/codex-3000/originaux/DEADWALL_CODEX_SUPPLEMENT_1.23/FICHES_501_1000/DW-0812.md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https://github.com/darknigthmare/deadwall-last-enclosure/blob/f0ef5a2036d4876ae8f4d4477676da968a032d01/codex-3000/originaux/DEADWALL_CODEX_SUPPLEMENT_1.23/FICHES_501_1000/DW-0813.md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https://github.com/darknigthmare/deadwall-last-enclosure/blob/f0ef5a2036d4876ae8f4d4477676da968a032d01/codex-3000/originaux/DEADWALL_CODEX_SUPPLEMENT_1.23/FICHES_501_1000/DW-0814.md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https://github.com/darknigthmare/deadwall-last-enclosure/blob/f0ef5a2036d4876ae8f4d4477676da968a032d01/codex-3000/originaux/DEADWALL_CODEX_SUPPLEMENT_1.23/FICHES_501_1000/DW-0815.md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https://github.com/darknigthmare/deadwall-last-enclosure/blob/f0ef5a2036d4876ae8f4d4477676da968a032d01/codex-3000/originaux/DEADWALL_CODEX_SUPPLEMENT_1.23/FICHES_501_1000/DW-0816.md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https://github.com/darknigthmare/deadwall-last-enclosure/blob/f0ef5a2036d4876ae8f4d4477676da968a032d01/codex-3000/originaux/DEADWALL_CODEX_SUPPLEMENT_1.23/FICHES_501_1000/DW-0817.md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https://github.com/darknigthmare/deadwall-last-enclosure/blob/f0ef5a2036d4876ae8f4d4477676da968a032d01/codex-3000/originaux/DEADWALL_CODEX_SUPPLEMENT_1.23/FICHES_501_1000/DW-0818.md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https://github.com/darknigthmare/deadwall-last-enclosure/blob/f0ef5a2036d4876ae8f4d4477676da968a032d01/codex-3000/originaux/DEADWALL_CODEX_SUPPLEMENT_1.23/FICHES_501_1000/DW-0819.md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https://github.com/darknigthmare/deadwall-last-enclosure/blob/f0ef5a2036d4876ae8f4d4477676da968a032d01/codex-3000/originaux/DEADWALL_CODEX_SUPPLEMENT_1.23/FICHES_501_1000/DW-0820.md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https://github.com/darknigthmare/deadwall-last-enclosure/blob/f0ef5a2036d4876ae8f4d4477676da968a032d01/codex-3000/originaux/DEADWALL_CODEX_SUPPLEMENT_1.23/FICHES_501_1000/DW-0821.md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https://github.com/darknigthmare/deadwall-last-enclosure/blob/f0ef5a2036d4876ae8f4d4477676da968a032d01/codex-3000/originaux/DEADWALL_CODEX_SUPPLEMENT_1.23/FICHES_501_1000/DW-0822.md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https://github.com/darknigthmare/deadwall-last-enclosure/blob/f0ef5a2036d4876ae8f4d4477676da968a032d01/codex-3000/originaux/DEADWALL_CODEX_SUPPLEMENT_1.23/FICHES_501_1000/DW-0823.md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https://github.com/darknigthmare/deadwall-last-enclosure/blob/f0ef5a2036d4876ae8f4d4477676da968a032d01/codex-3000/originaux/DEADWALL_CODEX_SUPPLEMENT_1.23/FICHES_501_1000/DW-0824.md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https://github.com/darknigthmare/deadwall-last-enclosure/blob/f0ef5a2036d4876ae8f4d4477676da968a032d01/codex-3000/originaux/DEADWALL_CODEX_SUPPLEMENT_1.23/FICHES_501_1000/DW-0825.md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https://github.com/darknigthmare/deadwall-last-enclosure/blob/f0ef5a2036d4876ae8f4d4477676da968a032d01/codex-3000/originaux/DEADWALL_CODEX_SUPPLEMENT_1.23/FICHES_501_1000/DW-0826.md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https://github.com/darknigthmare/deadwall-last-enclosure/blob/f0ef5a2036d4876ae8f4d4477676da968a032d01/codex-3000/originaux/DEADWALL_CODEX_SUPPLEMENT_1.23/FICHES_501_1000/DW-0827.md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https://github.com/darknigthmare/deadwall-last-enclosure/blob/f0ef5a2036d4876ae8f4d4477676da968a032d01/codex-3000/originaux/DEADWALL_CODEX_SUPPLEMENT_1.23/FICHES_501_1000/DW-0828.md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https://github.com/darknigthmare/deadwall-last-enclosure/blob/f0ef5a2036d4876ae8f4d4477676da968a032d01/codex-3000/originaux/DEADWALL_CODEX_SUPPLEMENT_1.23/FICHES_501_1000/DW-0829.md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https://github.com/darknigthmare/deadwall-last-enclosure/blob/f0ef5a2036d4876ae8f4d4477676da968a032d01/codex-3000/originaux/DEADWALL_CODEX_SUPPLEMENT_1.23/FICHES_501_1000/DW-0830.md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https://github.com/darknigthmare/deadwall-last-enclosure/blob/f0ef5a2036d4876ae8f4d4477676da968a032d01/codex-3000/originaux/DEADWALL_CODEX_SUPPLEMENT_1.23/FICHES_501_1000/DW-0831.md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https://github.com/darknigthmare/deadwall-last-enclosure/blob/f0ef5a2036d4876ae8f4d4477676da968a032d01/codex-3000/originaux/DEADWALL_CODEX_SUPPLEMENT_1.23/FICHES_501_1000/DW-0832.md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https://github.com/darknigthmare/deadwall-last-enclosure/blob/f0ef5a2036d4876ae8f4d4477676da968a032d01/codex-3000/originaux/DEADWALL_CODEX_SUPPLEMENT_1.23/FICHES_501_1000/DW-0833.md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https://github.com/darknigthmare/deadwall-last-enclosure/blob/f0ef5a2036d4876ae8f4d4477676da968a032d01/codex-3000/originaux/DEADWALL_CODEX_SUPPLEMENT_1.23/FICHES_501_1000/DW-0834.md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https://github.com/darknigthmare/deadwall-last-enclosure/blob/f0ef5a2036d4876ae8f4d4477676da968a032d01/codex-3000/originaux/DEADWALL_CODEX_SUPPLEMENT_1.23/FICHES_501_1000/DW-0835.md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https://github.com/darknigthmare/deadwall-last-enclosure/blob/f0ef5a2036d4876ae8f4d4477676da968a032d01/codex-3000/originaux/DEADWALL_CODEX_SUPPLEMENT_1.23/FICHES_501_1000/DW-0836.md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https://github.com/darknigthmare/deadwall-last-enclosure/blob/f0ef5a2036d4876ae8f4d4477676da968a032d01/codex-3000/originaux/DEADWALL_CODEX_SUPPLEMENT_1.23/FICHES_501_1000/DW-0837.md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https://github.com/darknigthmare/deadwall-last-enclosure/blob/f0ef5a2036d4876ae8f4d4477676da968a032d01/codex-3000/originaux/DEADWALL_CODEX_SUPPLEMENT_1.23/FICHES_501_1000/DW-0838.md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https://github.com/darknigthmare/deadwall-last-enclosure/blob/f0ef5a2036d4876ae8f4d4477676da968a032d01/codex-3000/originaux/DEADWALL_CODEX_SUPPLEMENT_1.23/FICHES_501_1000/DW-0839.md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https://github.com/darknigthmare/deadwall-last-enclosure/blob/f0ef5a2036d4876ae8f4d4477676da968a032d01/codex-3000/originaux/DEADWALL_CODEX_SUPPLEMENT_1.23/FICHES_501_1000/DW-0840.md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https://github.com/darknigthmare/deadwall-last-enclosure/blob/f0ef5a2036d4876ae8f4d4477676da968a032d01/codex-3000/originaux/DEADWALL_CODEX_SUPPLEMENT_1.23/FICHES_501_1000/DW-0841.md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https://github.com/darknigthmare/deadwall-last-enclosure/blob/f0ef5a2036d4876ae8f4d4477676da968a032d01/codex-3000/originaux/DEADWALL_CODEX_SUPPLEMENT_1.23/FICHES_501_1000/DW-0842.md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https://github.com/darknigthmare/deadwall-last-enclosure/blob/f0ef5a2036d4876ae8f4d4477676da968a032d01/codex-3000/originaux/DEADWALL_CODEX_SUPPLEMENT_1.23/FICHES_501_1000/DW-0843.md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https://github.com/darknigthmare/deadwall-last-enclosure/blob/f0ef5a2036d4876ae8f4d4477676da968a032d01/codex-3000/originaux/DEADWALL_CODEX_SUPPLEMENT_1.23/FICHES_501_1000/DW-0844.md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https://github.com/darknigthmare/deadwall-last-enclosure/blob/f0ef5a2036d4876ae8f4d4477676da968a032d01/codex-3000/originaux/DEADWALL_CODEX_SUPPLEMENT_1.23/FICHES_501_1000/DW-0845.md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https://github.com/darknigthmare/deadwall-last-enclosure/blob/f0ef5a2036d4876ae8f4d4477676da968a032d01/codex-3000/originaux/DEADWALL_CODEX_SUPPLEMENT_1.23/FICHES_501_1000/DW-0846.md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https://github.com/darknigthmare/deadwall-last-enclosure/blob/f0ef5a2036d4876ae8f4d4477676da968a032d01/codex-3000/originaux/DEADWALL_CODEX_SUPPLEMENT_1.23/FICHES_501_1000/DW-0847.md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https://github.com/darknigthmare/deadwall-last-enclosure/blob/f0ef5a2036d4876ae8f4d4477676da968a032d01/codex-3000/originaux/DEADWALL_CODEX_SUPPLEMENT_1.23/FICHES_501_1000/DW-0848.md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https://github.com/darknigthmare/deadwall-last-enclosure/blob/f0ef5a2036d4876ae8f4d4477676da968a032d01/codex-3000/originaux/DEADWALL_CODEX_SUPPLEMENT_1.23/FICHES_501_1000/DW-0849.md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https://github.com/darknigthmare/deadwall-last-enclosure/blob/f0ef5a2036d4876ae8f4d4477676da968a032d01/codex-3000/originaux/DEADWALL_CODEX_SUPPLEMENT_1.23/FICHES_501_1000/DW-0850.md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https://github.com/darknigthmare/deadwall-last-enclosure/blob/f0ef5a2036d4876ae8f4d4477676da968a032d01/codex-3000/originaux/DEADWALL_CODEX_SUPPLEMENT_1.23/FICHES_501_1000/DW-0851.md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https://github.com/darknigthmare/deadwall-last-enclosure/blob/f0ef5a2036d4876ae8f4d4477676da968a032d01/codex-3000/originaux/DEADWALL_CODEX_SUPPLEMENT_1.23/FICHES_501_1000/DW-0852.md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https://github.com/darknigthmare/deadwall-last-enclosure/blob/f0ef5a2036d4876ae8f4d4477676da968a032d01/codex-3000/originaux/DEADWALL_CODEX_SUPPLEMENT_1.23/FICHES_501_1000/DW-0853.md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https://github.com/darknigthmare/deadwall-last-enclosure/blob/f0ef5a2036d4876ae8f4d4477676da968a032d01/codex-3000/originaux/DEADWALL_CODEX_SUPPLEMENT_1.23/FICHES_501_1000/DW-0854.md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https://github.com/darknigthmare/deadwall-last-enclosure/blob/f0ef5a2036d4876ae8f4d4477676da968a032d01/codex-3000/originaux/DEADWALL_CODEX_SUPPLEMENT_1.23/FICHES_501_1000/DW-0855.md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https://github.com/darknigthmare/deadwall-last-enclosure/blob/f0ef5a2036d4876ae8f4d4477676da968a032d01/codex-3000/originaux/DEADWALL_CODEX_SUPPLEMENT_1.23/FICHES_501_1000/DW-0856.md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https://github.com/darknigthmare/deadwall-last-enclosure/blob/f0ef5a2036d4876ae8f4d4477676da968a032d01/codex-3000/originaux/DEADWALL_CODEX_SUPPLEMENT_1.23/FICHES_501_1000/DW-0857.md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https://github.com/darknigthmare/deadwall-last-enclosure/blob/f0ef5a2036d4876ae8f4d4477676da968a032d01/codex-3000/originaux/DEADWALL_CODEX_SUPPLEMENT_1.23/FICHES_501_1000/DW-0858.md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https://github.com/darknigthmare/deadwall-last-enclosure/blob/f0ef5a2036d4876ae8f4d4477676da968a032d01/codex-3000/originaux/DEADWALL_CODEX_SUPPLEMENT_1.23/FICHES_501_1000/DW-0859.md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https://github.com/darknigthmare/deadwall-last-enclosure/blob/f0ef5a2036d4876ae8f4d4477676da968a032d01/codex-3000/originaux/DEADWALL_CODEX_SUPPLEMENT_1.23/FICHES_501_1000/DW-0860.md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https://github.com/darknigthmare/deadwall-last-enclosure/blob/f0ef5a2036d4876ae8f4d4477676da968a032d01/codex-3000/originaux/DEADWALL_CODEX_SUPPLEMENT_1.23/FICHES_501_1000/DW-0861.md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https://github.com/darknigthmare/deadwall-last-enclosure/blob/f0ef5a2036d4876ae8f4d4477676da968a032d01/codex-3000/originaux/DEADWALL_CODEX_SUPPLEMENT_1.23/FICHES_501_1000/DW-0862.md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https://github.com/darknigthmare/deadwall-last-enclosure/blob/f0ef5a2036d4876ae8f4d4477676da968a032d01/codex-3000/originaux/DEADWALL_CODEX_SUPPLEMENT_1.23/FICHES_501_1000/DW-0863.md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https://github.com/darknigthmare/deadwall-last-enclosure/blob/f0ef5a2036d4876ae8f4d4477676da968a032d01/codex-3000/originaux/DEADWALL_CODEX_SUPPLEMENT_1.23/FICHES_501_1000/DW-0864.md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https://github.com/darknigthmare/deadwall-last-enclosure/blob/f0ef5a2036d4876ae8f4d4477676da968a032d01/codex-3000/originaux/DEADWALL_CODEX_SUPPLEMENT_1.23/FICHES_501_1000/DW-0865.md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https://github.com/darknigthmare/deadwall-last-enclosure/blob/f0ef5a2036d4876ae8f4d4477676da968a032d01/codex-3000/originaux/DEADWALL_CODEX_SUPPLEMENT_1.23/FICHES_501_1000/DW-0866.md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https://github.com/darknigthmare/deadwall-last-enclosure/blob/f0ef5a2036d4876ae8f4d4477676da968a032d01/codex-3000/originaux/DEADWALL_CODEX_SUPPLEMENT_1.23/FICHES_501_1000/DW-0867.md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https://github.com/darknigthmare/deadwall-last-enclosure/blob/f0ef5a2036d4876ae8f4d4477676da968a032d01/codex-3000/originaux/DEADWALL_CODEX_SUPPLEMENT_1.23/FICHES_501_1000/DW-0868.md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https://github.com/darknigthmare/deadwall-last-enclosure/blob/f0ef5a2036d4876ae8f4d4477676da968a032d01/codex-3000/originaux/DEADWALL_CODEX_SUPPLEMENT_1.23/FICHES_501_1000/DW-0869.md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https://github.com/darknigthmare/deadwall-last-enclosure/blob/f0ef5a2036d4876ae8f4d4477676da968a032d01/codex-3000/originaux/DEADWALL_CODEX_SUPPLEMENT_1.23/FICHES_501_1000/DW-0870.md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https://github.com/darknigthmare/deadwall-last-enclosure/blob/f0ef5a2036d4876ae8f4d4477676da968a032d01/codex-3000/originaux/DEADWALL_CODEX_SUPPLEMENT_1.23/FICHES_501_1000/DW-0871.md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https://github.com/darknigthmare/deadwall-last-enclosure/blob/f0ef5a2036d4876ae8f4d4477676da968a032d01/codex-3000/originaux/DEADWALL_CODEX_SUPPLEMENT_1.23/FICHES_501_1000/DW-0872.md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https://github.com/darknigthmare/deadwall-last-enclosure/blob/f0ef5a2036d4876ae8f4d4477676da968a032d01/codex-3000/originaux/DEADWALL_CODEX_SUPPLEMENT_1.23/FICHES_501_1000/DW-0873.md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https://github.com/darknigthmare/deadwall-last-enclosure/blob/f0ef5a2036d4876ae8f4d4477676da968a032d01/codex-3000/originaux/DEADWALL_CODEX_SUPPLEMENT_1.23/FICHES_501_1000/DW-0874.md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https://github.com/darknigthmare/deadwall-last-enclosure/blob/f0ef5a2036d4876ae8f4d4477676da968a032d01/codex-3000/originaux/DEADWALL_CODEX_SUPPLEMENT_1.23/FICHES_501_1000/DW-0875.md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https://github.com/darknigthmare/deadwall-last-enclosure/blob/f0ef5a2036d4876ae8f4d4477676da968a032d01/codex-3000/originaux/DEADWALL_CODEX_SUPPLEMENT_1.23/FICHES_501_1000/DW-0876.md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https://github.com/darknigthmare/deadwall-last-enclosure/blob/f0ef5a2036d4876ae8f4d4477676da968a032d01/codex-3000/originaux/DEADWALL_CODEX_SUPPLEMENT_1.23/FICHES_501_1000/DW-0877.md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https://github.com/darknigthmare/deadwall-last-enclosure/blob/f0ef5a2036d4876ae8f4d4477676da968a032d01/codex-3000/originaux/DEADWALL_CODEX_SUPPLEMENT_1.23/FICHES_501_1000/DW-0878.md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https://github.com/darknigthmare/deadwall-last-enclosure/blob/f0ef5a2036d4876ae8f4d4477676da968a032d01/codex-3000/originaux/DEADWALL_CODEX_SUPPLEMENT_1.23/FICHES_501_1000/DW-0879.md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https://github.com/darknigthmare/deadwall-last-enclosure/blob/f0ef5a2036d4876ae8f4d4477676da968a032d01/codex-3000/originaux/DEADWALL_CODEX_SUPPLEMENT_1.23/FICHES_501_1000/DW-0880.md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https://github.com/darknigthmare/deadwall-last-enclosure/blob/f0ef5a2036d4876ae8f4d4477676da968a032d01/codex-3000/originaux/DEADWALL_CODEX_SUPPLEMENT_1.23/FICHES_501_1000/DW-0881.md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https://github.com/darknigthmare/deadwall-last-enclosure/blob/f0ef5a2036d4876ae8f4d4477676da968a032d01/codex-3000/originaux/DEADWALL_CODEX_SUPPLEMENT_1.23/FICHES_501_1000/DW-0882.md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https://github.com/darknigthmare/deadwall-last-enclosure/blob/f0ef5a2036d4876ae8f4d4477676da968a032d01/codex-3000/originaux/DEADWALL_CODEX_SUPPLEMENT_1.23/FICHES_501_1000/DW-0883.md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https://github.com/darknigthmare/deadwall-last-enclosure/blob/f0ef5a2036d4876ae8f4d4477676da968a032d01/codex-3000/originaux/DEADWALL_CODEX_SUPPLEMENT_1.23/FICHES_501_1000/DW-0884.md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https://github.com/darknigthmare/deadwall-last-enclosure/blob/f0ef5a2036d4876ae8f4d4477676da968a032d01/codex-3000/originaux/DEADWALL_CODEX_SUPPLEMENT_1.23/FICHES_501_1000/DW-0885.md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https://github.com/darknigthmare/deadwall-last-enclosure/blob/f0ef5a2036d4876ae8f4d4477676da968a032d01/codex-3000/originaux/DEADWALL_CODEX_SUPPLEMENT_1.23/FICHES_501_1000/DW-0886.md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https://github.com/darknigthmare/deadwall-last-enclosure/blob/f0ef5a2036d4876ae8f4d4477676da968a032d01/codex-3000/originaux/DEADWALL_CODEX_SUPPLEMENT_1.23/FICHES_501_1000/DW-0887.md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https://github.com/darknigthmare/deadwall-last-enclosure/blob/f0ef5a2036d4876ae8f4d4477676da968a032d01/codex-3000/originaux/DEADWALL_CODEX_SUPPLEMENT_1.23/FICHES_501_1000/DW-0888.md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https://github.com/darknigthmare/deadwall-last-enclosure/blob/f0ef5a2036d4876ae8f4d4477676da968a032d01/codex-3000/originaux/DEADWALL_CODEX_SUPPLEMENT_1.23/FICHES_501_1000/DW-0889.md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https://github.com/darknigthmare/deadwall-last-enclosure/blob/f0ef5a2036d4876ae8f4d4477676da968a032d01/codex-3000/originaux/DEADWALL_CODEX_SUPPLEMENT_1.23/FICHES_501_1000/DW-0890.md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https://github.com/darknigthmare/deadwall-last-enclosure/blob/f0ef5a2036d4876ae8f4d4477676da968a032d01/codex-3000/originaux/DEADWALL_CODEX_SUPPLEMENT_1.23/FICHES_501_1000/DW-0891.md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https://github.com/darknigthmare/deadwall-last-enclosure/blob/f0ef5a2036d4876ae8f4d4477676da968a032d01/codex-3000/originaux/DEADWALL_CODEX_SUPPLEMENT_1.23/FICHES_501_1000/DW-0892.md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https://github.com/darknigthmare/deadwall-last-enclosure/blob/f0ef5a2036d4876ae8f4d4477676da968a032d01/codex-3000/originaux/DEADWALL_CODEX_SUPPLEMENT_1.23/FICHES_501_1000/DW-0893.md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https://github.com/darknigthmare/deadwall-last-enclosure/blob/f0ef5a2036d4876ae8f4d4477676da968a032d01/codex-3000/originaux/DEADWALL_CODEX_SUPPLEMENT_1.23/FICHES_501_1000/DW-0894.md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https://github.com/darknigthmare/deadwall-last-enclosure/blob/f0ef5a2036d4876ae8f4d4477676da968a032d01/codex-3000/originaux/DEADWALL_CODEX_SUPPLEMENT_1.23/FICHES_501_1000/DW-0895.md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https://github.com/darknigthmare/deadwall-last-enclosure/blob/f0ef5a2036d4876ae8f4d4477676da968a032d01/codex-3000/originaux/DEADWALL_CODEX_SUPPLEMENT_1.23/FICHES_501_1000/DW-0896.md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https://github.com/darknigthmare/deadwall-last-enclosure/blob/f0ef5a2036d4876ae8f4d4477676da968a032d01/codex-3000/originaux/DEADWALL_CODEX_SUPPLEMENT_1.23/FICHES_501_1000/DW-0897.md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https://github.com/darknigthmare/deadwall-last-enclosure/blob/f0ef5a2036d4876ae8f4d4477676da968a032d01/codex-3000/originaux/DEADWALL_CODEX_SUPPLEMENT_1.23/FICHES_501_1000/DW-0898.md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https://github.com/darknigthmare/deadwall-last-enclosure/blob/f0ef5a2036d4876ae8f4d4477676da968a032d01/codex-3000/originaux/DEADWALL_CODEX_SUPPLEMENT_1.23/FICHES_501_1000/DW-0899.md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https://github.com/darknigthmare/deadwall-last-enclosure/blob/f0ef5a2036d4876ae8f4d4477676da968a032d01/codex-3000/originaux/DEADWALL_CODEX_SUPPLEMENT_1.23/FICHES_501_1000/DW-0900.md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https://github.com/darknigthmare/deadwall-last-enclosure/blob/f0ef5a2036d4876ae8f4d4477676da968a032d01/codex-3000/originaux/DEADWALL_CODEX_SUPPLEMENT_1.23/FICHES_501_1000/DW-0901.md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https://github.com/darknigthmare/deadwall-last-enclosure/blob/f0ef5a2036d4876ae8f4d4477676da968a032d01/codex-3000/originaux/DEADWALL_CODEX_SUPPLEMENT_1.23/FICHES_501_1000/DW-0902.md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https://github.com/darknigthmare/deadwall-last-enclosure/blob/f0ef5a2036d4876ae8f4d4477676da968a032d01/codex-3000/originaux/DEADWALL_CODEX_SUPPLEMENT_1.23/FICHES_501_1000/DW-0903.md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https://github.com/darknigthmare/deadwall-last-enclosure/blob/f0ef5a2036d4876ae8f4d4477676da968a032d01/codex-3000/originaux/DEADWALL_CODEX_SUPPLEMENT_1.23/FICHES_501_1000/DW-0904.md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https://github.com/darknigthmare/deadwall-last-enclosure/blob/f0ef5a2036d4876ae8f4d4477676da968a032d01/codex-3000/originaux/DEADWALL_CODEX_SUPPLEMENT_1.23/FICHES_501_1000/DW-0905.md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https://github.com/darknigthmare/deadwall-last-enclosure/blob/f0ef5a2036d4876ae8f4d4477676da968a032d01/codex-3000/originaux/DEADWALL_CODEX_SUPPLEMENT_1.23/FICHES_501_1000/DW-0906.md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https://github.com/darknigthmare/deadwall-last-enclosure/blob/f0ef5a2036d4876ae8f4d4477676da968a032d01/codex-3000/originaux/DEADWALL_CODEX_SUPPLEMENT_1.23/FICHES_501_1000/DW-0907.md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https://github.com/darknigthmare/deadwall-last-enclosure/blob/f0ef5a2036d4876ae8f4d4477676da968a032d01/codex-3000/originaux/DEADWALL_CODEX_SUPPLEMENT_1.23/FICHES_501_1000/DW-0908.md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https://github.com/darknigthmare/deadwall-last-enclosure/blob/f0ef5a2036d4876ae8f4d4477676da968a032d01/codex-3000/originaux/DEADWALL_CODEX_SUPPLEMENT_1.23/FICHES_501_1000/DW-0909.md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https://github.com/darknigthmare/deadwall-last-enclosure/blob/f0ef5a2036d4876ae8f4d4477676da968a032d01/codex-3000/originaux/DEADWALL_CODEX_SUPPLEMENT_1.23/FICHES_501_1000/DW-0910.md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https://github.com/darknigthmare/deadwall-last-enclosure/blob/f0ef5a2036d4876ae8f4d4477676da968a032d01/codex-3000/originaux/DEADWALL_CODEX_SUPPLEMENT_1.23/FICHES_501_1000/DW-0911.md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https://github.com/darknigthmare/deadwall-last-enclosure/blob/f0ef5a2036d4876ae8f4d4477676da968a032d01/codex-3000/originaux/DEADWALL_CODEX_SUPPLEMENT_1.23/FICHES_501_1000/DW-0912.md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https://github.com/darknigthmare/deadwall-last-enclosure/blob/f0ef5a2036d4876ae8f4d4477676da968a032d01/codex-3000/originaux/DEADWALL_CODEX_SUPPLEMENT_1.23/FICHES_501_1000/DW-0913.md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https://github.com/darknigthmare/deadwall-last-enclosure/blob/f0ef5a2036d4876ae8f4d4477676da968a032d01/codex-3000/originaux/DEADWALL_CODEX_SUPPLEMENT_1.23/FICHES_501_1000/DW-0914.md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https://github.com/darknigthmare/deadwall-last-enclosure/blob/f0ef5a2036d4876ae8f4d4477676da968a032d01/codex-3000/originaux/DEADWALL_CODEX_SUPPLEMENT_1.23/FICHES_501_1000/DW-0915.md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https://github.com/darknigthmare/deadwall-last-enclosure/blob/f0ef5a2036d4876ae8f4d4477676da968a032d01/codex-3000/originaux/DEADWALL_CODEX_SUPPLEMENT_1.23/FICHES_501_1000/DW-0916.md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https://github.com/darknigthmare/deadwall-last-enclosure/blob/f0ef5a2036d4876ae8f4d4477676da968a032d01/codex-3000/originaux/DEADWALL_CODEX_SUPPLEMENT_1.23/FICHES_501_1000/DW-0917.md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https://github.com/darknigthmare/deadwall-last-enclosure/blob/f0ef5a2036d4876ae8f4d4477676da968a032d01/codex-3000/originaux/DEADWALL_CODEX_SUPPLEMENT_1.23/FICHES_501_1000/DW-0918.md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https://github.com/darknigthmare/deadwall-last-enclosure/blob/f0ef5a2036d4876ae8f4d4477676da968a032d01/codex-3000/originaux/DEADWALL_CODEX_SUPPLEMENT_1.23/FICHES_501_1000/DW-0919.md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https://github.com/darknigthmare/deadwall-last-enclosure/blob/f0ef5a2036d4876ae8f4d4477676da968a032d01/codex-3000/originaux/DEADWALL_CODEX_SUPPLEMENT_1.23/FICHES_501_1000/DW-0920.md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https://github.com/darknigthmare/deadwall-last-enclosure/blob/f0ef5a2036d4876ae8f4d4477676da968a032d01/codex-3000/originaux/DEADWALL_CODEX_SUPPLEMENT_1.23/FICHES_501_1000/DW-0921.md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https://github.com/darknigthmare/deadwall-last-enclosure/blob/f0ef5a2036d4876ae8f4d4477676da968a032d01/codex-3000/originaux/DEADWALL_CODEX_SUPPLEMENT_1.23/FICHES_501_1000/DW-0922.md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https://github.com/darknigthmare/deadwall-last-enclosure/blob/f0ef5a2036d4876ae8f4d4477676da968a032d01/codex-3000/originaux/DEADWALL_CODEX_SUPPLEMENT_1.23/FICHES_501_1000/DW-0923.md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https://github.com/darknigthmare/deadwall-last-enclosure/blob/f0ef5a2036d4876ae8f4d4477676da968a032d01/codex-3000/originaux/DEADWALL_CODEX_SUPPLEMENT_1.23/FICHES_501_1000/DW-0924.md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https://github.com/darknigthmare/deadwall-last-enclosure/blob/f0ef5a2036d4876ae8f4d4477676da968a032d01/codex-3000/originaux/DEADWALL_CODEX_SUPPLEMENT_1.23/FICHES_501_1000/DW-0925.md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https://github.com/darknigthmare/deadwall-last-enclosure/blob/f0ef5a2036d4876ae8f4d4477676da968a032d01/codex-3000/originaux/DEADWALL_CODEX_SUPPLEMENT_1.23/FICHES_501_1000/DW-0926.md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https://github.com/darknigthmare/deadwall-last-enclosure/blob/f0ef5a2036d4876ae8f4d4477676da968a032d01/codex-3000/originaux/DEADWALL_CODEX_SUPPLEMENT_1.23/FICHES_501_1000/DW-0927.md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https://github.com/darknigthmare/deadwall-last-enclosure/blob/f0ef5a2036d4876ae8f4d4477676da968a032d01/codex-3000/originaux/DEADWALL_CODEX_SUPPLEMENT_1.23/FICHES_501_1000/DW-0928.md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https://github.com/darknigthmare/deadwall-last-enclosure/blob/f0ef5a2036d4876ae8f4d4477676da968a032d01/codex-3000/originaux/DEADWALL_CODEX_SUPPLEMENT_1.23/FICHES_501_1000/DW-0929.md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https://github.com/darknigthmare/deadwall-last-enclosure/blob/f0ef5a2036d4876ae8f4d4477676da968a032d01/codex-3000/originaux/DEADWALL_CODEX_SUPPLEMENT_1.23/FICHES_501_1000/DW-0930.md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https://github.com/darknigthmare/deadwall-last-enclosure/blob/f0ef5a2036d4876ae8f4d4477676da968a032d01/codex-3000/originaux/DEADWALL_CODEX_SUPPLEMENT_1.23/FICHES_501_1000/DW-0931.md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https://github.com/darknigthmare/deadwall-last-enclosure/blob/f0ef5a2036d4876ae8f4d4477676da968a032d01/codex-3000/originaux/DEADWALL_CODEX_SUPPLEMENT_1.23/FICHES_501_1000/DW-0932.md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https://github.com/darknigthmare/deadwall-last-enclosure/blob/f0ef5a2036d4876ae8f4d4477676da968a032d01/codex-3000/originaux/DEADWALL_CODEX_SUPPLEMENT_1.23/FICHES_501_1000/DW-0933.md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https://github.com/darknigthmare/deadwall-last-enclosure/blob/f0ef5a2036d4876ae8f4d4477676da968a032d01/codex-3000/originaux/DEADWALL_CODEX_SUPPLEMENT_1.23/FICHES_501_1000/DW-0934.md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https://github.com/darknigthmare/deadwall-last-enclosure/blob/f0ef5a2036d4876ae8f4d4477676da968a032d01/codex-3000/originaux/DEADWALL_CODEX_SUPPLEMENT_1.23/FICHES_501_1000/DW-0935.md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https://github.com/darknigthmare/deadwall-last-enclosure/blob/f0ef5a2036d4876ae8f4d4477676da968a032d01/codex-3000/originaux/DEADWALL_CODEX_SUPPLEMENT_1.23/FICHES_501_1000/DW-0936.md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https://github.com/darknigthmare/deadwall-last-enclosure/blob/f0ef5a2036d4876ae8f4d4477676da968a032d01/codex-3000/originaux/DEADWALL_CODEX_SUPPLEMENT_1.23/FICHES_501_1000/DW-0937.md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https://github.com/darknigthmare/deadwall-last-enclosure/blob/f0ef5a2036d4876ae8f4d4477676da968a032d01/codex-3000/originaux/DEADWALL_CODEX_SUPPLEMENT_1.23/FICHES_501_1000/DW-0938.md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https://github.com/darknigthmare/deadwall-last-enclosure/blob/f0ef5a2036d4876ae8f4d4477676da968a032d01/codex-3000/originaux/DEADWALL_CODEX_SUPPLEMENT_1.23/FICHES_501_1000/DW-0939.md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https://github.com/darknigthmare/deadwall-last-enclosure/blob/f0ef5a2036d4876ae8f4d4477676da968a032d01/codex-3000/originaux/DEADWALL_CODEX_SUPPLEMENT_1.23/FICHES_501_1000/DW-0940.md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https://github.com/darknigthmare/deadwall-last-enclosure/blob/f0ef5a2036d4876ae8f4d4477676da968a032d01/codex-3000/originaux/DEADWALL_CODEX_SUPPLEMENT_1.23/FICHES_501_1000/DW-0941.md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https://github.com/darknigthmare/deadwall-last-enclosure/blob/f0ef5a2036d4876ae8f4d4477676da968a032d01/codex-3000/originaux/DEADWALL_CODEX_SUPPLEMENT_1.23/FICHES_501_1000/DW-0942.md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https://github.com/darknigthmare/deadwall-last-enclosure/blob/f0ef5a2036d4876ae8f4d4477676da968a032d01/codex-3000/originaux/DEADWALL_CODEX_SUPPLEMENT_1.23/FICHES_501_1000/DW-0943.md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https://github.com/darknigthmare/deadwall-last-enclosure/blob/f0ef5a2036d4876ae8f4d4477676da968a032d01/codex-3000/originaux/DEADWALL_CODEX_SUPPLEMENT_1.23/FICHES_501_1000/DW-0944.md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https://github.com/darknigthmare/deadwall-last-enclosure/blob/f0ef5a2036d4876ae8f4d4477676da968a032d01/codex-3000/originaux/DEADWALL_CODEX_SUPPLEMENT_1.23/FICHES_501_1000/DW-0945.md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https://github.com/darknigthmare/deadwall-last-enclosure/blob/f0ef5a2036d4876ae8f4d4477676da968a032d01/codex-3000/originaux/DEADWALL_CODEX_SUPPLEMENT_1.23/FICHES_501_1000/DW-0946.md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https://github.com/darknigthmare/deadwall-last-enclosure/blob/f0ef5a2036d4876ae8f4d4477676da968a032d01/codex-3000/originaux/DEADWALL_CODEX_SUPPLEMENT_1.23/FICHES_501_1000/DW-0947.md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https://github.com/darknigthmare/deadwall-last-enclosure/blob/f0ef5a2036d4876ae8f4d4477676da968a032d01/codex-3000/originaux/DEADWALL_CODEX_SUPPLEMENT_1.23/FICHES_501_1000/DW-0948.md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https://github.com/darknigthmare/deadwall-last-enclosure/blob/f0ef5a2036d4876ae8f4d4477676da968a032d01/codex-3000/originaux/DEADWALL_CODEX_SUPPLEMENT_1.23/FICHES_501_1000/DW-0949.md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https://github.com/darknigthmare/deadwall-last-enclosure/blob/f0ef5a2036d4876ae8f4d4477676da968a032d01/codex-3000/originaux/DEADWALL_CODEX_SUPPLEMENT_1.23/FICHES_501_1000/DW-0950.md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https://github.com/darknigthmare/deadwall-last-enclosure/blob/f0ef5a2036d4876ae8f4d4477676da968a032d01/codex-3000/originaux/DEADWALL_CODEX_SUPPLEMENT_1.23/FICHES_501_1000/DW-0951.md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https://github.com/darknigthmare/deadwall-last-enclosure/blob/f0ef5a2036d4876ae8f4d4477676da968a032d01/codex-3000/originaux/DEADWALL_CODEX_SUPPLEMENT_1.23/FICHES_501_1000/DW-0952.md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https://github.com/darknigthmare/deadwall-last-enclosure/blob/f0ef5a2036d4876ae8f4d4477676da968a032d01/codex-3000/originaux/DEADWALL_CODEX_SUPPLEMENT_1.23/FICHES_501_1000/DW-0953.md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https://github.com/darknigthmare/deadwall-last-enclosure/blob/f0ef5a2036d4876ae8f4d4477676da968a032d01/codex-3000/originaux/DEADWALL_CODEX_SUPPLEMENT_1.23/FICHES_501_1000/DW-0954.md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https://github.com/darknigthmare/deadwall-last-enclosure/blob/f0ef5a2036d4876ae8f4d4477676da968a032d01/codex-3000/originaux/DEADWALL_CODEX_SUPPLEMENT_1.23/FICHES_501_1000/DW-0955.md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https://github.com/darknigthmare/deadwall-last-enclosure/blob/f0ef5a2036d4876ae8f4d4477676da968a032d01/codex-3000/originaux/DEADWALL_CODEX_SUPPLEMENT_1.23/FICHES_501_1000/DW-0956.md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https://github.com/darknigthmare/deadwall-last-enclosure/blob/f0ef5a2036d4876ae8f4d4477676da968a032d01/codex-3000/originaux/DEADWALL_CODEX_SUPPLEMENT_1.23/FICHES_501_1000/DW-0957.md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https://github.com/darknigthmare/deadwall-last-enclosure/blob/f0ef5a2036d4876ae8f4d4477676da968a032d01/codex-3000/originaux/DEADWALL_CODEX_SUPPLEMENT_1.23/FICHES_501_1000/DW-0958.md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https://github.com/darknigthmare/deadwall-last-enclosure/blob/f0ef5a2036d4876ae8f4d4477676da968a032d01/codex-3000/originaux/DEADWALL_CODEX_SUPPLEMENT_1.23/FICHES_501_1000/DW-0959.md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https://github.com/darknigthmare/deadwall-last-enclosure/blob/f0ef5a2036d4876ae8f4d4477676da968a032d01/codex-3000/originaux/DEADWALL_CODEX_SUPPLEMENT_1.23/FICHES_501_1000/DW-0960.md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https://github.com/darknigthmare/deadwall-last-enclosure/blob/f0ef5a2036d4876ae8f4d4477676da968a032d01/codex-3000/originaux/DEADWALL_CODEX_SUPPLEMENT_1.23/FICHES_501_1000/DW-0961.md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https://github.com/darknigthmare/deadwall-last-enclosure/blob/f0ef5a2036d4876ae8f4d4477676da968a032d01/codex-3000/originaux/DEADWALL_CODEX_SUPPLEMENT_1.23/FICHES_501_1000/DW-0962.md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https://github.com/darknigthmare/deadwall-last-enclosure/blob/f0ef5a2036d4876ae8f4d4477676da968a032d01/codex-3000/originaux/DEADWALL_CODEX_SUPPLEMENT_1.23/FICHES_501_1000/DW-0963.md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https://github.com/darknigthmare/deadwall-last-enclosure/blob/f0ef5a2036d4876ae8f4d4477676da968a032d01/codex-3000/originaux/DEADWALL_CODEX_SUPPLEMENT_1.23/FICHES_501_1000/DW-0964.md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https://github.com/darknigthmare/deadwall-last-enclosure/blob/f0ef5a2036d4876ae8f4d4477676da968a032d01/codex-3000/originaux/DEADWALL_CODEX_SUPPLEMENT_1.23/FICHES_501_1000/DW-0965.md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https://github.com/darknigthmare/deadwall-last-enclosure/blob/f0ef5a2036d4876ae8f4d4477676da968a032d01/codex-3000/originaux/DEADWALL_CODEX_SUPPLEMENT_1.23/FICHES_501_1000/DW-0966.md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https://github.com/darknigthmare/deadwall-last-enclosure/blob/f0ef5a2036d4876ae8f4d4477676da968a032d01/codex-3000/originaux/DEADWALL_CODEX_SUPPLEMENT_1.23/FICHES_501_1000/DW-0967.md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https://github.com/darknigthmare/deadwall-last-enclosure/blob/f0ef5a2036d4876ae8f4d4477676da968a032d01/codex-3000/originaux/DEADWALL_CODEX_SUPPLEMENT_1.23/FICHES_501_1000/DW-0968.md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https://github.com/darknigthmare/deadwall-last-enclosure/blob/f0ef5a2036d4876ae8f4d4477676da968a032d01/codex-3000/originaux/DEADWALL_CODEX_SUPPLEMENT_1.23/FICHES_501_1000/DW-0969.md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https://github.com/darknigthmare/deadwall-last-enclosure/blob/f0ef5a2036d4876ae8f4d4477676da968a032d01/codex-3000/originaux/DEADWALL_CODEX_SUPPLEMENT_1.23/FICHES_501_1000/DW-0970.md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https://github.com/darknigthmare/deadwall-last-enclosure/blob/f0ef5a2036d4876ae8f4d4477676da968a032d01/codex-3000/originaux/DEADWALL_CODEX_SUPPLEMENT_1.23/FICHES_501_1000/DW-0971.md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https://github.com/darknigthmare/deadwall-last-enclosure/blob/f0ef5a2036d4876ae8f4d4477676da968a032d01/codex-3000/originaux/DEADWALL_CODEX_SUPPLEMENT_1.23/FICHES_501_1000/DW-0972.md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https://github.com/darknigthmare/deadwall-last-enclosure/blob/f0ef5a2036d4876ae8f4d4477676da968a032d01/codex-3000/originaux/DEADWALL_CODEX_SUPPLEMENT_1.23/FICHES_501_1000/DW-0973.md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https://github.com/darknigthmare/deadwall-last-enclosure/blob/f0ef5a2036d4876ae8f4d4477676da968a032d01/codex-3000/originaux/DEADWALL_CODEX_SUPPLEMENT_1.23/FICHES_501_1000/DW-0974.md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https://github.com/darknigthmare/deadwall-last-enclosure/blob/f0ef5a2036d4876ae8f4d4477676da968a032d01/codex-3000/originaux/DEADWALL_CODEX_SUPPLEMENT_1.23/FICHES_501_1000/DW-0975.md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https://github.com/darknigthmare/deadwall-last-enclosure/blob/f0ef5a2036d4876ae8f4d4477676da968a032d01/codex-3000/originaux/DEADWALL_CODEX_SUPPLEMENT_1.23/FICHES_501_1000/DW-0976.md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https://github.com/darknigthmare/deadwall-last-enclosure/blob/f0ef5a2036d4876ae8f4d4477676da968a032d01/codex-3000/originaux/DEADWALL_CODEX_SUPPLEMENT_1.23/FICHES_501_1000/DW-0977.md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https://github.com/darknigthmare/deadwall-last-enclosure/blob/f0ef5a2036d4876ae8f4d4477676da968a032d01/codex-3000/originaux/DEADWALL_CODEX_SUPPLEMENT_1.23/FICHES_501_1000/DW-0978.md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https://github.com/darknigthmare/deadwall-last-enclosure/blob/f0ef5a2036d4876ae8f4d4477676da968a032d01/codex-3000/originaux/DEADWALL_CODEX_SUPPLEMENT_1.23/FICHES_501_1000/DW-0979.md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https://github.com/darknigthmare/deadwall-last-enclosure/blob/f0ef5a2036d4876ae8f4d4477676da968a032d01/codex-3000/originaux/DEADWALL_CODEX_SUPPLEMENT_1.23/FICHES_501_1000/DW-0980.md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https://github.com/darknigthmare/deadwall-last-enclosure/blob/f0ef5a2036d4876ae8f4d4477676da968a032d01/codex-3000/originaux/DEADWALL_CODEX_SUPPLEMENT_1.23/FICHES_501_1000/DW-0981.md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https://github.com/darknigthmare/deadwall-last-enclosure/blob/f0ef5a2036d4876ae8f4d4477676da968a032d01/codex-3000/originaux/DEADWALL_CODEX_SUPPLEMENT_1.23/FICHES_501_1000/DW-0982.md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https://github.com/darknigthmare/deadwall-last-enclosure/blob/f0ef5a2036d4876ae8f4d4477676da968a032d01/codex-3000/originaux/DEADWALL_CODEX_SUPPLEMENT_1.23/FICHES_501_1000/DW-0983.md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https://github.com/darknigthmare/deadwall-last-enclosure/blob/f0ef5a2036d4876ae8f4d4477676da968a032d01/codex-3000/originaux/DEADWALL_CODEX_SUPPLEMENT_1.23/FICHES_501_1000/DW-0984.md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https://github.com/darknigthmare/deadwall-last-enclosure/blob/f0ef5a2036d4876ae8f4d4477676da968a032d01/codex-3000/originaux/DEADWALL_CODEX_SUPPLEMENT_1.23/FICHES_501_1000/DW-0985.md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https://github.com/darknigthmare/deadwall-last-enclosure/blob/f0ef5a2036d4876ae8f4d4477676da968a032d01/codex-3000/originaux/DEADWALL_CODEX_SUPPLEMENT_1.23/FICHES_501_1000/DW-0986.md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https://github.com/darknigthmare/deadwall-last-enclosure/blob/f0ef5a2036d4876ae8f4d4477676da968a032d01/codex-3000/originaux/DEADWALL_CODEX_SUPPLEMENT_1.23/FICHES_501_1000/DW-0987.md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https://github.com/darknigthmare/deadwall-last-enclosure/blob/f0ef5a2036d4876ae8f4d4477676da968a032d01/codex-3000/originaux/DEADWALL_CODEX_SUPPLEMENT_1.23/FICHES_501_1000/DW-0988.md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https://github.com/darknigthmare/deadwall-last-enclosure/blob/f0ef5a2036d4876ae8f4d4477676da968a032d01/codex-3000/originaux/DEADWALL_CODEX_SUPPLEMENT_1.23/FICHES_501_1000/DW-0989.md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https://github.com/darknigthmare/deadwall-last-enclosure/blob/f0ef5a2036d4876ae8f4d4477676da968a032d01/codex-3000/originaux/DEADWALL_CODEX_SUPPLEMENT_1.23/FICHES_501_1000/DW-0990.md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https://github.com/darknigthmare/deadwall-last-enclosure/blob/f0ef5a2036d4876ae8f4d4477676da968a032d01/codex-3000/originaux/DEADWALL_CODEX_SUPPLEMENT_1.23/FICHES_501_1000/DW-0991.md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https://github.com/darknigthmare/deadwall-last-enclosure/blob/f0ef5a2036d4876ae8f4d4477676da968a032d01/codex-3000/originaux/DEADWALL_CODEX_SUPPLEMENT_1.23/FICHES_501_1000/DW-0992.md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https://github.com/darknigthmare/deadwall-last-enclosure/blob/f0ef5a2036d4876ae8f4d4477676da968a032d01/codex-3000/originaux/DEADWALL_CODEX_SUPPLEMENT_1.23/FICHES_501_1000/DW-0993.md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https://github.com/darknigthmare/deadwall-last-enclosure/blob/f0ef5a2036d4876ae8f4d4477676da968a032d01/codex-3000/originaux/DEADWALL_CODEX_SUPPLEMENT_1.23/FICHES_501_1000/DW-0994.md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https://github.com/darknigthmare/deadwall-last-enclosure/blob/f0ef5a2036d4876ae8f4d4477676da968a032d01/codex-3000/originaux/DEADWALL_CODEX_SUPPLEMENT_1.23/FICHES_501_1000/DW-0995.md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https://github.com/darknigthmare/deadwall-last-enclosure/blob/f0ef5a2036d4876ae8f4d4477676da968a032d01/codex-3000/originaux/DEADWALL_CODEX_SUPPLEMENT_1.23/FICHES_501_1000/DW-0996.md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https://github.com/darknigthmare/deadwall-last-enclosure/blob/f0ef5a2036d4876ae8f4d4477676da968a032d01/codex-3000/originaux/DEADWALL_CODEX_SUPPLEMENT_1.23/FICHES_501_1000/DW-0997.md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https://github.com/darknigthmare/deadwall-last-enclosure/blob/f0ef5a2036d4876ae8f4d4477676da968a032d01/codex-3000/originaux/DEADWALL_CODEX_SUPPLEMENT_1.23/FICHES_501_1000/DW-0998.md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https://github.com/darknigthmare/deadwall-last-enclosure/blob/f0ef5a2036d4876ae8f4d4477676da968a032d01/codex-3000/originaux/DEADWALL_CODEX_SUPPLEMENT_1.23/FICHES_501_1000/DW-0999.md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https://github.com/darknigthmare/deadwall-last-enclosure/blob/f0ef5a2036d4876ae8f4d4477676da968a032d01/codex-3000/originaux/DEADWALL_CODEX_SUPPLEMENT_1.23/FICHES_501_1000/DW-1000.md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https://github.com/darknigthmare/deadwall-last-enclosure/blob/f0ef5a2036d4876ae8f4d4477676da968a032d01/codex-3000/compositions/Habitat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https://github.com/darknigthmare/deadwall-last-enclosure/blob/f0ef5a2036d4876ae8f4d4477676da968a032d01/codex-3000/compositions/Habitat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https://github.com/darknigthmare/deadwall-last-enclosure/blob/f0ef5a2036d4876ae8f4d4477676da968a032d01/codex-3000/compositions/Habitat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https://github.com/darknigthmare/deadwall-last-enclosure/blob/f0ef5a2036d4876ae8f4d4477676da968a032d01/codex-3000/compositions/Habitat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https://github.com/darknigthmare/deadwall-last-enclosure/blob/f0ef5a2036d4876ae8f4d4477676da968a032d01/codex-3000/compositions/Habitat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https://github.com/darknigthmare/deadwall-last-enclosure/blob/f0ef5a2036d4876ae8f4d4477676da968a032d01/codex-3000/compositions/Habitat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https://github.com/darknigthmare/deadwall-last-enclosure/blob/f0ef5a2036d4876ae8f4d4477676da968a032d01/codex-3000/compositions/Habitat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https://github.com/darknigthmare/deadwall-last-enclosure/blob/f0ef5a2036d4876ae8f4d4477676da968a032d01/codex-3000/compositions/Habitat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https://github.com/darknigthmare/deadwall-last-enclosure/blob/f0ef5a2036d4876ae8f4d4477676da968a032d01/codex-3000/compositions/Habitat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https://github.com/darknigthmare/deadwall-last-enclosure/blob/f0ef5a2036d4876ae8f4d4477676da968a032d01/codex-3000/compositions/Habitat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https://github.com/darknigthmare/deadwall-last-enclosure/blob/f0ef5a2036d4876ae8f4d4477676da968a032d01/codex-3000/compositions/Habitat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https://github.com/darknigthmare/deadwall-last-enclosure/blob/f0ef5a2036d4876ae8f4d4477676da968a032d01/codex-3000/compositions/Habitat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https://github.com/darknigthmare/deadwall-last-enclosure/blob/f0ef5a2036d4876ae8f4d4477676da968a032d01/codex-3000/compositions/Habitat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https://github.com/darknigthmare/deadwall-last-enclosure/blob/f0ef5a2036d4876ae8f4d4477676da968a032d01/codex-3000/compositions/Habitat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https://github.com/darknigthmare/deadwall-last-enclosure/blob/f0ef5a2036d4876ae8f4d4477676da968a032d01/codex-3000/compositions/Habitat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https://github.com/darknigthmare/deadwall-last-enclosure/blob/f0ef5a2036d4876ae8f4d4477676da968a032d01/codex-3000/compositions/Habitat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https://github.com/darknigthmare/deadwall-last-enclosure/blob/f0ef5a2036d4876ae8f4d4477676da968a032d01/codex-3000/compositions/Habitat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https://github.com/darknigthmare/deadwall-last-enclosure/blob/f0ef5a2036d4876ae8f4d4477676da968a032d01/codex-3000/compositions/Habitat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https://github.com/darknigthmare/deadwall-last-enclosure/blob/f0ef5a2036d4876ae8f4d4477676da968a032d01/codex-3000/compositions/Habitat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https://github.com/darknigthmare/deadwall-last-enclosure/blob/f0ef5a2036d4876ae8f4d4477676da968a032d01/codex-3000/compositions/Habitat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https://github.com/darknigthmare/deadwall-last-enclosure/blob/f0ef5a2036d4876ae8f4d4477676da968a032d01/codex-3000/compositions/Habitat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https://github.com/darknigthmare/deadwall-last-enclosure/blob/f0ef5a2036d4876ae8f4d4477676da968a032d01/codex-3000/compositions/Habitat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https://github.com/darknigthmare/deadwall-last-enclosure/blob/f0ef5a2036d4876ae8f4d4477676da968a032d01/codex-3000/compositions/Habitat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https://github.com/darknigthmare/deadwall-last-enclosure/blob/f0ef5a2036d4876ae8f4d4477676da968a032d01/codex-3000/compositions/Habitat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https://github.com/darknigthmare/deadwall-last-enclosure/blob/f0ef5a2036d4876ae8f4d4477676da968a032d01/codex-3000/compositions/Habitat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https://github.com/darknigthmare/deadwall-last-enclosure/blob/f0ef5a2036d4876ae8f4d4477676da968a032d01/codex-3000/compositions/Habitat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https://github.com/darknigthmare/deadwall-last-enclosure/blob/f0ef5a2036d4876ae8f4d4477676da968a032d01/codex-3000/compositions/Habitat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https://github.com/darknigthmare/deadwall-last-enclosure/blob/f0ef5a2036d4876ae8f4d4477676da968a032d01/codex-3000/compositions/Habitat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https://github.com/darknigthmare/deadwall-last-enclosure/blob/f0ef5a2036d4876ae8f4d4477676da968a032d01/codex-3000/compositions/Habitat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https://github.com/darknigthmare/deadwall-last-enclosure/blob/f0ef5a2036d4876ae8f4d4477676da968a032d01/codex-3000/compositions/Habitat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https://github.com/darknigthmare/deadwall-last-enclosure/blob/f0ef5a2036d4876ae8f4d4477676da968a032d01/codex-3000/compositions/Habitat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https://github.com/darknigthmare/deadwall-last-enclosure/blob/f0ef5a2036d4876ae8f4d4477676da968a032d01/codex-3000/compositions/Habitat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https://github.com/darknigthmare/deadwall-last-enclosure/blob/f0ef5a2036d4876ae8f4d4477676da968a032d01/codex-3000/compositions/Habitat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https://github.com/darknigthmare/deadwall-last-enclosure/blob/f0ef5a2036d4876ae8f4d4477676da968a032d01/codex-3000/compositions/Habitat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https://github.com/darknigthmare/deadwall-last-enclosure/blob/f0ef5a2036d4876ae8f4d4477676da968a032d01/codex-3000/compositions/Habitat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https://github.com/darknigthmare/deadwall-last-enclosure/blob/f0ef5a2036d4876ae8f4d4477676da968a032d01/codex-3000/compositions/Habitat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https://github.com/darknigthmare/deadwall-last-enclosure/blob/f0ef5a2036d4876ae8f4d4477676da968a032d01/codex-3000/compositions/Habitat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https://github.com/darknigthmare/deadwall-last-enclosure/blob/f0ef5a2036d4876ae8f4d4477676da968a032d01/codex-3000/compositions/Habitat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https://github.com/darknigthmare/deadwall-last-enclosure/blob/f0ef5a2036d4876ae8f4d4477676da968a032d01/codex-3000/compositions/Habitat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https://github.com/darknigthmare/deadwall-last-enclosure/blob/f0ef5a2036d4876ae8f4d4477676da968a032d01/codex-3000/compositions/Habitat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https://github.com/darknigthmare/deadwall-last-enclosure/blob/f0ef5a2036d4876ae8f4d4477676da968a032d01/codex-3000/compositions/Habitat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https://github.com/darknigthmare/deadwall-last-enclosure/blob/f0ef5a2036d4876ae8f4d4477676da968a032d01/codex-3000/compositions/Habitat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https://github.com/darknigthmare/deadwall-last-enclosure/blob/f0ef5a2036d4876ae8f4d4477676da968a032d01/codex-3000/compositions/Habitat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https://github.com/darknigthmare/deadwall-last-enclosure/blob/f0ef5a2036d4876ae8f4d4477676da968a032d01/codex-3000/compositions/Habitat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https://github.com/darknigthmare/deadwall-last-enclosure/blob/f0ef5a2036d4876ae8f4d4477676da968a032d01/codex-3000/compositions/Habitat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https://github.com/darknigthmare/deadwall-last-enclosure/blob/f0ef5a2036d4876ae8f4d4477676da968a032d01/codex-3000/compositions/Habitat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https://github.com/darknigthmare/deadwall-last-enclosure/blob/f0ef5a2036d4876ae8f4d4477676da968a032d01/codex-3000/compositions/Habitat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https://github.com/darknigthmare/deadwall-last-enclosure/blob/f0ef5a2036d4876ae8f4d4477676da968a032d01/codex-3000/compositions/Habitat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https://github.com/darknigthmare/deadwall-last-enclosure/blob/f0ef5a2036d4876ae8f4d4477676da968a032d01/codex-3000/compositions/Habitat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https://github.com/darknigthmare/deadwall-last-enclosure/blob/f0ef5a2036d4876ae8f4d4477676da968a032d01/codex-3000/compositions/Habitat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https://github.com/darknigthmare/deadwall-last-enclosure/blob/f0ef5a2036d4876ae8f4d4477676da968a032d01/codex-3000/compositions/Habitat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https://github.com/darknigthmare/deadwall-last-enclosure/blob/f0ef5a2036d4876ae8f4d4477676da968a032d01/codex-3000/compositions/Habitat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https://github.com/darknigthmare/deadwall-last-enclosure/blob/f0ef5a2036d4876ae8f4d4477676da968a032d01/codex-3000/compositions/Habitat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https://github.com/darknigthmare/deadwall-last-enclosure/blob/f0ef5a2036d4876ae8f4d4477676da968a032d01/codex-3000/compositions/Habitat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https://github.com/darknigthmare/deadwall-last-enclosure/blob/f0ef5a2036d4876ae8f4d4477676da968a032d01/codex-3000/compositions/Habitat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https://github.com/darknigthmare/deadwall-last-enclosure/blob/f0ef5a2036d4876ae8f4d4477676da968a032d01/codex-3000/compositions/Habitat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https://github.com/darknigthmare/deadwall-last-enclosure/blob/f0ef5a2036d4876ae8f4d4477676da968a032d01/codex-3000/compositions/Habitat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https://github.com/darknigthmare/deadwall-last-enclosure/blob/f0ef5a2036d4876ae8f4d4477676da968a032d01/codex-3000/compositions/Habitat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https://github.com/darknigthmare/deadwall-last-enclosure/blob/f0ef5a2036d4876ae8f4d4477676da968a032d01/codex-3000/compositions/Habitat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https://github.com/darknigthmare/deadwall-last-enclosure/blob/f0ef5a2036d4876ae8f4d4477676da968a032d01/codex-3000/compositions/Habitat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https://github.com/darknigthmare/deadwall-last-enclosure/blob/f0ef5a2036d4876ae8f4d4477676da968a032d01/codex-3000/compositions/Habitat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https://github.com/darknigthmare/deadwall-last-enclosure/blob/f0ef5a2036d4876ae8f4d4477676da968a032d01/codex-3000/compositions/Habitat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https://github.com/darknigthmare/deadwall-last-enclosure/blob/f0ef5a2036d4876ae8f4d4477676da968a032d01/codex-3000/compositions/Habitat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https://github.com/darknigthmare/deadwall-last-enclosure/blob/f0ef5a2036d4876ae8f4d4477676da968a032d01/codex-3000/compositions/Habitat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https://github.com/darknigthmare/deadwall-last-enclosure/blob/f0ef5a2036d4876ae8f4d4477676da968a032d01/codex-3000/compositions/Habitat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https://github.com/darknigthmare/deadwall-last-enclosure/blob/f0ef5a2036d4876ae8f4d4477676da968a032d01/codex-3000/compositions/Habitat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https://github.com/darknigthmare/deadwall-last-enclosure/blob/f0ef5a2036d4876ae8f4d4477676da968a032d01/codex-3000/compositions/Habitat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https://github.com/darknigthmare/deadwall-last-enclosure/blob/f0ef5a2036d4876ae8f4d4477676da968a032d01/codex-3000/compositions/Habitat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https://github.com/darknigthmare/deadwall-last-enclosure/blob/f0ef5a2036d4876ae8f4d4477676da968a032d01/codex-3000/compositions/Habitat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https://github.com/darknigthmare/deadwall-last-enclosure/blob/f0ef5a2036d4876ae8f4d4477676da968a032d01/codex-3000/compositions/Habitat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https://github.com/darknigthmare/deadwall-last-enclosure/blob/f0ef5a2036d4876ae8f4d4477676da968a032d01/codex-3000/compositions/Habitat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https://github.com/darknigthmare/deadwall-last-enclosure/blob/f0ef5a2036d4876ae8f4d4477676da968a032d01/codex-3000/compositions/Habitat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https://github.com/darknigthmare/deadwall-last-enclosure/blob/f0ef5a2036d4876ae8f4d4477676da968a032d01/codex-3000/compositions/Habitat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https://github.com/darknigthmare/deadwall-last-enclosure/blob/f0ef5a2036d4876ae8f4d4477676da968a032d01/codex-3000/compositions/Habitat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https://github.com/darknigthmare/deadwall-last-enclosure/blob/f0ef5a2036d4876ae8f4d4477676da968a032d01/codex-3000/compositions/Habitat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https://github.com/darknigthmare/deadwall-last-enclosure/blob/f0ef5a2036d4876ae8f4d4477676da968a032d01/codex-3000/compositions/Habitat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https://github.com/darknigthmare/deadwall-last-enclosure/blob/f0ef5a2036d4876ae8f4d4477676da968a032d01/codex-3000/compositions/Habitat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https://github.com/darknigthmare/deadwall-last-enclosure/blob/f0ef5a2036d4876ae8f4d4477676da968a032d01/codex-3000/compositions/Habitat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https://github.com/darknigthmare/deadwall-last-enclosure/blob/f0ef5a2036d4876ae8f4d4477676da968a032d01/codex-3000/compositions/Habitat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https://github.com/darknigthmare/deadwall-last-enclosure/blob/f0ef5a2036d4876ae8f4d4477676da968a032d01/codex-3000/compositions/Habitat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https://github.com/darknigthmare/deadwall-last-enclosure/blob/f0ef5a2036d4876ae8f4d4477676da968a032d01/codex-3000/compositions/Commerces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https://github.com/darknigthmare/deadwall-last-enclosure/blob/f0ef5a2036d4876ae8f4d4477676da968a032d01/codex-3000/compositions/Commerces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https://github.com/darknigthmare/deadwall-last-enclosure/blob/f0ef5a2036d4876ae8f4d4477676da968a032d01/codex-3000/compositions/Commerces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https://github.com/darknigthmare/deadwall-last-enclosure/blob/f0ef5a2036d4876ae8f4d4477676da968a032d01/codex-3000/compositions/Commerces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https://github.com/darknigthmare/deadwall-last-enclosure/blob/f0ef5a2036d4876ae8f4d4477676da968a032d01/codex-3000/compositions/Commerces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https://github.com/darknigthmare/deadwall-last-enclosure/blob/f0ef5a2036d4876ae8f4d4477676da968a032d01/codex-3000/compositions/Commerces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https://github.com/darknigthmare/deadwall-last-enclosure/blob/f0ef5a2036d4876ae8f4d4477676da968a032d01/codex-3000/compositions/Commerces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https://github.com/darknigthmare/deadwall-last-enclosure/blob/f0ef5a2036d4876ae8f4d4477676da968a032d01/codex-3000/compositions/Commerces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https://github.com/darknigthmare/deadwall-last-enclosure/blob/f0ef5a2036d4876ae8f4d4477676da968a032d01/codex-3000/compositions/Commerces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https://github.com/darknigthmare/deadwall-last-enclosure/blob/f0ef5a2036d4876ae8f4d4477676da968a032d01/codex-3000/compositions/Commerces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https://github.com/darknigthmare/deadwall-last-enclosure/blob/f0ef5a2036d4876ae8f4d4477676da968a032d01/codex-3000/compositions/Commerces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https://github.com/darknigthmare/deadwall-last-enclosure/blob/f0ef5a2036d4876ae8f4d4477676da968a032d01/codex-3000/compositions/Commerces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https://github.com/darknigthmare/deadwall-last-enclosure/blob/f0ef5a2036d4876ae8f4d4477676da968a032d01/codex-3000/compositions/Commerces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https://github.com/darknigthmare/deadwall-last-enclosure/blob/f0ef5a2036d4876ae8f4d4477676da968a032d01/codex-3000/compositions/Commerces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https://github.com/darknigthmare/deadwall-last-enclosure/blob/f0ef5a2036d4876ae8f4d4477676da968a032d01/codex-3000/compositions/Commerces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https://github.com/darknigthmare/deadwall-last-enclosure/blob/f0ef5a2036d4876ae8f4d4477676da968a032d01/codex-3000/compositions/Commerces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https://github.com/darknigthmare/deadwall-last-enclosure/blob/f0ef5a2036d4876ae8f4d4477676da968a032d01/codex-3000/compositions/Commerces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https://github.com/darknigthmare/deadwall-last-enclosure/blob/f0ef5a2036d4876ae8f4d4477676da968a032d01/codex-3000/compositions/Commerces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https://github.com/darknigthmare/deadwall-last-enclosure/blob/f0ef5a2036d4876ae8f4d4477676da968a032d01/codex-3000/compositions/Commerces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https://github.com/darknigthmare/deadwall-last-enclosure/blob/f0ef5a2036d4876ae8f4d4477676da968a032d01/codex-3000/compositions/Commerces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https://github.com/darknigthmare/deadwall-last-enclosure/blob/f0ef5a2036d4876ae8f4d4477676da968a032d01/codex-3000/compositions/Commerces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https://github.com/darknigthmare/deadwall-last-enclosure/blob/f0ef5a2036d4876ae8f4d4477676da968a032d01/codex-3000/compositions/Commerces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https://github.com/darknigthmare/deadwall-last-enclosure/blob/f0ef5a2036d4876ae8f4d4477676da968a032d01/codex-3000/compositions/Commerces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https://github.com/darknigthmare/deadwall-last-enclosure/blob/f0ef5a2036d4876ae8f4d4477676da968a032d01/codex-3000/compositions/Commerces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https://github.com/darknigthmare/deadwall-last-enclosure/blob/f0ef5a2036d4876ae8f4d4477676da968a032d01/codex-3000/compositions/Commerces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https://github.com/darknigthmare/deadwall-last-enclosure/blob/f0ef5a2036d4876ae8f4d4477676da968a032d01/codex-3000/compositions/Commerces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https://github.com/darknigthmare/deadwall-last-enclosure/blob/f0ef5a2036d4876ae8f4d4477676da968a032d01/codex-3000/compositions/Commerces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https://github.com/darknigthmare/deadwall-last-enclosure/blob/f0ef5a2036d4876ae8f4d4477676da968a032d01/codex-3000/compositions/Commerces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https://github.com/darknigthmare/deadwall-last-enclosure/blob/f0ef5a2036d4876ae8f4d4477676da968a032d01/codex-3000/compositions/Commerces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https://github.com/darknigthmare/deadwall-last-enclosure/blob/f0ef5a2036d4876ae8f4d4477676da968a032d01/codex-3000/compositions/Commerces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https://github.com/darknigthmare/deadwall-last-enclosure/blob/f0ef5a2036d4876ae8f4d4477676da968a032d01/codex-3000/compositions/Commerces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https://github.com/darknigthmare/deadwall-last-enclosure/blob/f0ef5a2036d4876ae8f4d4477676da968a032d01/codex-3000/compositions/Commerces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https://github.com/darknigthmare/deadwall-last-enclosure/blob/f0ef5a2036d4876ae8f4d4477676da968a032d01/codex-3000/compositions/Commerces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https://github.com/darknigthmare/deadwall-last-enclosure/blob/f0ef5a2036d4876ae8f4d4477676da968a032d01/codex-3000/compositions/Commerces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https://github.com/darknigthmare/deadwall-last-enclosure/blob/f0ef5a2036d4876ae8f4d4477676da968a032d01/codex-3000/compositions/Commerces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https://github.com/darknigthmare/deadwall-last-enclosure/blob/f0ef5a2036d4876ae8f4d4477676da968a032d01/codex-3000/compositions/Commerces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https://github.com/darknigthmare/deadwall-last-enclosure/blob/f0ef5a2036d4876ae8f4d4477676da968a032d01/codex-3000/compositions/Commerces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https://github.com/darknigthmare/deadwall-last-enclosure/blob/f0ef5a2036d4876ae8f4d4477676da968a032d01/codex-3000/compositions/Commerces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https://github.com/darknigthmare/deadwall-last-enclosure/blob/f0ef5a2036d4876ae8f4d4477676da968a032d01/codex-3000/compositions/Commerces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https://github.com/darknigthmare/deadwall-last-enclosure/blob/f0ef5a2036d4876ae8f4d4477676da968a032d01/codex-3000/compositions/Commerces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https://github.com/darknigthmare/deadwall-last-enclosure/blob/f0ef5a2036d4876ae8f4d4477676da968a032d01/codex-3000/compositions/Alimentation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https://github.com/darknigthmare/deadwall-last-enclosure/blob/f0ef5a2036d4876ae8f4d4477676da968a032d01/codex-3000/compositions/Alimentation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https://github.com/darknigthmare/deadwall-last-enclosure/blob/f0ef5a2036d4876ae8f4d4477676da968a032d01/codex-3000/compositions/Alimentation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https://github.com/darknigthmare/deadwall-last-enclosure/blob/f0ef5a2036d4876ae8f4d4477676da968a032d01/codex-3000/compositions/Alimentation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https://github.com/darknigthmare/deadwall-last-enclosure/blob/f0ef5a2036d4876ae8f4d4477676da968a032d01/codex-3000/compositions/Alimentation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https://github.com/darknigthmare/deadwall-last-enclosure/blob/f0ef5a2036d4876ae8f4d4477676da968a032d01/codex-3000/compositions/Alimentation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https://github.com/darknigthmare/deadwall-last-enclosure/blob/f0ef5a2036d4876ae8f4d4477676da968a032d01/codex-3000/compositions/Alimentation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https://github.com/darknigthmare/deadwall-last-enclosure/blob/f0ef5a2036d4876ae8f4d4477676da968a032d01/codex-3000/compositions/Alimentation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https://github.com/darknigthmare/deadwall-last-enclosure/blob/f0ef5a2036d4876ae8f4d4477676da968a032d01/codex-3000/compositions/Alimentation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https://github.com/darknigthmare/deadwall-last-enclosure/blob/f0ef5a2036d4876ae8f4d4477676da968a032d01/codex-3000/compositions/Alimentation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https://github.com/darknigthmare/deadwall-last-enclosure/blob/f0ef5a2036d4876ae8f4d4477676da968a032d01/codex-3000/compositions/Alimentation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https://github.com/darknigthmare/deadwall-last-enclosure/blob/f0ef5a2036d4876ae8f4d4477676da968a032d01/codex-3000/compositions/Alimentation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https://github.com/darknigthmare/deadwall-last-enclosure/blob/f0ef5a2036d4876ae8f4d4477676da968a032d01/codex-3000/compositions/Alimentation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https://github.com/darknigthmare/deadwall-last-enclosure/blob/f0ef5a2036d4876ae8f4d4477676da968a032d01/codex-3000/compositions/Alimentation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https://github.com/darknigthmare/deadwall-last-enclosure/blob/f0ef5a2036d4876ae8f4d4477676da968a032d01/codex-3000/compositions/Alimentation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https://github.com/darknigthmare/deadwall-last-enclosure/blob/f0ef5a2036d4876ae8f4d4477676da968a032d01/codex-3000/compositions/Alimentation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https://github.com/darknigthmare/deadwall-last-enclosure/blob/f0ef5a2036d4876ae8f4d4477676da968a032d01/codex-3000/compositions/Alimentation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https://github.com/darknigthmare/deadwall-last-enclosure/blob/f0ef5a2036d4876ae8f4d4477676da968a032d01/codex-3000/compositions/Alimentation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https://github.com/darknigthmare/deadwall-last-enclosure/blob/f0ef5a2036d4876ae8f4d4477676da968a032d01/codex-3000/compositions/Alimentation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https://github.com/darknigthmare/deadwall-last-enclosure/blob/f0ef5a2036d4876ae8f4d4477676da968a032d01/codex-3000/compositions/Alimentation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https://github.com/darknigthmare/deadwall-last-enclosure/blob/f0ef5a2036d4876ae8f4d4477676da968a032d01/codex-3000/compositions/Alimentation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https://github.com/darknigthmare/deadwall-last-enclosure/blob/f0ef5a2036d4876ae8f4d4477676da968a032d01/codex-3000/compositions/Alimentation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https://github.com/darknigthmare/deadwall-last-enclosure/blob/f0ef5a2036d4876ae8f4d4477676da968a032d01/codex-3000/compositions/Alimentation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https://github.com/darknigthmare/deadwall-last-enclosure/blob/f0ef5a2036d4876ae8f4d4477676da968a032d01/codex-3000/compositions/Alimentation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https://github.com/darknigthmare/deadwall-last-enclosure/blob/f0ef5a2036d4876ae8f4d4477676da968a032d01/codex-3000/compositions/Alimentation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https://github.com/darknigthmare/deadwall-last-enclosure/blob/f0ef5a2036d4876ae8f4d4477676da968a032d01/codex-3000/compositions/Alimentation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https://github.com/darknigthmare/deadwall-last-enclosure/blob/f0ef5a2036d4876ae8f4d4477676da968a032d01/codex-3000/compositions/Alimentation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https://github.com/darknigthmare/deadwall-last-enclosure/blob/f0ef5a2036d4876ae8f4d4477676da968a032d01/codex-3000/compositions/Alimentation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https://github.com/darknigthmare/deadwall-last-enclosure/blob/f0ef5a2036d4876ae8f4d4477676da968a032d01/codex-3000/compositions/Alimentation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https://github.com/darknigthmare/deadwall-last-enclosure/blob/f0ef5a2036d4876ae8f4d4477676da968a032d01/codex-3000/compositions/Alimentation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https://github.com/darknigthmare/deadwall-last-enclosure/blob/f0ef5a2036d4876ae8f4d4477676da968a032d01/codex-3000/compositions/Alimentation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https://github.com/darknigthmare/deadwall-last-enclosure/blob/f0ef5a2036d4876ae8f4d4477676da968a032d01/codex-3000/compositions/Alimentation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https://github.com/darknigthmare/deadwall-last-enclosure/blob/f0ef5a2036d4876ae8f4d4477676da968a032d01/codex-3000/compositions/Alimentation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https://github.com/darknigthmare/deadwall-last-enclosure/blob/f0ef5a2036d4876ae8f4d4477676da968a032d01/codex-3000/compositions/Alimentation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https://github.com/darknigthmare/deadwall-last-enclosure/blob/f0ef5a2036d4876ae8f4d4477676da968a032d01/codex-3000/compositions/Alimentation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https://github.com/darknigthmare/deadwall-last-enclosure/blob/f0ef5a2036d4876ae8f4d4477676da968a032d01/codex-3000/compositions/Alimentation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https://github.com/darknigthmare/deadwall-last-enclosure/blob/f0ef5a2036d4876ae8f4d4477676da968a032d01/codex-3000/compositions/Alimentation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https://github.com/darknigthmare/deadwall-last-enclosure/blob/f0ef5a2036d4876ae8f4d4477676da968a032d01/codex-3000/compositions/Alimentation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https://github.com/darknigthmare/deadwall-last-enclosure/blob/f0ef5a2036d4876ae8f4d4477676da968a032d01/codex-3000/compositions/Alimentation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https://github.com/darknigthmare/deadwall-last-enclosure/blob/f0ef5a2036d4876ae8f4d4477676da968a032d01/codex-3000/compositions/Alimentation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https://github.com/darknigthmare/deadwall-last-enclosure/blob/f0ef5a2036d4876ae8f4d4477676da968a032d01/codex-3000/compositions/Services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https://github.com/darknigthmare/deadwall-last-enclosure/blob/f0ef5a2036d4876ae8f4d4477676da968a032d01/codex-3000/compositions/Services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https://github.com/darknigthmare/deadwall-last-enclosure/blob/f0ef5a2036d4876ae8f4d4477676da968a032d01/codex-3000/compositions/Services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https://github.com/darknigthmare/deadwall-last-enclosure/blob/f0ef5a2036d4876ae8f4d4477676da968a032d01/codex-3000/compositions/Services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https://github.com/darknigthmare/deadwall-last-enclosure/blob/f0ef5a2036d4876ae8f4d4477676da968a032d01/codex-3000/compositions/Services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https://github.com/darknigthmare/deadwall-last-enclosure/blob/f0ef5a2036d4876ae8f4d4477676da968a032d01/codex-3000/compositions/Services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https://github.com/darknigthmare/deadwall-last-enclosure/blob/f0ef5a2036d4876ae8f4d4477676da968a032d01/codex-3000/compositions/Services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https://github.com/darknigthmare/deadwall-last-enclosure/blob/f0ef5a2036d4876ae8f4d4477676da968a032d01/codex-3000/compositions/Services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https://github.com/darknigthmare/deadwall-last-enclosure/blob/f0ef5a2036d4876ae8f4d4477676da968a032d01/codex-3000/compositions/Services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https://github.com/darknigthmare/deadwall-last-enclosure/blob/f0ef5a2036d4876ae8f4d4477676da968a032d01/codex-3000/compositions/Services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https://github.com/darknigthmare/deadwall-last-enclosure/blob/f0ef5a2036d4876ae8f4d4477676da968a032d01/codex-3000/compositions/Services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https://github.com/darknigthmare/deadwall-last-enclosure/blob/f0ef5a2036d4876ae8f4d4477676da968a032d01/codex-3000/compositions/Services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https://github.com/darknigthmare/deadwall-last-enclosure/blob/f0ef5a2036d4876ae8f4d4477676da968a032d01/codex-3000/compositions/Services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https://github.com/darknigthmare/deadwall-last-enclosure/blob/f0ef5a2036d4876ae8f4d4477676da968a032d01/codex-3000/compositions/Services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https://github.com/darknigthmare/deadwall-last-enclosure/blob/f0ef5a2036d4876ae8f4d4477676da968a032d01/codex-3000/compositions/Services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https://github.com/darknigthmare/deadwall-last-enclosure/blob/f0ef5a2036d4876ae8f4d4477676da968a032d01/codex-3000/compositions/Services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https://github.com/darknigthmare/deadwall-last-enclosure/blob/f0ef5a2036d4876ae8f4d4477676da968a032d01/codex-3000/compositions/Services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https://github.com/darknigthmare/deadwall-last-enclosure/blob/f0ef5a2036d4876ae8f4d4477676da968a032d01/codex-3000/compositions/Services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https://github.com/darknigthmare/deadwall-last-enclosure/blob/f0ef5a2036d4876ae8f4d4477676da968a032d01/codex-3000/compositions/Services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https://github.com/darknigthmare/deadwall-last-enclosure/blob/f0ef5a2036d4876ae8f4d4477676da968a032d01/codex-3000/compositions/Services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https://github.com/darknigthmare/deadwall-last-enclosure/blob/f0ef5a2036d4876ae8f4d4477676da968a032d01/codex-3000/compositions/Services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https://github.com/darknigthmare/deadwall-last-enclosure/blob/f0ef5a2036d4876ae8f4d4477676da968a032d01/codex-3000/compositions/Services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https://github.com/darknigthmare/deadwall-last-enclosure/blob/f0ef5a2036d4876ae8f4d4477676da968a032d01/codex-3000/compositions/Services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https://github.com/darknigthmare/deadwall-last-enclosure/blob/f0ef5a2036d4876ae8f4d4477676da968a032d01/codex-3000/compositions/Services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https://github.com/darknigthmare/deadwall-last-enclosure/blob/f0ef5a2036d4876ae8f4d4477676da968a032d01/codex-3000/compositions/Services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https://github.com/darknigthmare/deadwall-last-enclosure/blob/f0ef5a2036d4876ae8f4d4477676da968a032d01/codex-3000/compositions/Services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https://github.com/darknigthmare/deadwall-last-enclosure/blob/f0ef5a2036d4876ae8f4d4477676da968a032d01/codex-3000/compositions/Services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https://github.com/darknigthmare/deadwall-last-enclosure/blob/f0ef5a2036d4876ae8f4d4477676da968a032d01/codex-3000/compositions/Services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https://github.com/darknigthmare/deadwall-last-enclosure/blob/f0ef5a2036d4876ae8f4d4477676da968a032d01/codex-3000/compositions/Services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https://github.com/darknigthmare/deadwall-last-enclosure/blob/f0ef5a2036d4876ae8f4d4477676da968a032d01/codex-3000/compositions/Services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https://github.com/darknigthmare/deadwall-last-enclosure/blob/f0ef5a2036d4876ae8f4d4477676da968a032d01/codex-3000/compositions/Services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https://github.com/darknigthmare/deadwall-last-enclosure/blob/f0ef5a2036d4876ae8f4d4477676da968a032d01/codex-3000/compositions/Services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https://github.com/darknigthmare/deadwall-last-enclosure/blob/f0ef5a2036d4876ae8f4d4477676da968a032d01/codex-3000/compositions/Services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https://github.com/darknigthmare/deadwall-last-enclosure/blob/f0ef5a2036d4876ae8f4d4477676da968a032d01/codex-3000/compositions/Services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https://github.com/darknigthmare/deadwall-last-enclosure/blob/f0ef5a2036d4876ae8f4d4477676da968a032d01/codex-3000/compositions/Services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https://github.com/darknigthmare/deadwall-last-enclosure/blob/f0ef5a2036d4876ae8f4d4477676da968a032d01/codex-3000/compositions/Services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https://github.com/darknigthmare/deadwall-last-enclosure/blob/f0ef5a2036d4876ae8f4d4477676da968a032d01/codex-3000/compositions/Services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https://github.com/darknigthmare/deadwall-last-enclosure/blob/f0ef5a2036d4876ae8f4d4477676da968a032d01/codex-3000/compositions/Services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https://github.com/darknigthmare/deadwall-last-enclosure/blob/f0ef5a2036d4876ae8f4d4477676da968a032d01/codex-3000/compositions/Services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https://github.com/darknigthmare/deadwall-last-enclosure/blob/f0ef5a2036d4876ae8f4d4477676da968a032d01/codex-3000/compositions/Services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https://github.com/darknigthmare/deadwall-last-enclosure/blob/f0ef5a2036d4876ae8f4d4477676da968a032d01/codex-3000/compositions/Hôtellerie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https://github.com/darknigthmare/deadwall-last-enclosure/blob/f0ef5a2036d4876ae8f4d4477676da968a032d01/codex-3000/compositions/Hôtellerie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https://github.com/darknigthmare/deadwall-last-enclosure/blob/f0ef5a2036d4876ae8f4d4477676da968a032d01/codex-3000/compositions/Hôtellerie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https://github.com/darknigthmare/deadwall-last-enclosure/blob/f0ef5a2036d4876ae8f4d4477676da968a032d01/codex-3000/compositions/Hôtellerie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https://github.com/darknigthmare/deadwall-last-enclosure/blob/f0ef5a2036d4876ae8f4d4477676da968a032d01/codex-3000/compositions/Hôtellerie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https://github.com/darknigthmare/deadwall-last-enclosure/blob/f0ef5a2036d4876ae8f4d4477676da968a032d01/codex-3000/compositions/Hôtellerie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https://github.com/darknigthmare/deadwall-last-enclosure/blob/f0ef5a2036d4876ae8f4d4477676da968a032d01/codex-3000/compositions/Hôtellerie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https://github.com/darknigthmare/deadwall-last-enclosure/blob/f0ef5a2036d4876ae8f4d4477676da968a032d01/codex-3000/compositions/Hôtellerie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https://github.com/darknigthmare/deadwall-last-enclosure/blob/f0ef5a2036d4876ae8f4d4477676da968a032d01/codex-3000/compositions/Hôtellerie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https://github.com/darknigthmare/deadwall-last-enclosure/blob/f0ef5a2036d4876ae8f4d4477676da968a032d01/codex-3000/compositions/Hôtellerie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https://github.com/darknigthmare/deadwall-last-enclosure/blob/f0ef5a2036d4876ae8f4d4477676da968a032d01/codex-3000/compositions/Hôtellerie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https://github.com/darknigthmare/deadwall-last-enclosure/blob/f0ef5a2036d4876ae8f4d4477676da968a032d01/codex-3000/compositions/Hôtellerie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https://github.com/darknigthmare/deadwall-last-enclosure/blob/f0ef5a2036d4876ae8f4d4477676da968a032d01/codex-3000/compositions/Hôtellerie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https://github.com/darknigthmare/deadwall-last-enclosure/blob/f0ef5a2036d4876ae8f4d4477676da968a032d01/codex-3000/compositions/Hôtellerie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https://github.com/darknigthmare/deadwall-last-enclosure/blob/f0ef5a2036d4876ae8f4d4477676da968a032d01/codex-3000/compositions/Hôtellerie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https://github.com/darknigthmare/deadwall-last-enclosure/blob/f0ef5a2036d4876ae8f4d4477676da968a032d01/codex-3000/compositions/Hôtellerie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https://github.com/darknigthmare/deadwall-last-enclosure/blob/f0ef5a2036d4876ae8f4d4477676da968a032d01/codex-3000/compositions/Hôtellerie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https://github.com/darknigthmare/deadwall-last-enclosure/blob/f0ef5a2036d4876ae8f4d4477676da968a032d01/codex-3000/compositions/Hôtellerie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https://github.com/darknigthmare/deadwall-last-enclosure/blob/f0ef5a2036d4876ae8f4d4477676da968a032d01/codex-3000/compositions/Hôtellerie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https://github.com/darknigthmare/deadwall-last-enclosure/blob/f0ef5a2036d4876ae8f4d4477676da968a032d01/codex-3000/compositions/Hôtellerie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https://github.com/darknigthmare/deadwall-last-enclosure/blob/f0ef5a2036d4876ae8f4d4477676da968a032d01/codex-3000/compositions/Hôtellerie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https://github.com/darknigthmare/deadwall-last-enclosure/blob/f0ef5a2036d4876ae8f4d4477676da968a032d01/codex-3000/compositions/Hôtellerie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https://github.com/darknigthmare/deadwall-last-enclosure/blob/f0ef5a2036d4876ae8f4d4477676da968a032d01/codex-3000/compositions/Hôtellerie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https://github.com/darknigthmare/deadwall-last-enclosure/blob/f0ef5a2036d4876ae8f4d4477676da968a032d01/codex-3000/compositions/Hôtellerie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https://github.com/darknigthmare/deadwall-last-enclosure/blob/f0ef5a2036d4876ae8f4d4477676da968a032d01/codex-3000/compositions/Hôtellerie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https://github.com/darknigthmare/deadwall-last-enclosure/blob/f0ef5a2036d4876ae8f4d4477676da968a032d01/codex-3000/compositions/Hôtellerie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https://github.com/darknigthmare/deadwall-last-enclosure/blob/f0ef5a2036d4876ae8f4d4477676da968a032d01/codex-3000/compositions/Hôtellerie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https://github.com/darknigthmare/deadwall-last-enclosure/blob/f0ef5a2036d4876ae8f4d4477676da968a032d01/codex-3000/compositions/Hôtellerie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https://github.com/darknigthmare/deadwall-last-enclosure/blob/f0ef5a2036d4876ae8f4d4477676da968a032d01/codex-3000/compositions/Hôtellerie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https://github.com/darknigthmare/deadwall-last-enclosure/blob/f0ef5a2036d4876ae8f4d4477676da968a032d01/codex-3000/compositions/Hôtellerie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https://github.com/darknigthmare/deadwall-last-enclosure/blob/f0ef5a2036d4876ae8f4d4477676da968a032d01/codex-3000/compositions/Hôtellerie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https://github.com/darknigthmare/deadwall-last-enclosure/blob/f0ef5a2036d4876ae8f4d4477676da968a032d01/codex-3000/compositions/Hôtellerie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https://github.com/darknigthmare/deadwall-last-enclosure/blob/f0ef5a2036d4876ae8f4d4477676da968a032d01/codex-3000/compositions/Hôtellerie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https://github.com/darknigthmare/deadwall-last-enclosure/blob/f0ef5a2036d4876ae8f4d4477676da968a032d01/codex-3000/compositions/Hôtellerie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https://github.com/darknigthmare/deadwall-last-enclosure/blob/f0ef5a2036d4876ae8f4d4477676da968a032d01/codex-3000/compositions/Hôtellerie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https://github.com/darknigthmare/deadwall-last-enclosure/blob/f0ef5a2036d4876ae8f4d4477676da968a032d01/codex-3000/compositions/Hôtellerie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https://github.com/darknigthmare/deadwall-last-enclosure/blob/f0ef5a2036d4876ae8f4d4477676da968a032d01/codex-3000/compositions/Hôtellerie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https://github.com/darknigthmare/deadwall-last-enclosure/blob/f0ef5a2036d4876ae8f4d4477676da968a032d01/codex-3000/compositions/Hôtellerie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https://github.com/darknigthmare/deadwall-last-enclosure/blob/f0ef5a2036d4876ae8f4d4477676da968a032d01/codex-3000/compositions/Hôtellerie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https://github.com/darknigthmare/deadwall-last-enclosure/blob/f0ef5a2036d4876ae8f4d4477676da968a032d01/codex-3000/compositions/Hôtellerie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https://github.com/darknigthmare/deadwall-last-enclosure/blob/f0ef5a2036d4876ae8f4d4477676da968a032d01/codex-3000/compositions/Santé/DW-1241.md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https://github.com/darknigthmare/deadwall-last-enclosure/blob/f0ef5a2036d4876ae8f4d4477676da968a032d01/codex-3000/compositions/Santé/DW-1242.md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https://github.com/darknigthmare/deadwall-last-enclosure/blob/f0ef5a2036d4876ae8f4d4477676da968a032d01/codex-3000/compositions/Santé/DW-1243.md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https://github.com/darknigthmare/deadwall-last-enclosure/blob/f0ef5a2036d4876ae8f4d4477676da968a032d01/codex-3000/compositions/Santé/DW-1244.md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https://github.com/darknigthmare/deadwall-last-enclosure/blob/f0ef5a2036d4876ae8f4d4477676da968a032d01/codex-3000/compositions/Santé/DW-1245.md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https://github.com/darknigthmare/deadwall-last-enclosure/blob/f0ef5a2036d4876ae8f4d4477676da968a032d01/codex-3000/compositions/Santé/DW-1246.md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https://github.com/darknigthmare/deadwall-last-enclosure/blob/f0ef5a2036d4876ae8f4d4477676da968a032d01/codex-3000/compositions/Santé/DW-1247.md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https://github.com/darknigthmare/deadwall-last-enclosure/blob/f0ef5a2036d4876ae8f4d4477676da968a032d01/codex-3000/compositions/Santé/DW-1248.md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https://github.com/darknigthmare/deadwall-last-enclosure/blob/f0ef5a2036d4876ae8f4d4477676da968a032d01/codex-3000/compositions/Santé/DW-1249.md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https://github.com/darknigthmare/deadwall-last-enclosure/blob/f0ef5a2036d4876ae8f4d4477676da968a032d01/codex-3000/compositions/Santé/DW-1250.md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https://github.com/darknigthmare/deadwall-last-enclosure/blob/f0ef5a2036d4876ae8f4d4477676da968a032d01/codex-3000/compositions/Santé/DW-1251.md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https://github.com/darknigthmare/deadwall-last-enclosure/blob/f0ef5a2036d4876ae8f4d4477676da968a032d01/codex-3000/compositions/Santé/DW-1252.md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https://github.com/darknigthmare/deadwall-last-enclosure/blob/f0ef5a2036d4876ae8f4d4477676da968a032d01/codex-3000/compositions/Santé/DW-1253.md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https://github.com/darknigthmare/deadwall-last-enclosure/blob/f0ef5a2036d4876ae8f4d4477676da968a032d01/codex-3000/compositions/Santé/DW-1254.md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https://github.com/darknigthmare/deadwall-last-enclosure/blob/f0ef5a2036d4876ae8f4d4477676da968a032d01/codex-3000/compositions/Santé/DW-1255.md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https://github.com/darknigthmare/deadwall-last-enclosure/blob/f0ef5a2036d4876ae8f4d4477676da968a032d01/codex-3000/compositions/Santé/DW-1256.md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https://github.com/darknigthmare/deadwall-last-enclosure/blob/f0ef5a2036d4876ae8f4d4477676da968a032d01/codex-3000/compositions/Santé/DW-1257.md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https://github.com/darknigthmare/deadwall-last-enclosure/blob/f0ef5a2036d4876ae8f4d4477676da968a032d01/codex-3000/compositions/Santé/DW-1258.md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https://github.com/darknigthmare/deadwall-last-enclosure/blob/f0ef5a2036d4876ae8f4d4477676da968a032d01/codex-3000/compositions/Santé/DW-1259.md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https://github.com/darknigthmare/deadwall-last-enclosure/blob/f0ef5a2036d4876ae8f4d4477676da968a032d01/codex-3000/compositions/Santé/DW-1260.md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https://github.com/darknigthmare/deadwall-last-enclosure/blob/f0ef5a2036d4876ae8f4d4477676da968a032d01/codex-3000/compositions/Santé/DW-1261.md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https://github.com/darknigthmare/deadwall-last-enclosure/blob/f0ef5a2036d4876ae8f4d4477676da968a032d01/codex-3000/compositions/Santé/DW-1262.md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https://github.com/darknigthmare/deadwall-last-enclosure/blob/f0ef5a2036d4876ae8f4d4477676da968a032d01/codex-3000/compositions/Santé/DW-1263.md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https://github.com/darknigthmare/deadwall-last-enclosure/blob/f0ef5a2036d4876ae8f4d4477676da968a032d01/codex-3000/compositions/Santé/DW-1264.md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https://github.com/darknigthmare/deadwall-last-enclosure/blob/f0ef5a2036d4876ae8f4d4477676da968a032d01/codex-3000/compositions/Santé/DW-1265.md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https://github.com/darknigthmare/deadwall-last-enclosure/blob/f0ef5a2036d4876ae8f4d4477676da968a032d01/codex-3000/compositions/Santé/DW-1266.md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https://github.com/darknigthmare/deadwall-last-enclosure/blob/f0ef5a2036d4876ae8f4d4477676da968a032d01/codex-3000/compositions/Santé/DW-1267.md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https://github.com/darknigthmare/deadwall-last-enclosure/blob/f0ef5a2036d4876ae8f4d4477676da968a032d01/codex-3000/compositions/Santé/DW-1268.md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https://github.com/darknigthmare/deadwall-last-enclosure/blob/f0ef5a2036d4876ae8f4d4477676da968a032d01/codex-3000/compositions/Santé/DW-1269.md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https://github.com/darknigthmare/deadwall-last-enclosure/blob/f0ef5a2036d4876ae8f4d4477676da968a032d01/codex-3000/compositions/Santé/DW-1270.md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https://github.com/darknigthmare/deadwall-last-enclosure/blob/f0ef5a2036d4876ae8f4d4477676da968a032d01/codex-3000/compositions/Santé/DW-1271.md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https://github.com/darknigthmare/deadwall-last-enclosure/blob/f0ef5a2036d4876ae8f4d4477676da968a032d01/codex-3000/compositions/Santé/DW-1272.md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https://github.com/darknigthmare/deadwall-last-enclosure/blob/f0ef5a2036d4876ae8f4d4477676da968a032d01/codex-3000/compositions/Santé/DW-1273.md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https://github.com/darknigthmare/deadwall-last-enclosure/blob/f0ef5a2036d4876ae8f4d4477676da968a032d01/codex-3000/compositions/Santé/DW-1274.md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https://github.com/darknigthmare/deadwall-last-enclosure/blob/f0ef5a2036d4876ae8f4d4477676da968a032d01/codex-3000/compositions/Santé/DW-1275.md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https://github.com/darknigthmare/deadwall-last-enclosure/blob/f0ef5a2036d4876ae8f4d4477676da968a032d01/codex-3000/compositions/Santé/DW-1276.md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https://github.com/darknigthmare/deadwall-last-enclosure/blob/f0ef5a2036d4876ae8f4d4477676da968a032d01/codex-3000/compositions/Santé/DW-1277.md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https://github.com/darknigthmare/deadwall-last-enclosure/blob/f0ef5a2036d4876ae8f4d4477676da968a032d01/codex-3000/compositions/Santé/DW-1278.md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https://github.com/darknigthmare/deadwall-last-enclosure/blob/f0ef5a2036d4876ae8f4d4477676da968a032d01/codex-3000/compositions/Santé/DW-1279.md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https://github.com/darknigthmare/deadwall-last-enclosure/blob/f0ef5a2036d4876ae8f4d4477676da968a032d01/codex-3000/compositions/Santé/DW-1280.md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https://github.com/darknigthmare/deadwall-last-enclosure/blob/f0ef5a2036d4876ae8f4d4477676da968a032d01/codex-3000/compositions/Éducation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https://github.com/darknigthmare/deadwall-last-enclosure/blob/f0ef5a2036d4876ae8f4d4477676da968a032d01/codex-3000/compositions/Éducation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https://github.com/darknigthmare/deadwall-last-enclosure/blob/f0ef5a2036d4876ae8f4d4477676da968a032d01/codex-3000/compositions/Éducation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https://github.com/darknigthmare/deadwall-last-enclosure/blob/f0ef5a2036d4876ae8f4d4477676da968a032d01/codex-3000/compositions/Éducation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https://github.com/darknigthmare/deadwall-last-enclosure/blob/f0ef5a2036d4876ae8f4d4477676da968a032d01/codex-3000/compositions/Éducation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https://github.com/darknigthmare/deadwall-last-enclosure/blob/f0ef5a2036d4876ae8f4d4477676da968a032d01/codex-3000/compositions/Éducation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https://github.com/darknigthmare/deadwall-last-enclosure/blob/f0ef5a2036d4876ae8f4d4477676da968a032d01/codex-3000/compositions/Éducation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https://github.com/darknigthmare/deadwall-last-enclosure/blob/f0ef5a2036d4876ae8f4d4477676da968a032d01/codex-3000/compositions/Éducation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https://github.com/darknigthmare/deadwall-last-enclosure/blob/f0ef5a2036d4876ae8f4d4477676da968a032d01/codex-3000/compositions/Éducation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https://github.com/darknigthmare/deadwall-last-enclosure/blob/f0ef5a2036d4876ae8f4d4477676da968a032d01/codex-3000/compositions/Éducation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https://github.com/darknigthmare/deadwall-last-enclosure/blob/f0ef5a2036d4876ae8f4d4477676da968a032d01/codex-3000/compositions/Éducation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https://github.com/darknigthmare/deadwall-last-enclosure/blob/f0ef5a2036d4876ae8f4d4477676da968a032d01/codex-3000/compositions/Éducation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https://github.com/darknigthmare/deadwall-last-enclosure/blob/f0ef5a2036d4876ae8f4d4477676da968a032d01/codex-3000/compositions/Éducation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https://github.com/darknigthmare/deadwall-last-enclosure/blob/f0ef5a2036d4876ae8f4d4477676da968a032d01/codex-3000/compositions/Éducation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https://github.com/darknigthmare/deadwall-last-enclosure/blob/f0ef5a2036d4876ae8f4d4477676da968a032d01/codex-3000/compositions/Éducation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https://github.com/darknigthmare/deadwall-last-enclosure/blob/f0ef5a2036d4876ae8f4d4477676da968a032d01/codex-3000/compositions/Éducation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https://github.com/darknigthmare/deadwall-last-enclosure/blob/f0ef5a2036d4876ae8f4d4477676da968a032d01/codex-3000/compositions/Éducation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https://github.com/darknigthmare/deadwall-last-enclosure/blob/f0ef5a2036d4876ae8f4d4477676da968a032d01/codex-3000/compositions/Éducation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https://github.com/darknigthmare/deadwall-last-enclosure/blob/f0ef5a2036d4876ae8f4d4477676da968a032d01/codex-3000/compositions/Éducation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https://github.com/darknigthmare/deadwall-last-enclosure/blob/f0ef5a2036d4876ae8f4d4477676da968a032d01/codex-3000/compositions/Éducation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https://github.com/darknigthmare/deadwall-last-enclosure/blob/f0ef5a2036d4876ae8f4d4477676da968a032d01/codex-3000/compositions/Éducation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https://github.com/darknigthmare/deadwall-last-enclosure/blob/f0ef5a2036d4876ae8f4d4477676da968a032d01/codex-3000/compositions/Éducation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https://github.com/darknigthmare/deadwall-last-enclosure/blob/f0ef5a2036d4876ae8f4d4477676da968a032d01/codex-3000/compositions/Éducation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https://github.com/darknigthmare/deadwall-last-enclosure/blob/f0ef5a2036d4876ae8f4d4477676da968a032d01/codex-3000/compositions/Éducation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https://github.com/darknigthmare/deadwall-last-enclosure/blob/f0ef5a2036d4876ae8f4d4477676da968a032d01/codex-3000/compositions/Éducation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https://github.com/darknigthmare/deadwall-last-enclosure/blob/f0ef5a2036d4876ae8f4d4477676da968a032d01/codex-3000/compositions/Éducation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https://github.com/darknigthmare/deadwall-last-enclosure/blob/f0ef5a2036d4876ae8f4d4477676da968a032d01/codex-3000/compositions/Éducation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https://github.com/darknigthmare/deadwall-last-enclosure/blob/f0ef5a2036d4876ae8f4d4477676da968a032d01/codex-3000/compositions/Éducation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https://github.com/darknigthmare/deadwall-last-enclosure/blob/f0ef5a2036d4876ae8f4d4477676da968a032d01/codex-3000/compositions/Éducation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https://github.com/darknigthmare/deadwall-last-enclosure/blob/f0ef5a2036d4876ae8f4d4477676da968a032d01/codex-3000/compositions/Éducation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https://github.com/darknigthmare/deadwall-last-enclosure/blob/f0ef5a2036d4876ae8f4d4477676da968a032d01/codex-3000/compositions/Éducation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https://github.com/darknigthmare/deadwall-last-enclosure/blob/f0ef5a2036d4876ae8f4d4477676da968a032d01/codex-3000/compositions/Éducation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https://github.com/darknigthmare/deadwall-last-enclosure/blob/f0ef5a2036d4876ae8f4d4477676da968a032d01/codex-3000/compositions/Éducation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https://github.com/darknigthmare/deadwall-last-enclosure/blob/f0ef5a2036d4876ae8f4d4477676da968a032d01/codex-3000/compositions/Éducation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https://github.com/darknigthmare/deadwall-last-enclosure/blob/f0ef5a2036d4876ae8f4d4477676da968a032d01/codex-3000/compositions/Éducation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https://github.com/darknigthmare/deadwall-last-enclosure/blob/f0ef5a2036d4876ae8f4d4477676da968a032d01/codex-3000/compositions/Éducation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https://github.com/darknigthmare/deadwall-last-enclosure/blob/f0ef5a2036d4876ae8f4d4477676da968a032d01/codex-3000/compositions/Éducation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https://github.com/darknigthmare/deadwall-last-enclosure/blob/f0ef5a2036d4876ae8f4d4477676da968a032d01/codex-3000/compositions/Éducation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https://github.com/darknigthmare/deadwall-last-enclosure/blob/f0ef5a2036d4876ae8f4d4477676da968a032d01/codex-3000/compositions/Éducation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https://github.com/darknigthmare/deadwall-last-enclosure/blob/f0ef5a2036d4876ae8f4d4477676da968a032d01/codex-3000/compositions/Éducation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https://github.com/darknigthmare/deadwall-last-enclosure/blob/f0ef5a2036d4876ae8f4d4477676da968a032d01/codex-3000/compositions/Administration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https://github.com/darknigthmare/deadwall-last-enclosure/blob/f0ef5a2036d4876ae8f4d4477676da968a032d01/codex-3000/compositions/Administration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https://github.com/darknigthmare/deadwall-last-enclosure/blob/f0ef5a2036d4876ae8f4d4477676da968a032d01/codex-3000/compositions/Administration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https://github.com/darknigthmare/deadwall-last-enclosure/blob/f0ef5a2036d4876ae8f4d4477676da968a032d01/codex-3000/compositions/Administration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https://github.com/darknigthmare/deadwall-last-enclosure/blob/f0ef5a2036d4876ae8f4d4477676da968a032d01/codex-3000/compositions/Administration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https://github.com/darknigthmare/deadwall-last-enclosure/blob/f0ef5a2036d4876ae8f4d4477676da968a032d01/codex-3000/compositions/Administration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https://github.com/darknigthmare/deadwall-last-enclosure/blob/f0ef5a2036d4876ae8f4d4477676da968a032d01/codex-3000/compositions/Administration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https://github.com/darknigthmare/deadwall-last-enclosure/blob/f0ef5a2036d4876ae8f4d4477676da968a032d01/codex-3000/compositions/Administration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https://github.com/darknigthmare/deadwall-last-enclosure/blob/f0ef5a2036d4876ae8f4d4477676da968a032d01/codex-3000/compositions/Administration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https://github.com/darknigthmare/deadwall-last-enclosure/blob/f0ef5a2036d4876ae8f4d4477676da968a032d01/codex-3000/compositions/Administration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https://github.com/darknigthmare/deadwall-last-enclosure/blob/f0ef5a2036d4876ae8f4d4477676da968a032d01/codex-3000/compositions/Administration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https://github.com/darknigthmare/deadwall-last-enclosure/blob/f0ef5a2036d4876ae8f4d4477676da968a032d01/codex-3000/compositions/Administration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https://github.com/darknigthmare/deadwall-last-enclosure/blob/f0ef5a2036d4876ae8f4d4477676da968a032d01/codex-3000/compositions/Administration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https://github.com/darknigthmare/deadwall-last-enclosure/blob/f0ef5a2036d4876ae8f4d4477676da968a032d01/codex-3000/compositions/Administration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https://github.com/darknigthmare/deadwall-last-enclosure/blob/f0ef5a2036d4876ae8f4d4477676da968a032d01/codex-3000/compositions/Administration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https://github.com/darknigthmare/deadwall-last-enclosure/blob/f0ef5a2036d4876ae8f4d4477676da968a032d01/codex-3000/compositions/Administration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https://github.com/darknigthmare/deadwall-last-enclosure/blob/f0ef5a2036d4876ae8f4d4477676da968a032d01/codex-3000/compositions/Administration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https://github.com/darknigthmare/deadwall-last-enclosure/blob/f0ef5a2036d4876ae8f4d4477676da968a032d01/codex-3000/compositions/Administration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https://github.com/darknigthmare/deadwall-last-enclosure/blob/f0ef5a2036d4876ae8f4d4477676da968a032d01/codex-3000/compositions/Administration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https://github.com/darknigthmare/deadwall-last-enclosure/blob/f0ef5a2036d4876ae8f4d4477676da968a032d01/codex-3000/compositions/Administration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https://github.com/darknigthmare/deadwall-last-enclosure/blob/f0ef5a2036d4876ae8f4d4477676da968a032d01/codex-3000/compositions/Administration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https://github.com/darknigthmare/deadwall-last-enclosure/blob/f0ef5a2036d4876ae8f4d4477676da968a032d01/codex-3000/compositions/Administration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https://github.com/darknigthmare/deadwall-last-enclosure/blob/f0ef5a2036d4876ae8f4d4477676da968a032d01/codex-3000/compositions/Administration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https://github.com/darknigthmare/deadwall-last-enclosure/blob/f0ef5a2036d4876ae8f4d4477676da968a032d01/codex-3000/compositions/Administration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https://github.com/darknigthmare/deadwall-last-enclosure/blob/f0ef5a2036d4876ae8f4d4477676da968a032d01/codex-3000/compositions/Administration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https://github.com/darknigthmare/deadwall-last-enclosure/blob/f0ef5a2036d4876ae8f4d4477676da968a032d01/codex-3000/compositions/Administration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https://github.com/darknigthmare/deadwall-last-enclosure/blob/f0ef5a2036d4876ae8f4d4477676da968a032d01/codex-3000/compositions/Administration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https://github.com/darknigthmare/deadwall-last-enclosure/blob/f0ef5a2036d4876ae8f4d4477676da968a032d01/codex-3000/compositions/Administration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https://github.com/darknigthmare/deadwall-last-enclosure/blob/f0ef5a2036d4876ae8f4d4477676da968a032d01/codex-3000/compositions/Administration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https://github.com/darknigthmare/deadwall-last-enclosure/blob/f0ef5a2036d4876ae8f4d4477676da968a032d01/codex-3000/compositions/Administration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https://github.com/darknigthmare/deadwall-last-enclosure/blob/f0ef5a2036d4876ae8f4d4477676da968a032d01/codex-3000/compositions/Administration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https://github.com/darknigthmare/deadwall-last-enclosure/blob/f0ef5a2036d4876ae8f4d4477676da968a032d01/codex-3000/compositions/Administration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https://github.com/darknigthmare/deadwall-last-enclosure/blob/f0ef5a2036d4876ae8f4d4477676da968a032d01/codex-3000/compositions/Administration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https://github.com/darknigthmare/deadwall-last-enclosure/blob/f0ef5a2036d4876ae8f4d4477676da968a032d01/codex-3000/compositions/Administration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https://github.com/darknigthmare/deadwall-last-enclosure/blob/f0ef5a2036d4876ae8f4d4477676da968a032d01/codex-3000/compositions/Administration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https://github.com/darknigthmare/deadwall-last-enclosure/blob/f0ef5a2036d4876ae8f4d4477676da968a032d01/codex-3000/compositions/Administration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https://github.com/darknigthmare/deadwall-last-enclosure/blob/f0ef5a2036d4876ae8f4d4477676da968a032d01/codex-3000/compositions/Administration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https://github.com/darknigthmare/deadwall-last-enclosure/blob/f0ef5a2036d4876ae8f4d4477676da968a032d01/codex-3000/compositions/Administration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https://github.com/darknigthmare/deadwall-last-enclosure/blob/f0ef5a2036d4876ae8f4d4477676da968a032d01/codex-3000/compositions/Administration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https://github.com/darknigthmare/deadwall-last-enclosure/blob/f0ef5a2036d4876ae8f4d4477676da968a032d01/codex-3000/compositions/Administration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https://github.com/darknigthmare/deadwall-last-enclosure/blob/f0ef5a2036d4876ae8f4d4477676da968a032d01/codex-3000/compositions/Secours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https://github.com/darknigthmare/deadwall-last-enclosure/blob/f0ef5a2036d4876ae8f4d4477676da968a032d01/codex-3000/compositions/Secours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https://github.com/darknigthmare/deadwall-last-enclosure/blob/f0ef5a2036d4876ae8f4d4477676da968a032d01/codex-3000/compositions/Secours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https://github.com/darknigthmare/deadwall-last-enclosure/blob/f0ef5a2036d4876ae8f4d4477676da968a032d01/codex-3000/compositions/Secours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https://github.com/darknigthmare/deadwall-last-enclosure/blob/f0ef5a2036d4876ae8f4d4477676da968a032d01/codex-3000/compositions/Secours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https://github.com/darknigthmare/deadwall-last-enclosure/blob/f0ef5a2036d4876ae8f4d4477676da968a032d01/codex-3000/compositions/Secours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https://github.com/darknigthmare/deadwall-last-enclosure/blob/f0ef5a2036d4876ae8f4d4477676da968a032d01/codex-3000/compositions/Secours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https://github.com/darknigthmare/deadwall-last-enclosure/blob/f0ef5a2036d4876ae8f4d4477676da968a032d01/codex-3000/compositions/Secours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https://github.com/darknigthmare/deadwall-last-enclosure/blob/f0ef5a2036d4876ae8f4d4477676da968a032d01/codex-3000/compositions/Secours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https://github.com/darknigthmare/deadwall-last-enclosure/blob/f0ef5a2036d4876ae8f4d4477676da968a032d01/codex-3000/compositions/Secours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https://github.com/darknigthmare/deadwall-last-enclosure/blob/f0ef5a2036d4876ae8f4d4477676da968a032d01/codex-3000/compositions/Secours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https://github.com/darknigthmare/deadwall-last-enclosure/blob/f0ef5a2036d4876ae8f4d4477676da968a032d01/codex-3000/compositions/Secours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https://github.com/darknigthmare/deadwall-last-enclosure/blob/f0ef5a2036d4876ae8f4d4477676da968a032d01/codex-3000/compositions/Secours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https://github.com/darknigthmare/deadwall-last-enclosure/blob/f0ef5a2036d4876ae8f4d4477676da968a032d01/codex-3000/compositions/Secours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https://github.com/darknigthmare/deadwall-last-enclosure/blob/f0ef5a2036d4876ae8f4d4477676da968a032d01/codex-3000/compositions/Secours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https://github.com/darknigthmare/deadwall-last-enclosure/blob/f0ef5a2036d4876ae8f4d4477676da968a032d01/codex-3000/compositions/Secours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https://github.com/darknigthmare/deadwall-last-enclosure/blob/f0ef5a2036d4876ae8f4d4477676da968a032d01/codex-3000/compositions/Secours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https://github.com/darknigthmare/deadwall-last-enclosure/blob/f0ef5a2036d4876ae8f4d4477676da968a032d01/codex-3000/compositions/Secours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https://github.com/darknigthmare/deadwall-last-enclosure/blob/f0ef5a2036d4876ae8f4d4477676da968a032d01/codex-3000/compositions/Secours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https://github.com/darknigthmare/deadwall-last-enclosure/blob/f0ef5a2036d4876ae8f4d4477676da968a032d01/codex-3000/compositions/Secours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https://github.com/darknigthmare/deadwall-last-enclosure/blob/f0ef5a2036d4876ae8f4d4477676da968a032d01/codex-3000/compositions/Secours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https://github.com/darknigthmare/deadwall-last-enclosure/blob/f0ef5a2036d4876ae8f4d4477676da968a032d01/codex-3000/compositions/Secours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https://github.com/darknigthmare/deadwall-last-enclosure/blob/f0ef5a2036d4876ae8f4d4477676da968a032d01/codex-3000/compositions/Secours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https://github.com/darknigthmare/deadwall-last-enclosure/blob/f0ef5a2036d4876ae8f4d4477676da968a032d01/codex-3000/compositions/Secours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https://github.com/darknigthmare/deadwall-last-enclosure/blob/f0ef5a2036d4876ae8f4d4477676da968a032d01/codex-3000/compositions/Secours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https://github.com/darknigthmare/deadwall-last-enclosure/blob/f0ef5a2036d4876ae8f4d4477676da968a032d01/codex-3000/compositions/Secours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https://github.com/darknigthmare/deadwall-last-enclosure/blob/f0ef5a2036d4876ae8f4d4477676da968a032d01/codex-3000/compositions/Secours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https://github.com/darknigthmare/deadwall-last-enclosure/blob/f0ef5a2036d4876ae8f4d4477676da968a032d01/codex-3000/compositions/Secours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https://github.com/darknigthmare/deadwall-last-enclosure/blob/f0ef5a2036d4876ae8f4d4477676da968a032d01/codex-3000/compositions/Secours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https://github.com/darknigthmare/deadwall-last-enclosure/blob/f0ef5a2036d4876ae8f4d4477676da968a032d01/codex-3000/compositions/Secours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https://github.com/darknigthmare/deadwall-last-enclosure/blob/f0ef5a2036d4876ae8f4d4477676da968a032d01/codex-3000/compositions/Secours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https://github.com/darknigthmare/deadwall-last-enclosure/blob/f0ef5a2036d4876ae8f4d4477676da968a032d01/codex-3000/compositions/Secours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https://github.com/darknigthmare/deadwall-last-enclosure/blob/f0ef5a2036d4876ae8f4d4477676da968a032d01/codex-3000/compositions/Secours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https://github.com/darknigthmare/deadwall-last-enclosure/blob/f0ef5a2036d4876ae8f4d4477676da968a032d01/codex-3000/compositions/Secours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https://github.com/darknigthmare/deadwall-last-enclosure/blob/f0ef5a2036d4876ae8f4d4477676da968a032d01/codex-3000/compositions/Secours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https://github.com/darknigthmare/deadwall-last-enclosure/blob/f0ef5a2036d4876ae8f4d4477676da968a032d01/codex-3000/compositions/Secours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https://github.com/darknigthmare/deadwall-last-enclosure/blob/f0ef5a2036d4876ae8f4d4477676da968a032d01/codex-3000/compositions/Secours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https://github.com/darknigthmare/deadwall-last-enclosure/blob/f0ef5a2036d4876ae8f4d4477676da968a032d01/codex-3000/compositions/Secours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https://github.com/darknigthmare/deadwall-last-enclosure/blob/f0ef5a2036d4876ae8f4d4477676da968a032d01/codex-3000/compositions/Secours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https://github.com/darknigthmare/deadwall-last-enclosure/blob/f0ef5a2036d4876ae8f4d4477676da968a032d01/codex-3000/compositions/Secours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https://github.com/darknigthmare/deadwall-last-enclosure/blob/f0ef5a2036d4876ae8f4d4477676da968a032d01/codex-3000/compositions/Abris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https://github.com/darknigthmare/deadwall-last-enclosure/blob/f0ef5a2036d4876ae8f4d4477676da968a032d01/codex-3000/compositions/Abris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https://github.com/darknigthmare/deadwall-last-enclosure/blob/f0ef5a2036d4876ae8f4d4477676da968a032d01/codex-3000/compositions/Abris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https://github.com/darknigthmare/deadwall-last-enclosure/blob/f0ef5a2036d4876ae8f4d4477676da968a032d01/codex-3000/compositions/Abris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https://github.com/darknigthmare/deadwall-last-enclosure/blob/f0ef5a2036d4876ae8f4d4477676da968a032d01/codex-3000/compositions/Abris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https://github.com/darknigthmare/deadwall-last-enclosure/blob/f0ef5a2036d4876ae8f4d4477676da968a032d01/codex-3000/compositions/Abris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https://github.com/darknigthmare/deadwall-last-enclosure/blob/f0ef5a2036d4876ae8f4d4477676da968a032d01/codex-3000/compositions/Abris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https://github.com/darknigthmare/deadwall-last-enclosure/blob/f0ef5a2036d4876ae8f4d4477676da968a032d01/codex-3000/compositions/Abris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https://github.com/darknigthmare/deadwall-last-enclosure/blob/f0ef5a2036d4876ae8f4d4477676da968a032d01/codex-3000/compositions/Abris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https://github.com/darknigthmare/deadwall-last-enclosure/blob/f0ef5a2036d4876ae8f4d4477676da968a032d01/codex-3000/compositions/Abris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https://github.com/darknigthmare/deadwall-last-enclosure/blob/f0ef5a2036d4876ae8f4d4477676da968a032d01/codex-3000/compositions/Abris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https://github.com/darknigthmare/deadwall-last-enclosure/blob/f0ef5a2036d4876ae8f4d4477676da968a032d01/codex-3000/compositions/Abris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https://github.com/darknigthmare/deadwall-last-enclosure/blob/f0ef5a2036d4876ae8f4d4477676da968a032d01/codex-3000/compositions/Abris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https://github.com/darknigthmare/deadwall-last-enclosure/blob/f0ef5a2036d4876ae8f4d4477676da968a032d01/codex-3000/compositions/Abris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https://github.com/darknigthmare/deadwall-last-enclosure/blob/f0ef5a2036d4876ae8f4d4477676da968a032d01/codex-3000/compositions/Abris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https://github.com/darknigthmare/deadwall-last-enclosure/blob/f0ef5a2036d4876ae8f4d4477676da968a032d01/codex-3000/compositions/Abris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https://github.com/darknigthmare/deadwall-last-enclosure/blob/f0ef5a2036d4876ae8f4d4477676da968a032d01/codex-3000/compositions/Abris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https://github.com/darknigthmare/deadwall-last-enclosure/blob/f0ef5a2036d4876ae8f4d4477676da968a032d01/codex-3000/compositions/Abris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https://github.com/darknigthmare/deadwall-last-enclosure/blob/f0ef5a2036d4876ae8f4d4477676da968a032d01/codex-3000/compositions/Abris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https://github.com/darknigthmare/deadwall-last-enclosure/blob/f0ef5a2036d4876ae8f4d4477676da968a032d01/codex-3000/compositions/Abris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https://github.com/darknigthmare/deadwall-last-enclosure/blob/f0ef5a2036d4876ae8f4d4477676da968a032d01/codex-3000/compositions/Abris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https://github.com/darknigthmare/deadwall-last-enclosure/blob/f0ef5a2036d4876ae8f4d4477676da968a032d01/codex-3000/compositions/Abris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https://github.com/darknigthmare/deadwall-last-enclosure/blob/f0ef5a2036d4876ae8f4d4477676da968a032d01/codex-3000/compositions/Abris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https://github.com/darknigthmare/deadwall-last-enclosure/blob/f0ef5a2036d4876ae8f4d4477676da968a032d01/codex-3000/compositions/Abris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https://github.com/darknigthmare/deadwall-last-enclosure/blob/f0ef5a2036d4876ae8f4d4477676da968a032d01/codex-3000/compositions/Abris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https://github.com/darknigthmare/deadwall-last-enclosure/blob/f0ef5a2036d4876ae8f4d4477676da968a032d01/codex-3000/compositions/Abris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https://github.com/darknigthmare/deadwall-last-enclosure/blob/f0ef5a2036d4876ae8f4d4477676da968a032d01/codex-3000/compositions/Abris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https://github.com/darknigthmare/deadwall-last-enclosure/blob/f0ef5a2036d4876ae8f4d4477676da968a032d01/codex-3000/compositions/Abris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https://github.com/darknigthmare/deadwall-last-enclosure/blob/f0ef5a2036d4876ae8f4d4477676da968a032d01/codex-3000/compositions/Abris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https://github.com/darknigthmare/deadwall-last-enclosure/blob/f0ef5a2036d4876ae8f4d4477676da968a032d01/codex-3000/compositions/Abris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https://github.com/darknigthmare/deadwall-last-enclosure/blob/f0ef5a2036d4876ae8f4d4477676da968a032d01/codex-3000/compositions/Abris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https://github.com/darknigthmare/deadwall-last-enclosure/blob/f0ef5a2036d4876ae8f4d4477676da968a032d01/codex-3000/compositions/Abris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https://github.com/darknigthmare/deadwall-last-enclosure/blob/f0ef5a2036d4876ae8f4d4477676da968a032d01/codex-3000/compositions/Abris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https://github.com/darknigthmare/deadwall-last-enclosure/blob/f0ef5a2036d4876ae8f4d4477676da968a032d01/codex-3000/compositions/Abris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https://github.com/darknigthmare/deadwall-last-enclosure/blob/f0ef5a2036d4876ae8f4d4477676da968a032d01/codex-3000/compositions/Abris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https://github.com/darknigthmare/deadwall-last-enclosure/blob/f0ef5a2036d4876ae8f4d4477676da968a032d01/codex-3000/compositions/Abris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https://github.com/darknigthmare/deadwall-last-enclosure/blob/f0ef5a2036d4876ae8f4d4477676da968a032d01/codex-3000/compositions/Abris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https://github.com/darknigthmare/deadwall-last-enclosure/blob/f0ef5a2036d4876ae8f4d4477676da968a032d01/codex-3000/compositions/Abris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https://github.com/darknigthmare/deadwall-last-enclosure/blob/f0ef5a2036d4876ae8f4d4477676da968a032d01/codex-3000/compositions/Abris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https://github.com/darknigthmare/deadwall-last-enclosure/blob/f0ef5a2036d4876ae8f4d4477676da968a032d01/codex-3000/compositions/Abris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https://github.com/darknigthmare/deadwall-last-enclosure/blob/f0ef5a2036d4876ae8f4d4477676da968a032d01/codex-3000/compositions/Entrepôts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https://github.com/darknigthmare/deadwall-last-enclosure/blob/f0ef5a2036d4876ae8f4d4477676da968a032d01/codex-3000/compositions/Entrepôts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https://github.com/darknigthmare/deadwall-last-enclosure/blob/f0ef5a2036d4876ae8f4d4477676da968a032d01/codex-3000/compositions/Entrepôts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https://github.com/darknigthmare/deadwall-last-enclosure/blob/f0ef5a2036d4876ae8f4d4477676da968a032d01/codex-3000/compositions/Entrepôts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https://github.com/darknigthmare/deadwall-last-enclosure/blob/f0ef5a2036d4876ae8f4d4477676da968a032d01/codex-3000/compositions/Entrepôts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https://github.com/darknigthmare/deadwall-last-enclosure/blob/f0ef5a2036d4876ae8f4d4477676da968a032d01/codex-3000/compositions/Entrepôts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https://github.com/darknigthmare/deadwall-last-enclosure/blob/f0ef5a2036d4876ae8f4d4477676da968a032d01/codex-3000/compositions/Entrepôts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https://github.com/darknigthmare/deadwall-last-enclosure/blob/f0ef5a2036d4876ae8f4d4477676da968a032d01/codex-3000/compositions/Entrepôts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https://github.com/darknigthmare/deadwall-last-enclosure/blob/f0ef5a2036d4876ae8f4d4477676da968a032d01/codex-3000/compositions/Entrepôts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https://github.com/darknigthmare/deadwall-last-enclosure/blob/f0ef5a2036d4876ae8f4d4477676da968a032d01/codex-3000/compositions/Entrepôts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https://github.com/darknigthmare/deadwall-last-enclosure/blob/f0ef5a2036d4876ae8f4d4477676da968a032d01/codex-3000/compositions/Entrepôts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https://github.com/darknigthmare/deadwall-last-enclosure/blob/f0ef5a2036d4876ae8f4d4477676da968a032d01/codex-3000/compositions/Entrepôts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https://github.com/darknigthmare/deadwall-last-enclosure/blob/f0ef5a2036d4876ae8f4d4477676da968a032d01/codex-3000/compositions/Entrepôts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https://github.com/darknigthmare/deadwall-last-enclosure/blob/f0ef5a2036d4876ae8f4d4477676da968a032d01/codex-3000/compositions/Entrepôts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https://github.com/darknigthmare/deadwall-last-enclosure/blob/f0ef5a2036d4876ae8f4d4477676da968a032d01/codex-3000/compositions/Entrepôts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https://github.com/darknigthmare/deadwall-last-enclosure/blob/f0ef5a2036d4876ae8f4d4477676da968a032d01/codex-3000/compositions/Entrepôts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https://github.com/darknigthmare/deadwall-last-enclosure/blob/f0ef5a2036d4876ae8f4d4477676da968a032d01/codex-3000/compositions/Entrepôts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https://github.com/darknigthmare/deadwall-last-enclosure/blob/f0ef5a2036d4876ae8f4d4477676da968a032d01/codex-3000/compositions/Entrepôts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https://github.com/darknigthmare/deadwall-last-enclosure/blob/f0ef5a2036d4876ae8f4d4477676da968a032d01/codex-3000/compositions/Entrepôts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https://github.com/darknigthmare/deadwall-last-enclosure/blob/f0ef5a2036d4876ae8f4d4477676da968a032d01/codex-3000/compositions/Entrepôts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https://github.com/darknigthmare/deadwall-last-enclosure/blob/f0ef5a2036d4876ae8f4d4477676da968a032d01/codex-3000/compositions/Entrepôts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https://github.com/darknigthmare/deadwall-last-enclosure/blob/f0ef5a2036d4876ae8f4d4477676da968a032d01/codex-3000/compositions/Entrepôts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https://github.com/darknigthmare/deadwall-last-enclosure/blob/f0ef5a2036d4876ae8f4d4477676da968a032d01/codex-3000/compositions/Entrepôts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https://github.com/darknigthmare/deadwall-last-enclosure/blob/f0ef5a2036d4876ae8f4d4477676da968a032d01/codex-3000/compositions/Entrepôts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https://github.com/darknigthmare/deadwall-last-enclosure/blob/f0ef5a2036d4876ae8f4d4477676da968a032d01/codex-3000/compositions/Entrepôts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https://github.com/darknigthmare/deadwall-last-enclosure/blob/f0ef5a2036d4876ae8f4d4477676da968a032d01/codex-3000/compositions/Entrepôts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https://github.com/darknigthmare/deadwall-last-enclosure/blob/f0ef5a2036d4876ae8f4d4477676da968a032d01/codex-3000/compositions/Entrepôts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https://github.com/darknigthmare/deadwall-last-enclosure/blob/f0ef5a2036d4876ae8f4d4477676da968a032d01/codex-3000/compositions/Entrepôts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https://github.com/darknigthmare/deadwall-last-enclosure/blob/f0ef5a2036d4876ae8f4d4477676da968a032d01/codex-3000/compositions/Entrepôts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https://github.com/darknigthmare/deadwall-last-enclosure/blob/f0ef5a2036d4876ae8f4d4477676da968a032d01/codex-3000/compositions/Entrepôts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https://github.com/darknigthmare/deadwall-last-enclosure/blob/f0ef5a2036d4876ae8f4d4477676da968a032d01/codex-3000/compositions/Entrepôts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https://github.com/darknigthmare/deadwall-last-enclosure/blob/f0ef5a2036d4876ae8f4d4477676da968a032d01/codex-3000/compositions/Entrepôts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https://github.com/darknigthmare/deadwall-last-enclosure/blob/f0ef5a2036d4876ae8f4d4477676da968a032d01/codex-3000/compositions/Entrepôts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https://github.com/darknigthmare/deadwall-last-enclosure/blob/f0ef5a2036d4876ae8f4d4477676da968a032d01/codex-3000/compositions/Entrepôts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https://github.com/darknigthmare/deadwall-last-enclosure/blob/f0ef5a2036d4876ae8f4d4477676da968a032d01/codex-3000/compositions/Entrepôts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https://github.com/darknigthmare/deadwall-last-enclosure/blob/f0ef5a2036d4876ae8f4d4477676da968a032d01/codex-3000/compositions/Entrepôts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https://github.com/darknigthmare/deadwall-last-enclosure/blob/f0ef5a2036d4876ae8f4d4477676da968a032d01/codex-3000/compositions/Entrepôts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https://github.com/darknigthmare/deadwall-last-enclosure/blob/f0ef5a2036d4876ae8f4d4477676da968a032d01/codex-3000/compositions/Entrepôts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https://github.com/darknigthmare/deadwall-last-enclosure/blob/f0ef5a2036d4876ae8f4d4477676da968a032d01/codex-3000/compositions/Entrepôts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https://github.com/darknigthmare/deadwall-last-enclosure/blob/f0ef5a2036d4876ae8f4d4477676da968a032d01/codex-3000/compositions/Entrepôts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https://github.com/darknigthmare/deadwall-last-enclosure/blob/f0ef5a2036d4876ae8f4d4477676da968a032d01/codex-3000/compositions/Automobile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https://github.com/darknigthmare/deadwall-last-enclosure/blob/f0ef5a2036d4876ae8f4d4477676da968a032d01/codex-3000/compositions/Automobile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https://github.com/darknigthmare/deadwall-last-enclosure/blob/f0ef5a2036d4876ae8f4d4477676da968a032d01/codex-3000/compositions/Automobile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https://github.com/darknigthmare/deadwall-last-enclosure/blob/f0ef5a2036d4876ae8f4d4477676da968a032d01/codex-3000/compositions/Automobile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https://github.com/darknigthmare/deadwall-last-enclosure/blob/f0ef5a2036d4876ae8f4d4477676da968a032d01/codex-3000/compositions/Automobile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https://github.com/darknigthmare/deadwall-last-enclosure/blob/f0ef5a2036d4876ae8f4d4477676da968a032d01/codex-3000/compositions/Automobile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https://github.com/darknigthmare/deadwall-last-enclosure/blob/f0ef5a2036d4876ae8f4d4477676da968a032d01/codex-3000/compositions/Automobile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https://github.com/darknigthmare/deadwall-last-enclosure/blob/f0ef5a2036d4876ae8f4d4477676da968a032d01/codex-3000/compositions/Automobile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https://github.com/darknigthmare/deadwall-last-enclosure/blob/f0ef5a2036d4876ae8f4d4477676da968a032d01/codex-3000/compositions/Automobile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https://github.com/darknigthmare/deadwall-last-enclosure/blob/f0ef5a2036d4876ae8f4d4477676da968a032d01/codex-3000/compositions/Automobile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https://github.com/darknigthmare/deadwall-last-enclosure/blob/f0ef5a2036d4876ae8f4d4477676da968a032d01/codex-3000/compositions/Automobile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https://github.com/darknigthmare/deadwall-last-enclosure/blob/f0ef5a2036d4876ae8f4d4477676da968a032d01/codex-3000/compositions/Automobile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https://github.com/darknigthmare/deadwall-last-enclosure/blob/f0ef5a2036d4876ae8f4d4477676da968a032d01/codex-3000/compositions/Automobile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https://github.com/darknigthmare/deadwall-last-enclosure/blob/f0ef5a2036d4876ae8f4d4477676da968a032d01/codex-3000/compositions/Automobile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https://github.com/darknigthmare/deadwall-last-enclosure/blob/f0ef5a2036d4876ae8f4d4477676da968a032d01/codex-3000/compositions/Automobile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https://github.com/darknigthmare/deadwall-last-enclosure/blob/f0ef5a2036d4876ae8f4d4477676da968a032d01/codex-3000/compositions/Automobile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https://github.com/darknigthmare/deadwall-last-enclosure/blob/f0ef5a2036d4876ae8f4d4477676da968a032d01/codex-3000/compositions/Automobile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https://github.com/darknigthmare/deadwall-last-enclosure/blob/f0ef5a2036d4876ae8f4d4477676da968a032d01/codex-3000/compositions/Automobile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https://github.com/darknigthmare/deadwall-last-enclosure/blob/f0ef5a2036d4876ae8f4d4477676da968a032d01/codex-3000/compositions/Automobile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https://github.com/darknigthmare/deadwall-last-enclosure/blob/f0ef5a2036d4876ae8f4d4477676da968a032d01/codex-3000/compositions/Automobile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https://github.com/darknigthmare/deadwall-last-enclosure/blob/f0ef5a2036d4876ae8f4d4477676da968a032d01/codex-3000/compositions/Automobile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https://github.com/darknigthmare/deadwall-last-enclosure/blob/f0ef5a2036d4876ae8f4d4477676da968a032d01/codex-3000/compositions/Automobile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https://github.com/darknigthmare/deadwall-last-enclosure/blob/f0ef5a2036d4876ae8f4d4477676da968a032d01/codex-3000/compositions/Automobile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https://github.com/darknigthmare/deadwall-last-enclosure/blob/f0ef5a2036d4876ae8f4d4477676da968a032d01/codex-3000/compositions/Automobile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https://github.com/darknigthmare/deadwall-last-enclosure/blob/f0ef5a2036d4876ae8f4d4477676da968a032d01/codex-3000/compositions/Automobile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https://github.com/darknigthmare/deadwall-last-enclosure/blob/f0ef5a2036d4876ae8f4d4477676da968a032d01/codex-3000/compositions/Automobile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https://github.com/darknigthmare/deadwall-last-enclosure/blob/f0ef5a2036d4876ae8f4d4477676da968a032d01/codex-3000/compositions/Automobile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https://github.com/darknigthmare/deadwall-last-enclosure/blob/f0ef5a2036d4876ae8f4d4477676da968a032d01/codex-3000/compositions/Automobile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https://github.com/darknigthmare/deadwall-last-enclosure/blob/f0ef5a2036d4876ae8f4d4477676da968a032d01/codex-3000/compositions/Automobile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https://github.com/darknigthmare/deadwall-last-enclosure/blob/f0ef5a2036d4876ae8f4d4477676da968a032d01/codex-3000/compositions/Automobile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https://github.com/darknigthmare/deadwall-last-enclosure/blob/f0ef5a2036d4876ae8f4d4477676da968a032d01/codex-3000/compositions/Automobile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https://github.com/darknigthmare/deadwall-last-enclosure/blob/f0ef5a2036d4876ae8f4d4477676da968a032d01/codex-3000/compositions/Automobile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https://github.com/darknigthmare/deadwall-last-enclosure/blob/f0ef5a2036d4876ae8f4d4477676da968a032d01/codex-3000/compositions/Automobile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https://github.com/darknigthmare/deadwall-last-enclosure/blob/f0ef5a2036d4876ae8f4d4477676da968a032d01/codex-3000/compositions/Automobile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https://github.com/darknigthmare/deadwall-last-enclosure/blob/f0ef5a2036d4876ae8f4d4477676da968a032d01/codex-3000/compositions/Automobile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https://github.com/darknigthmare/deadwall-last-enclosure/blob/f0ef5a2036d4876ae8f4d4477676da968a032d01/codex-3000/compositions/Automobile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https://github.com/darknigthmare/deadwall-last-enclosure/blob/f0ef5a2036d4876ae8f4d4477676da968a032d01/codex-3000/compositions/Automobile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https://github.com/darknigthmare/deadwall-last-enclosure/blob/f0ef5a2036d4876ae8f4d4477676da968a032d01/codex-3000/compositions/Automobile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https://github.com/darknigthmare/deadwall-last-enclosure/blob/f0ef5a2036d4876ae8f4d4477676da968a032d01/codex-3000/compositions/Automobile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https://github.com/darknigthmare/deadwall-last-enclosure/blob/f0ef5a2036d4876ae8f4d4477676da968a032d01/codex-3000/compositions/Automobile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https://github.com/darknigthmare/deadwall-last-enclosure/blob/f0ef5a2036d4876ae8f4d4477676da968a032d01/codex-3000/compositions/Routes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https://github.com/darknigthmare/deadwall-last-enclosure/blob/f0ef5a2036d4876ae8f4d4477676da968a032d01/codex-3000/compositions/Routes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https://github.com/darknigthmare/deadwall-last-enclosure/blob/f0ef5a2036d4876ae8f4d4477676da968a032d01/codex-3000/compositions/Routes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https://github.com/darknigthmare/deadwall-last-enclosure/blob/f0ef5a2036d4876ae8f4d4477676da968a032d01/codex-3000/compositions/Routes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https://github.com/darknigthmare/deadwall-last-enclosure/blob/f0ef5a2036d4876ae8f4d4477676da968a032d01/codex-3000/compositions/Routes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https://github.com/darknigthmare/deadwall-last-enclosure/blob/f0ef5a2036d4876ae8f4d4477676da968a032d01/codex-3000/compositions/Routes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https://github.com/darknigthmare/deadwall-last-enclosure/blob/f0ef5a2036d4876ae8f4d4477676da968a032d01/codex-3000/compositions/Routes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https://github.com/darknigthmare/deadwall-last-enclosure/blob/f0ef5a2036d4876ae8f4d4477676da968a032d01/codex-3000/compositions/Routes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https://github.com/darknigthmare/deadwall-last-enclosure/blob/f0ef5a2036d4876ae8f4d4477676da968a032d01/codex-3000/compositions/Routes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https://github.com/darknigthmare/deadwall-last-enclosure/blob/f0ef5a2036d4876ae8f4d4477676da968a032d01/codex-3000/compositions/Routes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https://github.com/darknigthmare/deadwall-last-enclosure/blob/f0ef5a2036d4876ae8f4d4477676da968a032d01/codex-3000/compositions/Routes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https://github.com/darknigthmare/deadwall-last-enclosure/blob/f0ef5a2036d4876ae8f4d4477676da968a032d01/codex-3000/compositions/Routes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https://github.com/darknigthmare/deadwall-last-enclosure/blob/f0ef5a2036d4876ae8f4d4477676da968a032d01/codex-3000/compositions/Routes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https://github.com/darknigthmare/deadwall-last-enclosure/blob/f0ef5a2036d4876ae8f4d4477676da968a032d01/codex-3000/compositions/Routes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https://github.com/darknigthmare/deadwall-last-enclosure/blob/f0ef5a2036d4876ae8f4d4477676da968a032d01/codex-3000/compositions/Routes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https://github.com/darknigthmare/deadwall-last-enclosure/blob/f0ef5a2036d4876ae8f4d4477676da968a032d01/codex-3000/compositions/Routes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https://github.com/darknigthmare/deadwall-last-enclosure/blob/f0ef5a2036d4876ae8f4d4477676da968a032d01/codex-3000/compositions/Routes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https://github.com/darknigthmare/deadwall-last-enclosure/blob/f0ef5a2036d4876ae8f4d4477676da968a032d01/codex-3000/compositions/Routes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https://github.com/darknigthmare/deadwall-last-enclosure/blob/f0ef5a2036d4876ae8f4d4477676da968a032d01/codex-3000/compositions/Routes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https://github.com/darknigthmare/deadwall-last-enclosure/blob/f0ef5a2036d4876ae8f4d4477676da968a032d01/codex-3000/compositions/Routes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https://github.com/darknigthmare/deadwall-last-enclosure/blob/f0ef5a2036d4876ae8f4d4477676da968a032d01/codex-3000/compositions/Routes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https://github.com/darknigthmare/deadwall-last-enclosure/blob/f0ef5a2036d4876ae8f4d4477676da968a032d01/codex-3000/compositions/Routes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https://github.com/darknigthmare/deadwall-last-enclosure/blob/f0ef5a2036d4876ae8f4d4477676da968a032d01/codex-3000/compositions/Routes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https://github.com/darknigthmare/deadwall-last-enclosure/blob/f0ef5a2036d4876ae8f4d4477676da968a032d01/codex-3000/compositions/Routes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https://github.com/darknigthmare/deadwall-last-enclosure/blob/f0ef5a2036d4876ae8f4d4477676da968a032d01/codex-3000/compositions/Routes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https://github.com/darknigthmare/deadwall-last-enclosure/blob/f0ef5a2036d4876ae8f4d4477676da968a032d01/codex-3000/compositions/Routes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https://github.com/darknigthmare/deadwall-last-enclosure/blob/f0ef5a2036d4876ae8f4d4477676da968a032d01/codex-3000/compositions/Routes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https://github.com/darknigthmare/deadwall-last-enclosure/blob/f0ef5a2036d4876ae8f4d4477676da968a032d01/codex-3000/compositions/Routes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https://github.com/darknigthmare/deadwall-last-enclosure/blob/f0ef5a2036d4876ae8f4d4477676da968a032d01/codex-3000/compositions/Routes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https://github.com/darknigthmare/deadwall-last-enclosure/blob/f0ef5a2036d4876ae8f4d4477676da968a032d01/codex-3000/compositions/Routes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https://github.com/darknigthmare/deadwall-last-enclosure/blob/f0ef5a2036d4876ae8f4d4477676da968a032d01/codex-3000/compositions/Routes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https://github.com/darknigthmare/deadwall-last-enclosure/blob/f0ef5a2036d4876ae8f4d4477676da968a032d01/codex-3000/compositions/Routes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https://github.com/darknigthmare/deadwall-last-enclosure/blob/f0ef5a2036d4876ae8f4d4477676da968a032d01/codex-3000/compositions/Routes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https://github.com/darknigthmare/deadwall-last-enclosure/blob/f0ef5a2036d4876ae8f4d4477676da968a032d01/codex-3000/compositions/Routes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https://github.com/darknigthmare/deadwall-last-enclosure/blob/f0ef5a2036d4876ae8f4d4477676da968a032d01/codex-3000/compositions/Routes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https://github.com/darknigthmare/deadwall-last-enclosure/blob/f0ef5a2036d4876ae8f4d4477676da968a032d01/codex-3000/compositions/Routes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https://github.com/darknigthmare/deadwall-last-enclosure/blob/f0ef5a2036d4876ae8f4d4477676da968a032d01/codex-3000/compositions/Routes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https://github.com/darknigthmare/deadwall-last-enclosure/blob/f0ef5a2036d4876ae8f4d4477676da968a032d01/codex-3000/compositions/Routes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https://github.com/darknigthmare/deadwall-last-enclosure/blob/f0ef5a2036d4876ae8f4d4477676da968a032d01/codex-3000/compositions/Routes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https://github.com/darknigthmare/deadwall-last-enclosure/blob/f0ef5a2036d4876ae8f4d4477676da968a032d01/codex-3000/compositions/Routes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https://github.com/darknigthmare/deadwall-last-enclosure/blob/f0ef5a2036d4876ae8f4d4477676da968a032d01/codex-3000/compositions/Ferroviaire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https://github.com/darknigthmare/deadwall-last-enclosure/blob/f0ef5a2036d4876ae8f4d4477676da968a032d01/codex-3000/compositions/Ferroviaire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https://github.com/darknigthmare/deadwall-last-enclosure/blob/f0ef5a2036d4876ae8f4d4477676da968a032d01/codex-3000/compositions/Ferroviaire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https://github.com/darknigthmare/deadwall-last-enclosure/blob/f0ef5a2036d4876ae8f4d4477676da968a032d01/codex-3000/compositions/Ferroviaire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https://github.com/darknigthmare/deadwall-last-enclosure/blob/f0ef5a2036d4876ae8f4d4477676da968a032d01/codex-3000/compositions/Ferroviaire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https://github.com/darknigthmare/deadwall-last-enclosure/blob/f0ef5a2036d4876ae8f4d4477676da968a032d01/codex-3000/compositions/Ferroviaire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https://github.com/darknigthmare/deadwall-last-enclosure/blob/f0ef5a2036d4876ae8f4d4477676da968a032d01/codex-3000/compositions/Ferroviaire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https://github.com/darknigthmare/deadwall-last-enclosure/blob/f0ef5a2036d4876ae8f4d4477676da968a032d01/codex-3000/compositions/Ferroviaire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https://github.com/darknigthmare/deadwall-last-enclosure/blob/f0ef5a2036d4876ae8f4d4477676da968a032d01/codex-3000/compositions/Ferroviaire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https://github.com/darknigthmare/deadwall-last-enclosure/blob/f0ef5a2036d4876ae8f4d4477676da968a032d01/codex-3000/compositions/Ferroviaire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https://github.com/darknigthmare/deadwall-last-enclosure/blob/f0ef5a2036d4876ae8f4d4477676da968a032d01/codex-3000/compositions/Ferroviaire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https://github.com/darknigthmare/deadwall-last-enclosure/blob/f0ef5a2036d4876ae8f4d4477676da968a032d01/codex-3000/compositions/Ferroviaire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https://github.com/darknigthmare/deadwall-last-enclosure/blob/f0ef5a2036d4876ae8f4d4477676da968a032d01/codex-3000/compositions/Ferroviaire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https://github.com/darknigthmare/deadwall-last-enclosure/blob/f0ef5a2036d4876ae8f4d4477676da968a032d01/codex-3000/compositions/Ferroviaire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https://github.com/darknigthmare/deadwall-last-enclosure/blob/f0ef5a2036d4876ae8f4d4477676da968a032d01/codex-3000/compositions/Ferroviaire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https://github.com/darknigthmare/deadwall-last-enclosure/blob/f0ef5a2036d4876ae8f4d4477676da968a032d01/codex-3000/compositions/Ferroviaire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https://github.com/darknigthmare/deadwall-last-enclosure/blob/f0ef5a2036d4876ae8f4d4477676da968a032d01/codex-3000/compositions/Ferroviaire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https://github.com/darknigthmare/deadwall-last-enclosure/blob/f0ef5a2036d4876ae8f4d4477676da968a032d01/codex-3000/compositions/Ferroviaire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https://github.com/darknigthmare/deadwall-last-enclosure/blob/f0ef5a2036d4876ae8f4d4477676da968a032d01/codex-3000/compositions/Ferroviaire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https://github.com/darknigthmare/deadwall-last-enclosure/blob/f0ef5a2036d4876ae8f4d4477676da968a032d01/codex-3000/compositions/Ferroviaire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https://github.com/darknigthmare/deadwall-last-enclosure/blob/f0ef5a2036d4876ae8f4d4477676da968a032d01/codex-3000/compositions/Ferroviaire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https://github.com/darknigthmare/deadwall-last-enclosure/blob/f0ef5a2036d4876ae8f4d4477676da968a032d01/codex-3000/compositions/Ferroviaire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https://github.com/darknigthmare/deadwall-last-enclosure/blob/f0ef5a2036d4876ae8f4d4477676da968a032d01/codex-3000/compositions/Ferroviaire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https://github.com/darknigthmare/deadwall-last-enclosure/blob/f0ef5a2036d4876ae8f4d4477676da968a032d01/codex-3000/compositions/Ferroviaire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https://github.com/darknigthmare/deadwall-last-enclosure/blob/f0ef5a2036d4876ae8f4d4477676da968a032d01/codex-3000/compositions/Ferroviaire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https://github.com/darknigthmare/deadwall-last-enclosure/blob/f0ef5a2036d4876ae8f4d4477676da968a032d01/codex-3000/compositions/Ferroviaire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https://github.com/darknigthmare/deadwall-last-enclosure/blob/f0ef5a2036d4876ae8f4d4477676da968a032d01/codex-3000/compositions/Ferroviaire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https://github.com/darknigthmare/deadwall-last-enclosure/blob/f0ef5a2036d4876ae8f4d4477676da968a032d01/codex-3000/compositions/Ferroviaire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https://github.com/darknigthmare/deadwall-last-enclosure/blob/f0ef5a2036d4876ae8f4d4477676da968a032d01/codex-3000/compositions/Ferroviaire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https://github.com/darknigthmare/deadwall-last-enclosure/blob/f0ef5a2036d4876ae8f4d4477676da968a032d01/codex-3000/compositions/Ferroviaire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https://github.com/darknigthmare/deadwall-last-enclosure/blob/f0ef5a2036d4876ae8f4d4477676da968a032d01/codex-3000/compositions/Ferroviaire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https://github.com/darknigthmare/deadwall-last-enclosure/blob/f0ef5a2036d4876ae8f4d4477676da968a032d01/codex-3000/compositions/Ferroviaire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https://github.com/darknigthmare/deadwall-last-enclosure/blob/f0ef5a2036d4876ae8f4d4477676da968a032d01/codex-3000/compositions/Ferroviaire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https://github.com/darknigthmare/deadwall-last-enclosure/blob/f0ef5a2036d4876ae8f4d4477676da968a032d01/codex-3000/compositions/Ferroviaire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https://github.com/darknigthmare/deadwall-last-enclosure/blob/f0ef5a2036d4876ae8f4d4477676da968a032d01/codex-3000/compositions/Ferroviaire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https://github.com/darknigthmare/deadwall-last-enclosure/blob/f0ef5a2036d4876ae8f4d4477676da968a032d01/codex-3000/compositions/Ferroviaire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https://github.com/darknigthmare/deadwall-last-enclosure/blob/f0ef5a2036d4876ae8f4d4477676da968a032d01/codex-3000/compositions/Ferroviaire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https://github.com/darknigthmare/deadwall-last-enclosure/blob/f0ef5a2036d4876ae8f4d4477676da968a032d01/codex-3000/compositions/Ferroviaire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https://github.com/darknigthmare/deadwall-last-enclosure/blob/f0ef5a2036d4876ae8f4d4477676da968a032d01/codex-3000/compositions/Ferroviaire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https://github.com/darknigthmare/deadwall-last-enclosure/blob/f0ef5a2036d4876ae8f4d4477676da968a032d01/codex-3000/compositions/Ferroviaire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https://github.com/darknigthmare/deadwall-last-enclosure/blob/f0ef5a2036d4876ae8f4d4477676da968a032d01/codex-3000/compositions/Industrie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https://github.com/darknigthmare/deadwall-last-enclosure/blob/f0ef5a2036d4876ae8f4d4477676da968a032d01/codex-3000/compositions/Industrie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https://github.com/darknigthmare/deadwall-last-enclosure/blob/f0ef5a2036d4876ae8f4d4477676da968a032d01/codex-3000/compositions/Industrie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https://github.com/darknigthmare/deadwall-last-enclosure/blob/f0ef5a2036d4876ae8f4d4477676da968a032d01/codex-3000/compositions/Industrie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https://github.com/darknigthmare/deadwall-last-enclosure/blob/f0ef5a2036d4876ae8f4d4477676da968a032d01/codex-3000/compositions/Industrie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https://github.com/darknigthmare/deadwall-last-enclosure/blob/f0ef5a2036d4876ae8f4d4477676da968a032d01/codex-3000/compositions/Industrie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https://github.com/darknigthmare/deadwall-last-enclosure/blob/f0ef5a2036d4876ae8f4d4477676da968a032d01/codex-3000/compositions/Industrie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https://github.com/darknigthmare/deadwall-last-enclosure/blob/f0ef5a2036d4876ae8f4d4477676da968a032d01/codex-3000/compositions/Industrie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https://github.com/darknigthmare/deadwall-last-enclosure/blob/f0ef5a2036d4876ae8f4d4477676da968a032d01/codex-3000/compositions/Industrie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https://github.com/darknigthmare/deadwall-last-enclosure/blob/f0ef5a2036d4876ae8f4d4477676da968a032d01/codex-3000/compositions/Industrie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https://github.com/darknigthmare/deadwall-last-enclosure/blob/f0ef5a2036d4876ae8f4d4477676da968a032d01/codex-3000/compositions/Industrie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https://github.com/darknigthmare/deadwall-last-enclosure/blob/f0ef5a2036d4876ae8f4d4477676da968a032d01/codex-3000/compositions/Industrie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https://github.com/darknigthmare/deadwall-last-enclosure/blob/f0ef5a2036d4876ae8f4d4477676da968a032d01/codex-3000/compositions/Industrie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https://github.com/darknigthmare/deadwall-last-enclosure/blob/f0ef5a2036d4876ae8f4d4477676da968a032d01/codex-3000/compositions/Industrie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https://github.com/darknigthmare/deadwall-last-enclosure/blob/f0ef5a2036d4876ae8f4d4477676da968a032d01/codex-3000/compositions/Industrie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https://github.com/darknigthmare/deadwall-last-enclosure/blob/f0ef5a2036d4876ae8f4d4477676da968a032d01/codex-3000/compositions/Industrie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https://github.com/darknigthmare/deadwall-last-enclosure/blob/f0ef5a2036d4876ae8f4d4477676da968a032d01/codex-3000/compositions/Industrie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https://github.com/darknigthmare/deadwall-last-enclosure/blob/f0ef5a2036d4876ae8f4d4477676da968a032d01/codex-3000/compositions/Industrie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https://github.com/darknigthmare/deadwall-last-enclosure/blob/f0ef5a2036d4876ae8f4d4477676da968a032d01/codex-3000/compositions/Industrie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https://github.com/darknigthmare/deadwall-last-enclosure/blob/f0ef5a2036d4876ae8f4d4477676da968a032d01/codex-3000/compositions/Industrie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https://github.com/darknigthmare/deadwall-last-enclosure/blob/f0ef5a2036d4876ae8f4d4477676da968a032d01/codex-3000/compositions/Industrie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https://github.com/darknigthmare/deadwall-last-enclosure/blob/f0ef5a2036d4876ae8f4d4477676da968a032d01/codex-3000/compositions/Industrie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https://github.com/darknigthmare/deadwall-last-enclosure/blob/f0ef5a2036d4876ae8f4d4477676da968a032d01/codex-3000/compositions/Industrie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https://github.com/darknigthmare/deadwall-last-enclosure/blob/f0ef5a2036d4876ae8f4d4477676da968a032d01/codex-3000/compositions/Industrie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https://github.com/darknigthmare/deadwall-last-enclosure/blob/f0ef5a2036d4876ae8f4d4477676da968a032d01/codex-3000/compositions/Industrie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https://github.com/darknigthmare/deadwall-last-enclosure/blob/f0ef5a2036d4876ae8f4d4477676da968a032d01/codex-3000/compositions/Industrie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https://github.com/darknigthmare/deadwall-last-enclosure/blob/f0ef5a2036d4876ae8f4d4477676da968a032d01/codex-3000/compositions/Industrie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https://github.com/darknigthmare/deadwall-last-enclosure/blob/f0ef5a2036d4876ae8f4d4477676da968a032d01/codex-3000/compositions/Industrie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https://github.com/darknigthmare/deadwall-last-enclosure/blob/f0ef5a2036d4876ae8f4d4477676da968a032d01/codex-3000/compositions/Industrie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https://github.com/darknigthmare/deadwall-last-enclosure/blob/f0ef5a2036d4876ae8f4d4477676da968a032d01/codex-3000/compositions/Industrie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https://github.com/darknigthmare/deadwall-last-enclosure/blob/f0ef5a2036d4876ae8f4d4477676da968a032d01/codex-3000/compositions/Industrie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https://github.com/darknigthmare/deadwall-last-enclosure/blob/f0ef5a2036d4876ae8f4d4477676da968a032d01/codex-3000/compositions/Industrie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https://github.com/darknigthmare/deadwall-last-enclosure/blob/f0ef5a2036d4876ae8f4d4477676da968a032d01/codex-3000/compositions/Industrie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https://github.com/darknigthmare/deadwall-last-enclosure/blob/f0ef5a2036d4876ae8f4d4477676da968a032d01/codex-3000/compositions/Industrie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https://github.com/darknigthmare/deadwall-last-enclosure/blob/f0ef5a2036d4876ae8f4d4477676da968a032d01/codex-3000/compositions/Industrie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https://github.com/darknigthmare/deadwall-last-enclosure/blob/f0ef5a2036d4876ae8f4d4477676da968a032d01/codex-3000/compositions/Industrie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https://github.com/darknigthmare/deadwall-last-enclosure/blob/f0ef5a2036d4876ae8f4d4477676da968a032d01/codex-3000/compositions/Industrie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https://github.com/darknigthmare/deadwall-last-enclosure/blob/f0ef5a2036d4876ae8f4d4477676da968a032d01/codex-3000/compositions/Industrie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https://github.com/darknigthmare/deadwall-last-enclosure/blob/f0ef5a2036d4876ae8f4d4477676da968a032d01/codex-3000/compositions/Industrie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https://github.com/darknigthmare/deadwall-last-enclosure/blob/f0ef5a2036d4876ae8f4d4477676da968a032d01/codex-3000/compositions/Industrie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https://github.com/darknigthmare/deadwall-last-enclosure/blob/f0ef5a2036d4876ae8f4d4477676da968a032d01/codex-3000/compositions/Énergie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https://github.com/darknigthmare/deadwall-last-enclosure/blob/f0ef5a2036d4876ae8f4d4477676da968a032d01/codex-3000/compositions/Énergie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https://github.com/darknigthmare/deadwall-last-enclosure/blob/f0ef5a2036d4876ae8f4d4477676da968a032d01/codex-3000/compositions/Énergie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https://github.com/darknigthmare/deadwall-last-enclosure/blob/f0ef5a2036d4876ae8f4d4477676da968a032d01/codex-3000/compositions/Énergie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https://github.com/darknigthmare/deadwall-last-enclosure/blob/f0ef5a2036d4876ae8f4d4477676da968a032d01/codex-3000/compositions/Énergie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https://github.com/darknigthmare/deadwall-last-enclosure/blob/f0ef5a2036d4876ae8f4d4477676da968a032d01/codex-3000/compositions/Énergie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https://github.com/darknigthmare/deadwall-last-enclosure/blob/f0ef5a2036d4876ae8f4d4477676da968a032d01/codex-3000/compositions/Énergie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https://github.com/darknigthmare/deadwall-last-enclosure/blob/f0ef5a2036d4876ae8f4d4477676da968a032d01/codex-3000/compositions/Énergie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https://github.com/darknigthmare/deadwall-last-enclosure/blob/f0ef5a2036d4876ae8f4d4477676da968a032d01/codex-3000/compositions/Énergie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https://github.com/darknigthmare/deadwall-last-enclosure/blob/f0ef5a2036d4876ae8f4d4477676da968a032d01/codex-3000/compositions/Énergie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https://github.com/darknigthmare/deadwall-last-enclosure/blob/f0ef5a2036d4876ae8f4d4477676da968a032d01/codex-3000/compositions/Énergie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https://github.com/darknigthmare/deadwall-last-enclosure/blob/f0ef5a2036d4876ae8f4d4477676da968a032d01/codex-3000/compositions/Énergie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https://github.com/darknigthmare/deadwall-last-enclosure/blob/f0ef5a2036d4876ae8f4d4477676da968a032d01/codex-3000/compositions/Énergie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https://github.com/darknigthmare/deadwall-last-enclosure/blob/f0ef5a2036d4876ae8f4d4477676da968a032d01/codex-3000/compositions/Énergie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https://github.com/darknigthmare/deadwall-last-enclosure/blob/f0ef5a2036d4876ae8f4d4477676da968a032d01/codex-3000/compositions/Énergie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https://github.com/darknigthmare/deadwall-last-enclosure/blob/f0ef5a2036d4876ae8f4d4477676da968a032d01/codex-3000/compositions/Énergie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https://github.com/darknigthmare/deadwall-last-enclosure/blob/f0ef5a2036d4876ae8f4d4477676da968a032d01/codex-3000/compositions/Énergie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https://github.com/darknigthmare/deadwall-last-enclosure/blob/f0ef5a2036d4876ae8f4d4477676da968a032d01/codex-3000/compositions/Énergie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https://github.com/darknigthmare/deadwall-last-enclosure/blob/f0ef5a2036d4876ae8f4d4477676da968a032d01/codex-3000/compositions/Énergie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https://github.com/darknigthmare/deadwall-last-enclosure/blob/f0ef5a2036d4876ae8f4d4477676da968a032d01/codex-3000/compositions/Énergie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https://github.com/darknigthmare/deadwall-last-enclosure/blob/f0ef5a2036d4876ae8f4d4477676da968a032d01/codex-3000/compositions/Énergie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https://github.com/darknigthmare/deadwall-last-enclosure/blob/f0ef5a2036d4876ae8f4d4477676da968a032d01/codex-3000/compositions/Énergie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https://github.com/darknigthmare/deadwall-last-enclosure/blob/f0ef5a2036d4876ae8f4d4477676da968a032d01/codex-3000/compositions/Énergie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https://github.com/darknigthmare/deadwall-last-enclosure/blob/f0ef5a2036d4876ae8f4d4477676da968a032d01/codex-3000/compositions/Énergie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https://github.com/darknigthmare/deadwall-last-enclosure/blob/f0ef5a2036d4876ae8f4d4477676da968a032d01/codex-3000/compositions/Énergie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https://github.com/darknigthmare/deadwall-last-enclosure/blob/f0ef5a2036d4876ae8f4d4477676da968a032d01/codex-3000/compositions/Énergie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https://github.com/darknigthmare/deadwall-last-enclosure/blob/f0ef5a2036d4876ae8f4d4477676da968a032d01/codex-3000/compositions/Énergie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https://github.com/darknigthmare/deadwall-last-enclosure/blob/f0ef5a2036d4876ae8f4d4477676da968a032d01/codex-3000/compositions/Énergie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https://github.com/darknigthmare/deadwall-last-enclosure/blob/f0ef5a2036d4876ae8f4d4477676da968a032d01/codex-3000/compositions/Énergie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https://github.com/darknigthmare/deadwall-last-enclosure/blob/f0ef5a2036d4876ae8f4d4477676da968a032d01/codex-3000/compositions/Énergie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https://github.com/darknigthmare/deadwall-last-enclosure/blob/f0ef5a2036d4876ae8f4d4477676da968a032d01/codex-3000/compositions/Énergie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https://github.com/darknigthmare/deadwall-last-enclosure/blob/f0ef5a2036d4876ae8f4d4477676da968a032d01/codex-3000/compositions/Énergie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https://github.com/darknigthmare/deadwall-last-enclosure/blob/f0ef5a2036d4876ae8f4d4477676da968a032d01/codex-3000/compositions/Énergie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https://github.com/darknigthmare/deadwall-last-enclosure/blob/f0ef5a2036d4876ae8f4d4477676da968a032d01/codex-3000/compositions/Énergie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https://github.com/darknigthmare/deadwall-last-enclosure/blob/f0ef5a2036d4876ae8f4d4477676da968a032d01/codex-3000/compositions/Énergie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https://github.com/darknigthmare/deadwall-last-enclosure/blob/f0ef5a2036d4876ae8f4d4477676da968a032d01/codex-3000/compositions/Énergie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https://github.com/darknigthmare/deadwall-last-enclosure/blob/f0ef5a2036d4876ae8f4d4477676da968a032d01/codex-3000/compositions/Énergie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https://github.com/darknigthmare/deadwall-last-enclosure/blob/f0ef5a2036d4876ae8f4d4477676da968a032d01/codex-3000/compositions/Énergie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https://github.com/darknigthmare/deadwall-last-enclosure/blob/f0ef5a2036d4876ae8f4d4477676da968a032d01/codex-3000/compositions/Énergie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https://github.com/darknigthmare/deadwall-last-enclosure/blob/f0ef5a2036d4876ae8f4d4477676da968a032d01/codex-3000/compositions/Énergie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https://github.com/darknigthmare/deadwall-last-enclosure/blob/f0ef5a2036d4876ae8f4d4477676da968a032d01/codex-3000/compositions/Eau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https://github.com/darknigthmare/deadwall-last-enclosure/blob/f0ef5a2036d4876ae8f4d4477676da968a032d01/codex-3000/compositions/Eau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https://github.com/darknigthmare/deadwall-last-enclosure/blob/f0ef5a2036d4876ae8f4d4477676da968a032d01/codex-3000/compositions/Eau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https://github.com/darknigthmare/deadwall-last-enclosure/blob/f0ef5a2036d4876ae8f4d4477676da968a032d01/codex-3000/compositions/Eau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https://github.com/darknigthmare/deadwall-last-enclosure/blob/f0ef5a2036d4876ae8f4d4477676da968a032d01/codex-3000/compositions/Eau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https://github.com/darknigthmare/deadwall-last-enclosure/blob/f0ef5a2036d4876ae8f4d4477676da968a032d01/codex-3000/compositions/Eau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https://github.com/darknigthmare/deadwall-last-enclosure/blob/f0ef5a2036d4876ae8f4d4477676da968a032d01/codex-3000/compositions/Eau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https://github.com/darknigthmare/deadwall-last-enclosure/blob/f0ef5a2036d4876ae8f4d4477676da968a032d01/codex-3000/compositions/Eau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https://github.com/darknigthmare/deadwall-last-enclosure/blob/f0ef5a2036d4876ae8f4d4477676da968a032d01/codex-3000/compositions/Eau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https://github.com/darknigthmare/deadwall-last-enclosure/blob/f0ef5a2036d4876ae8f4d4477676da968a032d01/codex-3000/compositions/Eau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https://github.com/darknigthmare/deadwall-last-enclosure/blob/f0ef5a2036d4876ae8f4d4477676da968a032d01/codex-3000/compositions/Eau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https://github.com/darknigthmare/deadwall-last-enclosure/blob/f0ef5a2036d4876ae8f4d4477676da968a032d01/codex-3000/compositions/Eau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https://github.com/darknigthmare/deadwall-last-enclosure/blob/f0ef5a2036d4876ae8f4d4477676da968a032d01/codex-3000/compositions/Eau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https://github.com/darknigthmare/deadwall-last-enclosure/blob/f0ef5a2036d4876ae8f4d4477676da968a032d01/codex-3000/compositions/Eau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https://github.com/darknigthmare/deadwall-last-enclosure/blob/f0ef5a2036d4876ae8f4d4477676da968a032d01/codex-3000/compositions/Eau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https://github.com/darknigthmare/deadwall-last-enclosure/blob/f0ef5a2036d4876ae8f4d4477676da968a032d01/codex-3000/compositions/Eau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https://github.com/darknigthmare/deadwall-last-enclosure/blob/f0ef5a2036d4876ae8f4d4477676da968a032d01/codex-3000/compositions/Eau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https://github.com/darknigthmare/deadwall-last-enclosure/blob/f0ef5a2036d4876ae8f4d4477676da968a032d01/codex-3000/compositions/Eau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https://github.com/darknigthmare/deadwall-last-enclosure/blob/f0ef5a2036d4876ae8f4d4477676da968a032d01/codex-3000/compositions/Eau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https://github.com/darknigthmare/deadwall-last-enclosure/blob/f0ef5a2036d4876ae8f4d4477676da968a032d01/codex-3000/compositions/Eau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https://github.com/darknigthmare/deadwall-last-enclosure/blob/f0ef5a2036d4876ae8f4d4477676da968a032d01/codex-3000/compositions/Eau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https://github.com/darknigthmare/deadwall-last-enclosure/blob/f0ef5a2036d4876ae8f4d4477676da968a032d01/codex-3000/compositions/Eau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https://github.com/darknigthmare/deadwall-last-enclosure/blob/f0ef5a2036d4876ae8f4d4477676da968a032d01/codex-3000/compositions/Eau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https://github.com/darknigthmare/deadwall-last-enclosure/blob/f0ef5a2036d4876ae8f4d4477676da968a032d01/codex-3000/compositions/Eau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https://github.com/darknigthmare/deadwall-last-enclosure/blob/f0ef5a2036d4876ae8f4d4477676da968a032d01/codex-3000/compositions/Eau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https://github.com/darknigthmare/deadwall-last-enclosure/blob/f0ef5a2036d4876ae8f4d4477676da968a032d01/codex-3000/compositions/Eau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https://github.com/darknigthmare/deadwall-last-enclosure/blob/f0ef5a2036d4876ae8f4d4477676da968a032d01/codex-3000/compositions/Eau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https://github.com/darknigthmare/deadwall-last-enclosure/blob/f0ef5a2036d4876ae8f4d4477676da968a032d01/codex-3000/compositions/Eau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https://github.com/darknigthmare/deadwall-last-enclosure/blob/f0ef5a2036d4876ae8f4d4477676da968a032d01/codex-3000/compositions/Eau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https://github.com/darknigthmare/deadwall-last-enclosure/blob/f0ef5a2036d4876ae8f4d4477676da968a032d01/codex-3000/compositions/Eau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https://github.com/darknigthmare/deadwall-last-enclosure/blob/f0ef5a2036d4876ae8f4d4477676da968a032d01/codex-3000/compositions/Eau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https://github.com/darknigthmare/deadwall-last-enclosure/blob/f0ef5a2036d4876ae8f4d4477676da968a032d01/codex-3000/compositions/Eau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https://github.com/darknigthmare/deadwall-last-enclosure/blob/f0ef5a2036d4876ae8f4d4477676da968a032d01/codex-3000/compositions/Eau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https://github.com/darknigthmare/deadwall-last-enclosure/blob/f0ef5a2036d4876ae8f4d4477676da968a032d01/codex-3000/compositions/Eau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https://github.com/darknigthmare/deadwall-last-enclosure/blob/f0ef5a2036d4876ae8f4d4477676da968a032d01/codex-3000/compositions/Eau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https://github.com/darknigthmare/deadwall-last-enclosure/blob/f0ef5a2036d4876ae8f4d4477676da968a032d01/codex-3000/compositions/Eau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https://github.com/darknigthmare/deadwall-last-enclosure/blob/f0ef5a2036d4876ae8f4d4477676da968a032d01/codex-3000/compositions/Eau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https://github.com/darknigthmare/deadwall-last-enclosure/blob/f0ef5a2036d4876ae8f4d4477676da968a032d01/codex-3000/compositions/Eau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https://github.com/darknigthmare/deadwall-last-enclosure/blob/f0ef5a2036d4876ae8f4d4477676da968a032d01/codex-3000/compositions/Eau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https://github.com/darknigthmare/deadwall-last-enclosure/blob/f0ef5a2036d4876ae8f4d4477676da968a032d01/codex-3000/compositions/Eau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https://github.com/darknigthmare/deadwall-last-enclosure/blob/f0ef5a2036d4876ae8f4d4477676da968a032d01/codex-3000/compositions/Agriculture/DW-1721.md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https://github.com/darknigthmare/deadwall-last-enclosure/blob/f0ef5a2036d4876ae8f4d4477676da968a032d01/codex-3000/compositions/Agriculture/DW-1722.md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https://github.com/darknigthmare/deadwall-last-enclosure/blob/f0ef5a2036d4876ae8f4d4477676da968a032d01/codex-3000/compositions/Agriculture/DW-1723.md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https://github.com/darknigthmare/deadwall-last-enclosure/blob/f0ef5a2036d4876ae8f4d4477676da968a032d01/codex-3000/compositions/Agriculture/DW-1724.md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https://github.com/darknigthmare/deadwall-last-enclosure/blob/f0ef5a2036d4876ae8f4d4477676da968a032d01/codex-3000/compositions/Agriculture/DW-1725.md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https://github.com/darknigthmare/deadwall-last-enclosure/blob/f0ef5a2036d4876ae8f4d4477676da968a032d01/codex-3000/compositions/Agriculture/DW-1726.md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https://github.com/darknigthmare/deadwall-last-enclosure/blob/f0ef5a2036d4876ae8f4d4477676da968a032d01/codex-3000/compositions/Agriculture/DW-1727.md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https://github.com/darknigthmare/deadwall-last-enclosure/blob/f0ef5a2036d4876ae8f4d4477676da968a032d01/codex-3000/compositions/Agriculture/DW-1728.md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https://github.com/darknigthmare/deadwall-last-enclosure/blob/f0ef5a2036d4876ae8f4d4477676da968a032d01/codex-3000/compositions/Agriculture/DW-1729.md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https://github.com/darknigthmare/deadwall-last-enclosure/blob/f0ef5a2036d4876ae8f4d4477676da968a032d01/codex-3000/compositions/Agriculture/DW-1730.md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https://github.com/darknigthmare/deadwall-last-enclosure/blob/f0ef5a2036d4876ae8f4d4477676da968a032d01/codex-3000/compositions/Agriculture/DW-1731.md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https://github.com/darknigthmare/deadwall-last-enclosure/blob/f0ef5a2036d4876ae8f4d4477676da968a032d01/codex-3000/compositions/Agriculture/DW-1732.md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https://github.com/darknigthmare/deadwall-last-enclosure/blob/f0ef5a2036d4876ae8f4d4477676da968a032d01/codex-3000/compositions/Agriculture/DW-1733.md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https://github.com/darknigthmare/deadwall-last-enclosure/blob/f0ef5a2036d4876ae8f4d4477676da968a032d01/codex-3000/compositions/Agriculture/DW-1734.md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https://github.com/darknigthmare/deadwall-last-enclosure/blob/f0ef5a2036d4876ae8f4d4477676da968a032d01/codex-3000/compositions/Agriculture/DW-1735.md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https://github.com/darknigthmare/deadwall-last-enclosure/blob/f0ef5a2036d4876ae8f4d4477676da968a032d01/codex-3000/compositions/Agriculture/DW-1736.md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https://github.com/darknigthmare/deadwall-last-enclosure/blob/f0ef5a2036d4876ae8f4d4477676da968a032d01/codex-3000/compositions/Agriculture/DW-1737.md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https://github.com/darknigthmare/deadwall-last-enclosure/blob/f0ef5a2036d4876ae8f4d4477676da968a032d01/codex-3000/compositions/Agriculture/DW-1738.md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https://github.com/darknigthmare/deadwall-last-enclosure/blob/f0ef5a2036d4876ae8f4d4477676da968a032d01/codex-3000/compositions/Agriculture/DW-1739.md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https://github.com/darknigthmare/deadwall-last-enclosure/blob/f0ef5a2036d4876ae8f4d4477676da968a032d01/codex-3000/compositions/Agriculture/DW-1740.md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https://github.com/darknigthmare/deadwall-last-enclosure/blob/f0ef5a2036d4876ae8f4d4477676da968a032d01/codex-3000/compositions/Agriculture/DW-1741.md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https://github.com/darknigthmare/deadwall-last-enclosure/blob/f0ef5a2036d4876ae8f4d4477676da968a032d01/codex-3000/compositions/Agriculture/DW-1742.md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https://github.com/darknigthmare/deadwall-last-enclosure/blob/f0ef5a2036d4876ae8f4d4477676da968a032d01/codex-3000/compositions/Agriculture/DW-1743.md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https://github.com/darknigthmare/deadwall-last-enclosure/blob/f0ef5a2036d4876ae8f4d4477676da968a032d01/codex-3000/compositions/Agriculture/DW-1744.md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https://github.com/darknigthmare/deadwall-last-enclosure/blob/f0ef5a2036d4876ae8f4d4477676da968a032d01/codex-3000/compositions/Agriculture/DW-1745.md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https://github.com/darknigthmare/deadwall-last-enclosure/blob/f0ef5a2036d4876ae8f4d4477676da968a032d01/codex-3000/compositions/Agriculture/DW-1746.md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https://github.com/darknigthmare/deadwall-last-enclosure/blob/f0ef5a2036d4876ae8f4d4477676da968a032d01/codex-3000/compositions/Agriculture/DW-1747.md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https://github.com/darknigthmare/deadwall-last-enclosure/blob/f0ef5a2036d4876ae8f4d4477676da968a032d01/codex-3000/compositions/Agriculture/DW-1748.md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https://github.com/darknigthmare/deadwall-last-enclosure/blob/f0ef5a2036d4876ae8f4d4477676da968a032d01/codex-3000/compositions/Agriculture/DW-1749.md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https://github.com/darknigthmare/deadwall-last-enclosure/blob/f0ef5a2036d4876ae8f4d4477676da968a032d01/codex-3000/compositions/Agriculture/DW-1750.md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https://github.com/darknigthmare/deadwall-last-enclosure/blob/f0ef5a2036d4876ae8f4d4477676da968a032d01/codex-3000/compositions/Agriculture/DW-1751.md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https://github.com/darknigthmare/deadwall-last-enclosure/blob/f0ef5a2036d4876ae8f4d4477676da968a032d01/codex-3000/compositions/Agriculture/DW-1752.md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https://github.com/darknigthmare/deadwall-last-enclosure/blob/f0ef5a2036d4876ae8f4d4477676da968a032d01/codex-3000/compositions/Agriculture/DW-1753.md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https://github.com/darknigthmare/deadwall-last-enclosure/blob/f0ef5a2036d4876ae8f4d4477676da968a032d01/codex-3000/compositions/Agriculture/DW-1754.md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https://github.com/darknigthmare/deadwall-last-enclosure/blob/f0ef5a2036d4876ae8f4d4477676da968a032d01/codex-3000/compositions/Agriculture/DW-1755.md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https://github.com/darknigthmare/deadwall-last-enclosure/blob/f0ef5a2036d4876ae8f4d4477676da968a032d01/codex-3000/compositions/Agriculture/DW-1756.md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https://github.com/darknigthmare/deadwall-last-enclosure/blob/f0ef5a2036d4876ae8f4d4477676da968a032d01/codex-3000/compositions/Agriculture/DW-1757.md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https://github.com/darknigthmare/deadwall-last-enclosure/blob/f0ef5a2036d4876ae8f4d4477676da968a032d01/codex-3000/compositions/Agriculture/DW-1758.md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https://github.com/darknigthmare/deadwall-last-enclosure/blob/f0ef5a2036d4876ae8f4d4477676da968a032d01/codex-3000/compositions/Agriculture/DW-1759.md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https://github.com/darknigthmare/deadwall-last-enclosure/blob/f0ef5a2036d4876ae8f4d4477676da968a032d01/codex-3000/compositions/Agriculture/DW-1760.md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https://github.com/darknigthmare/deadwall-last-enclosure/blob/f0ef5a2036d4876ae8f4d4477676da968a032d01/codex-3000/compositions/Forêts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https://github.com/darknigthmare/deadwall-last-enclosure/blob/f0ef5a2036d4876ae8f4d4477676da968a032d01/codex-3000/compositions/Forêts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https://github.com/darknigthmare/deadwall-last-enclosure/blob/f0ef5a2036d4876ae8f4d4477676da968a032d01/codex-3000/compositions/Forêts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https://github.com/darknigthmare/deadwall-last-enclosure/blob/f0ef5a2036d4876ae8f4d4477676da968a032d01/codex-3000/compositions/Forêts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https://github.com/darknigthmare/deadwall-last-enclosure/blob/f0ef5a2036d4876ae8f4d4477676da968a032d01/codex-3000/compositions/Forêts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https://github.com/darknigthmare/deadwall-last-enclosure/blob/f0ef5a2036d4876ae8f4d4477676da968a032d01/codex-3000/compositions/Forêts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https://github.com/darknigthmare/deadwall-last-enclosure/blob/f0ef5a2036d4876ae8f4d4477676da968a032d01/codex-3000/compositions/Forêts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https://github.com/darknigthmare/deadwall-last-enclosure/blob/f0ef5a2036d4876ae8f4d4477676da968a032d01/codex-3000/compositions/Forêts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https://github.com/darknigthmare/deadwall-last-enclosure/blob/f0ef5a2036d4876ae8f4d4477676da968a032d01/codex-3000/compositions/Forêts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https://github.com/darknigthmare/deadwall-last-enclosure/blob/f0ef5a2036d4876ae8f4d4477676da968a032d01/codex-3000/compositions/Forêts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https://github.com/darknigthmare/deadwall-last-enclosure/blob/f0ef5a2036d4876ae8f4d4477676da968a032d01/codex-3000/compositions/Forêts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https://github.com/darknigthmare/deadwall-last-enclosure/blob/f0ef5a2036d4876ae8f4d4477676da968a032d01/codex-3000/compositions/Forêts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https://github.com/darknigthmare/deadwall-last-enclosure/blob/f0ef5a2036d4876ae8f4d4477676da968a032d01/codex-3000/compositions/Forêts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https://github.com/darknigthmare/deadwall-last-enclosure/blob/f0ef5a2036d4876ae8f4d4477676da968a032d01/codex-3000/compositions/Forêts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https://github.com/darknigthmare/deadwall-last-enclosure/blob/f0ef5a2036d4876ae8f4d4477676da968a032d01/codex-3000/compositions/Forêts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https://github.com/darknigthmare/deadwall-last-enclosure/blob/f0ef5a2036d4876ae8f4d4477676da968a032d01/codex-3000/compositions/Forêts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https://github.com/darknigthmare/deadwall-last-enclosure/blob/f0ef5a2036d4876ae8f4d4477676da968a032d01/codex-3000/compositions/Forêts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https://github.com/darknigthmare/deadwall-last-enclosure/blob/f0ef5a2036d4876ae8f4d4477676da968a032d01/codex-3000/compositions/Forêts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https://github.com/darknigthmare/deadwall-last-enclosure/blob/f0ef5a2036d4876ae8f4d4477676da968a032d01/codex-3000/compositions/Forêts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https://github.com/darknigthmare/deadwall-last-enclosure/blob/f0ef5a2036d4876ae8f4d4477676da968a032d01/codex-3000/compositions/Forêts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https://github.com/darknigthmare/deadwall-last-enclosure/blob/f0ef5a2036d4876ae8f4d4477676da968a032d01/codex-3000/compositions/Forêts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https://github.com/darknigthmare/deadwall-last-enclosure/blob/f0ef5a2036d4876ae8f4d4477676da968a032d01/codex-3000/compositions/Forêts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https://github.com/darknigthmare/deadwall-last-enclosure/blob/f0ef5a2036d4876ae8f4d4477676da968a032d01/codex-3000/compositions/Forêts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https://github.com/darknigthmare/deadwall-last-enclosure/blob/f0ef5a2036d4876ae8f4d4477676da968a032d01/codex-3000/compositions/Forêts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https://github.com/darknigthmare/deadwall-last-enclosure/blob/f0ef5a2036d4876ae8f4d4477676da968a032d01/codex-3000/compositions/Forêts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https://github.com/darknigthmare/deadwall-last-enclosure/blob/f0ef5a2036d4876ae8f4d4477676da968a032d01/codex-3000/compositions/Forêts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https://github.com/darknigthmare/deadwall-last-enclosure/blob/f0ef5a2036d4876ae8f4d4477676da968a032d01/codex-3000/compositions/Forêts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https://github.com/darknigthmare/deadwall-last-enclosure/blob/f0ef5a2036d4876ae8f4d4477676da968a032d01/codex-3000/compositions/Forêts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https://github.com/darknigthmare/deadwall-last-enclosure/blob/f0ef5a2036d4876ae8f4d4477676da968a032d01/codex-3000/compositions/Forêts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https://github.com/darknigthmare/deadwall-last-enclosure/blob/f0ef5a2036d4876ae8f4d4477676da968a032d01/codex-3000/compositions/Forêts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https://github.com/darknigthmare/deadwall-last-enclosure/blob/f0ef5a2036d4876ae8f4d4477676da968a032d01/codex-3000/compositions/Forêts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https://github.com/darknigthmare/deadwall-last-enclosure/blob/f0ef5a2036d4876ae8f4d4477676da968a032d01/codex-3000/compositions/Forêts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https://github.com/darknigthmare/deadwall-last-enclosure/blob/f0ef5a2036d4876ae8f4d4477676da968a032d01/codex-3000/compositions/Forêts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https://github.com/darknigthmare/deadwall-last-enclosure/blob/f0ef5a2036d4876ae8f4d4477676da968a032d01/codex-3000/compositions/Forêts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https://github.com/darknigthmare/deadwall-last-enclosure/blob/f0ef5a2036d4876ae8f4d4477676da968a032d01/codex-3000/compositions/Forêts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https://github.com/darknigthmare/deadwall-last-enclosure/blob/f0ef5a2036d4876ae8f4d4477676da968a032d01/codex-3000/compositions/Forêts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https://github.com/darknigthmare/deadwall-last-enclosure/blob/f0ef5a2036d4876ae8f4d4477676da968a032d01/codex-3000/compositions/Forêts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https://github.com/darknigthmare/deadwall-last-enclosure/blob/f0ef5a2036d4876ae8f4d4477676da968a032d01/codex-3000/compositions/Forêts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https://github.com/darknigthmare/deadwall-last-enclosure/blob/f0ef5a2036d4876ae8f4d4477676da968a032d01/codex-3000/compositions/Forêts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https://github.com/darknigthmare/deadwall-last-enclosure/blob/f0ef5a2036d4876ae8f4d4477676da968a032d01/codex-3000/compositions/Forêts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https://github.com/darknigthmare/deadwall-last-enclosure/blob/f0ef5a2036d4876ae8f4d4477676da968a032d01/codex-3000/compositions/Mines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https://github.com/darknigthmare/deadwall-last-enclosure/blob/f0ef5a2036d4876ae8f4d4477676da968a032d01/codex-3000/compositions/Mines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https://github.com/darknigthmare/deadwall-last-enclosure/blob/f0ef5a2036d4876ae8f4d4477676da968a032d01/codex-3000/compositions/Mines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https://github.com/darknigthmare/deadwall-last-enclosure/blob/f0ef5a2036d4876ae8f4d4477676da968a032d01/codex-3000/compositions/Mines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https://github.com/darknigthmare/deadwall-last-enclosure/blob/f0ef5a2036d4876ae8f4d4477676da968a032d01/codex-3000/compositions/Mines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https://github.com/darknigthmare/deadwall-last-enclosure/blob/f0ef5a2036d4876ae8f4d4477676da968a032d01/codex-3000/compositions/Mines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https://github.com/darknigthmare/deadwall-last-enclosure/blob/f0ef5a2036d4876ae8f4d4477676da968a032d01/codex-3000/compositions/Mines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https://github.com/darknigthmare/deadwall-last-enclosure/blob/f0ef5a2036d4876ae8f4d4477676da968a032d01/codex-3000/compositions/Mines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https://github.com/darknigthmare/deadwall-last-enclosure/blob/f0ef5a2036d4876ae8f4d4477676da968a032d01/codex-3000/compositions/Mines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https://github.com/darknigthmare/deadwall-last-enclosure/blob/f0ef5a2036d4876ae8f4d4477676da968a032d01/codex-3000/compositions/Mines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https://github.com/darknigthmare/deadwall-last-enclosure/blob/f0ef5a2036d4876ae8f4d4477676da968a032d01/codex-3000/compositions/Mines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https://github.com/darknigthmare/deadwall-last-enclosure/blob/f0ef5a2036d4876ae8f4d4477676da968a032d01/codex-3000/compositions/Mines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https://github.com/darknigthmare/deadwall-last-enclosure/blob/f0ef5a2036d4876ae8f4d4477676da968a032d01/codex-3000/compositions/Mines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https://github.com/darknigthmare/deadwall-last-enclosure/blob/f0ef5a2036d4876ae8f4d4477676da968a032d01/codex-3000/compositions/Mines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https://github.com/darknigthmare/deadwall-last-enclosure/blob/f0ef5a2036d4876ae8f4d4477676da968a032d01/codex-3000/compositions/Mines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https://github.com/darknigthmare/deadwall-last-enclosure/blob/f0ef5a2036d4876ae8f4d4477676da968a032d01/codex-3000/compositions/Mines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https://github.com/darknigthmare/deadwall-last-enclosure/blob/f0ef5a2036d4876ae8f4d4477676da968a032d01/codex-3000/compositions/Mines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https://github.com/darknigthmare/deadwall-last-enclosure/blob/f0ef5a2036d4876ae8f4d4477676da968a032d01/codex-3000/compositions/Mines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https://github.com/darknigthmare/deadwall-last-enclosure/blob/f0ef5a2036d4876ae8f4d4477676da968a032d01/codex-3000/compositions/Mines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https://github.com/darknigthmare/deadwall-last-enclosure/blob/f0ef5a2036d4876ae8f4d4477676da968a032d01/codex-3000/compositions/Mines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https://github.com/darknigthmare/deadwall-last-enclosure/blob/f0ef5a2036d4876ae8f4d4477676da968a032d01/codex-3000/compositions/Mines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https://github.com/darknigthmare/deadwall-last-enclosure/blob/f0ef5a2036d4876ae8f4d4477676da968a032d01/codex-3000/compositions/Mines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https://github.com/darknigthmare/deadwall-last-enclosure/blob/f0ef5a2036d4876ae8f4d4477676da968a032d01/codex-3000/compositions/Mines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https://github.com/darknigthmare/deadwall-last-enclosure/blob/f0ef5a2036d4876ae8f4d4477676da968a032d01/codex-3000/compositions/Mines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https://github.com/darknigthmare/deadwall-last-enclosure/blob/f0ef5a2036d4876ae8f4d4477676da968a032d01/codex-3000/compositions/Mines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https://github.com/darknigthmare/deadwall-last-enclosure/blob/f0ef5a2036d4876ae8f4d4477676da968a032d01/codex-3000/compositions/Mines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https://github.com/darknigthmare/deadwall-last-enclosure/blob/f0ef5a2036d4876ae8f4d4477676da968a032d01/codex-3000/compositions/Mines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https://github.com/darknigthmare/deadwall-last-enclosure/blob/f0ef5a2036d4876ae8f4d4477676da968a032d01/codex-3000/compositions/Mines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https://github.com/darknigthmare/deadwall-last-enclosure/blob/f0ef5a2036d4876ae8f4d4477676da968a032d01/codex-3000/compositions/Mines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https://github.com/darknigthmare/deadwall-last-enclosure/blob/f0ef5a2036d4876ae8f4d4477676da968a032d01/codex-3000/compositions/Mines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https://github.com/darknigthmare/deadwall-last-enclosure/blob/f0ef5a2036d4876ae8f4d4477676da968a032d01/codex-3000/compositions/Mines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https://github.com/darknigthmare/deadwall-last-enclosure/blob/f0ef5a2036d4876ae8f4d4477676da968a032d01/codex-3000/compositions/Mines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https://github.com/darknigthmare/deadwall-last-enclosure/blob/f0ef5a2036d4876ae8f4d4477676da968a032d01/codex-3000/compositions/Mines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https://github.com/darknigthmare/deadwall-last-enclosure/blob/f0ef5a2036d4876ae8f4d4477676da968a032d01/codex-3000/compositions/Mines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https://github.com/darknigthmare/deadwall-last-enclosure/blob/f0ef5a2036d4876ae8f4d4477676da968a032d01/codex-3000/compositions/Mines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https://github.com/darknigthmare/deadwall-last-enclosure/blob/f0ef5a2036d4876ae8f4d4477676da968a032d01/codex-3000/compositions/Mines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https://github.com/darknigthmare/deadwall-last-enclosure/blob/f0ef5a2036d4876ae8f4d4477676da968a032d01/codex-3000/compositions/Mines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https://github.com/darknigthmare/deadwall-last-enclosure/blob/f0ef5a2036d4876ae8f4d4477676da968a032d01/codex-3000/compositions/Mines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https://github.com/darknigthmare/deadwall-last-enclosure/blob/f0ef5a2036d4876ae8f4d4477676da968a032d01/codex-3000/compositions/Mines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https://github.com/darknigthmare/deadwall-last-enclosure/blob/f0ef5a2036d4876ae8f4d4477676da968a032d01/codex-3000/compositions/Mines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https://github.com/darknigthmare/deadwall-last-enclosure/blob/f0ef5a2036d4876ae8f4d4477676da968a032d01/codex-3000/compositions/Ports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https://github.com/darknigthmare/deadwall-last-enclosure/blob/f0ef5a2036d4876ae8f4d4477676da968a032d01/codex-3000/compositions/Ports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https://github.com/darknigthmare/deadwall-last-enclosure/blob/f0ef5a2036d4876ae8f4d4477676da968a032d01/codex-3000/compositions/Ports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https://github.com/darknigthmare/deadwall-last-enclosure/blob/f0ef5a2036d4876ae8f4d4477676da968a032d01/codex-3000/compositions/Ports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https://github.com/darknigthmare/deadwall-last-enclosure/blob/f0ef5a2036d4876ae8f4d4477676da968a032d01/codex-3000/compositions/Ports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https://github.com/darknigthmare/deadwall-last-enclosure/blob/f0ef5a2036d4876ae8f4d4477676da968a032d01/codex-3000/compositions/Ports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https://github.com/darknigthmare/deadwall-last-enclosure/blob/f0ef5a2036d4876ae8f4d4477676da968a032d01/codex-3000/compositions/Ports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https://github.com/darknigthmare/deadwall-last-enclosure/blob/f0ef5a2036d4876ae8f4d4477676da968a032d01/codex-3000/compositions/Ports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https://github.com/darknigthmare/deadwall-last-enclosure/blob/f0ef5a2036d4876ae8f4d4477676da968a032d01/codex-3000/compositions/Ports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https://github.com/darknigthmare/deadwall-last-enclosure/blob/f0ef5a2036d4876ae8f4d4477676da968a032d01/codex-3000/compositions/Ports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https://github.com/darknigthmare/deadwall-last-enclosure/blob/f0ef5a2036d4876ae8f4d4477676da968a032d01/codex-3000/compositions/Ports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https://github.com/darknigthmare/deadwall-last-enclosure/blob/f0ef5a2036d4876ae8f4d4477676da968a032d01/codex-3000/compositions/Ports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https://github.com/darknigthmare/deadwall-last-enclosure/blob/f0ef5a2036d4876ae8f4d4477676da968a032d01/codex-3000/compositions/Ports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https://github.com/darknigthmare/deadwall-last-enclosure/blob/f0ef5a2036d4876ae8f4d4477676da968a032d01/codex-3000/compositions/Ports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https://github.com/darknigthmare/deadwall-last-enclosure/blob/f0ef5a2036d4876ae8f4d4477676da968a032d01/codex-3000/compositions/Ports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https://github.com/darknigthmare/deadwall-last-enclosure/blob/f0ef5a2036d4876ae8f4d4477676da968a032d01/codex-3000/compositions/Ports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https://github.com/darknigthmare/deadwall-last-enclosure/blob/f0ef5a2036d4876ae8f4d4477676da968a032d01/codex-3000/compositions/Ports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https://github.com/darknigthmare/deadwall-last-enclosure/blob/f0ef5a2036d4876ae8f4d4477676da968a032d01/codex-3000/compositions/Ports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https://github.com/darknigthmare/deadwall-last-enclosure/blob/f0ef5a2036d4876ae8f4d4477676da968a032d01/codex-3000/compositions/Ports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https://github.com/darknigthmare/deadwall-last-enclosure/blob/f0ef5a2036d4876ae8f4d4477676da968a032d01/codex-3000/compositions/Ports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https://github.com/darknigthmare/deadwall-last-enclosure/blob/f0ef5a2036d4876ae8f4d4477676da968a032d01/codex-3000/compositions/Ports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https://github.com/darknigthmare/deadwall-last-enclosure/blob/f0ef5a2036d4876ae8f4d4477676da968a032d01/codex-3000/compositions/Ports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https://github.com/darknigthmare/deadwall-last-enclosure/blob/f0ef5a2036d4876ae8f4d4477676da968a032d01/codex-3000/compositions/Ports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https://github.com/darknigthmare/deadwall-last-enclosure/blob/f0ef5a2036d4876ae8f4d4477676da968a032d01/codex-3000/compositions/Ports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https://github.com/darknigthmare/deadwall-last-enclosure/blob/f0ef5a2036d4876ae8f4d4477676da968a032d01/codex-3000/compositions/Ports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https://github.com/darknigthmare/deadwall-last-enclosure/blob/f0ef5a2036d4876ae8f4d4477676da968a032d01/codex-3000/compositions/Ports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https://github.com/darknigthmare/deadwall-last-enclosure/blob/f0ef5a2036d4876ae8f4d4477676da968a032d01/codex-3000/compositions/Ports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https://github.com/darknigthmare/deadwall-last-enclosure/blob/f0ef5a2036d4876ae8f4d4477676da968a032d01/codex-3000/compositions/Ports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https://github.com/darknigthmare/deadwall-last-enclosure/blob/f0ef5a2036d4876ae8f4d4477676da968a032d01/codex-3000/compositions/Ports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https://github.com/darknigthmare/deadwall-last-enclosure/blob/f0ef5a2036d4876ae8f4d4477676da968a032d01/codex-3000/compositions/Ports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https://github.com/darknigthmare/deadwall-last-enclosure/blob/f0ef5a2036d4876ae8f4d4477676da968a032d01/codex-3000/compositions/Ports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https://github.com/darknigthmare/deadwall-last-enclosure/blob/f0ef5a2036d4876ae8f4d4477676da968a032d01/codex-3000/compositions/Ports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https://github.com/darknigthmare/deadwall-last-enclosure/blob/f0ef5a2036d4876ae8f4d4477676da968a032d01/codex-3000/compositions/Ports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https://github.com/darknigthmare/deadwall-last-enclosure/blob/f0ef5a2036d4876ae8f4d4477676da968a032d01/codex-3000/compositions/Ports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https://github.com/darknigthmare/deadwall-last-enclosure/blob/f0ef5a2036d4876ae8f4d4477676da968a032d01/codex-3000/compositions/Ports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https://github.com/darknigthmare/deadwall-last-enclosure/blob/f0ef5a2036d4876ae8f4d4477676da968a032d01/codex-3000/compositions/Ports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https://github.com/darknigthmare/deadwall-last-enclosure/blob/f0ef5a2036d4876ae8f4d4477676da968a032d01/codex-3000/compositions/Ports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https://github.com/darknigthmare/deadwall-last-enclosure/blob/f0ef5a2036d4876ae8f4d4477676da968a032d01/codex-3000/compositions/Ports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https://github.com/darknigthmare/deadwall-last-enclosure/blob/f0ef5a2036d4876ae8f4d4477676da968a032d01/codex-3000/compositions/Ports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https://github.com/darknigthmare/deadwall-last-enclosure/blob/f0ef5a2036d4876ae8f4d4477676da968a032d01/codex-3000/compositions/Ports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https://github.com/darknigthmare/deadwall-last-enclosure/blob/f0ef5a2036d4876ae8f4d4477676da968a032d01/codex-3000/compositions/Loisirs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https://github.com/darknigthmare/deadwall-last-enclosure/blob/f0ef5a2036d4876ae8f4d4477676da968a032d01/codex-3000/compositions/Loisirs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https://github.com/darknigthmare/deadwall-last-enclosure/blob/f0ef5a2036d4876ae8f4d4477676da968a032d01/codex-3000/compositions/Loisirs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https://github.com/darknigthmare/deadwall-last-enclosure/blob/f0ef5a2036d4876ae8f4d4477676da968a032d01/codex-3000/compositions/Loisirs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https://github.com/darknigthmare/deadwall-last-enclosure/blob/f0ef5a2036d4876ae8f4d4477676da968a032d01/codex-3000/compositions/Loisirs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https://github.com/darknigthmare/deadwall-last-enclosure/blob/f0ef5a2036d4876ae8f4d4477676da968a032d01/codex-3000/compositions/Loisirs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https://github.com/darknigthmare/deadwall-last-enclosure/blob/f0ef5a2036d4876ae8f4d4477676da968a032d01/codex-3000/compositions/Loisirs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https://github.com/darknigthmare/deadwall-last-enclosure/blob/f0ef5a2036d4876ae8f4d4477676da968a032d01/codex-3000/compositions/Loisirs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https://github.com/darknigthmare/deadwall-last-enclosure/blob/f0ef5a2036d4876ae8f4d4477676da968a032d01/codex-3000/compositions/Loisirs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https://github.com/darknigthmare/deadwall-last-enclosure/blob/f0ef5a2036d4876ae8f4d4477676da968a032d01/codex-3000/compositions/Loisirs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https://github.com/darknigthmare/deadwall-last-enclosure/blob/f0ef5a2036d4876ae8f4d4477676da968a032d01/codex-3000/compositions/Loisirs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https://github.com/darknigthmare/deadwall-last-enclosure/blob/f0ef5a2036d4876ae8f4d4477676da968a032d01/codex-3000/compositions/Loisirs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https://github.com/darknigthmare/deadwall-last-enclosure/blob/f0ef5a2036d4876ae8f4d4477676da968a032d01/codex-3000/compositions/Loisirs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https://github.com/darknigthmare/deadwall-last-enclosure/blob/f0ef5a2036d4876ae8f4d4477676da968a032d01/codex-3000/compositions/Loisirs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https://github.com/darknigthmare/deadwall-last-enclosure/blob/f0ef5a2036d4876ae8f4d4477676da968a032d01/codex-3000/compositions/Loisirs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https://github.com/darknigthmare/deadwall-last-enclosure/blob/f0ef5a2036d4876ae8f4d4477676da968a032d01/codex-3000/compositions/Loisirs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https://github.com/darknigthmare/deadwall-last-enclosure/blob/f0ef5a2036d4876ae8f4d4477676da968a032d01/codex-3000/compositions/Loisirs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https://github.com/darknigthmare/deadwall-last-enclosure/blob/f0ef5a2036d4876ae8f4d4477676da968a032d01/codex-3000/compositions/Loisirs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https://github.com/darknigthmare/deadwall-last-enclosure/blob/f0ef5a2036d4876ae8f4d4477676da968a032d01/codex-3000/compositions/Loisirs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https://github.com/darknigthmare/deadwall-last-enclosure/blob/f0ef5a2036d4876ae8f4d4477676da968a032d01/codex-3000/compositions/Loisirs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https://github.com/darknigthmare/deadwall-last-enclosure/blob/f0ef5a2036d4876ae8f4d4477676da968a032d01/codex-3000/compositions/Loisirs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https://github.com/darknigthmare/deadwall-last-enclosure/blob/f0ef5a2036d4876ae8f4d4477676da968a032d01/codex-3000/compositions/Loisirs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https://github.com/darknigthmare/deadwall-last-enclosure/blob/f0ef5a2036d4876ae8f4d4477676da968a032d01/codex-3000/compositions/Loisirs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https://github.com/darknigthmare/deadwall-last-enclosure/blob/f0ef5a2036d4876ae8f4d4477676da968a032d01/codex-3000/compositions/Loisirs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https://github.com/darknigthmare/deadwall-last-enclosure/blob/f0ef5a2036d4876ae8f4d4477676da968a032d01/codex-3000/compositions/Loisirs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https://github.com/darknigthmare/deadwall-last-enclosure/blob/f0ef5a2036d4876ae8f4d4477676da968a032d01/codex-3000/compositions/Loisirs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https://github.com/darknigthmare/deadwall-last-enclosure/blob/f0ef5a2036d4876ae8f4d4477676da968a032d01/codex-3000/compositions/Loisirs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https://github.com/darknigthmare/deadwall-last-enclosure/blob/f0ef5a2036d4876ae8f4d4477676da968a032d01/codex-3000/compositions/Loisirs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https://github.com/darknigthmare/deadwall-last-enclosure/blob/f0ef5a2036d4876ae8f4d4477676da968a032d01/codex-3000/compositions/Loisirs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https://github.com/darknigthmare/deadwall-last-enclosure/blob/f0ef5a2036d4876ae8f4d4477676da968a032d01/codex-3000/compositions/Loisirs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https://github.com/darknigthmare/deadwall-last-enclosure/blob/f0ef5a2036d4876ae8f4d4477676da968a032d01/codex-3000/compositions/Loisirs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https://github.com/darknigthmare/deadwall-last-enclosure/blob/f0ef5a2036d4876ae8f4d4477676da968a032d01/codex-3000/compositions/Loisirs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https://github.com/darknigthmare/deadwall-last-enclosure/blob/f0ef5a2036d4876ae8f4d4477676da968a032d01/codex-3000/compositions/Loisirs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https://github.com/darknigthmare/deadwall-last-enclosure/blob/f0ef5a2036d4876ae8f4d4477676da968a032d01/codex-3000/compositions/Loisirs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https://github.com/darknigthmare/deadwall-last-enclosure/blob/f0ef5a2036d4876ae8f4d4477676da968a032d01/codex-3000/compositions/Loisirs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https://github.com/darknigthmare/deadwall-last-enclosure/blob/f0ef5a2036d4876ae8f4d4477676da968a032d01/codex-3000/compositions/Loisirs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https://github.com/darknigthmare/deadwall-last-enclosure/blob/f0ef5a2036d4876ae8f4d4477676da968a032d01/codex-3000/compositions/Loisirs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https://github.com/darknigthmare/deadwall-last-enclosure/blob/f0ef5a2036d4876ae8f4d4477676da968a032d01/codex-3000/compositions/Loisirs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https://github.com/darknigthmare/deadwall-last-enclosure/blob/f0ef5a2036d4876ae8f4d4477676da968a032d01/codex-3000/compositions/Loisirs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https://github.com/darknigthmare/deadwall-last-enclosure/blob/f0ef5a2036d4876ae8f4d4477676da968a032d01/codex-3000/compositions/Loisirs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https://github.com/darknigthmare/deadwall-last-enclosure/blob/f0ef5a2036d4876ae8f4d4477676da968a032d01/codex-3000/compositions/Quartiers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https://github.com/darknigthmare/deadwall-last-enclosure/blob/f0ef5a2036d4876ae8f4d4477676da968a032d01/codex-3000/compositions/Quartiers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https://github.com/darknigthmare/deadwall-last-enclosure/blob/f0ef5a2036d4876ae8f4d4477676da968a032d01/codex-3000/compositions/Quartiers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https://github.com/darknigthmare/deadwall-last-enclosure/blob/f0ef5a2036d4876ae8f4d4477676da968a032d01/codex-3000/compositions/Quartiers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https://github.com/darknigthmare/deadwall-last-enclosure/blob/f0ef5a2036d4876ae8f4d4477676da968a032d01/codex-3000/compositions/Quartiers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https://github.com/darknigthmare/deadwall-last-enclosure/blob/f0ef5a2036d4876ae8f4d4477676da968a032d01/codex-3000/compositions/Quartiers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https://github.com/darknigthmare/deadwall-last-enclosure/blob/f0ef5a2036d4876ae8f4d4477676da968a032d01/codex-3000/compositions/Quartiers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https://github.com/darknigthmare/deadwall-last-enclosure/blob/f0ef5a2036d4876ae8f4d4477676da968a032d01/codex-3000/compositions/Quartiers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https://github.com/darknigthmare/deadwall-last-enclosure/blob/f0ef5a2036d4876ae8f4d4477676da968a032d01/codex-3000/compositions/Quartiers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https://github.com/darknigthmare/deadwall-last-enclosure/blob/f0ef5a2036d4876ae8f4d4477676da968a032d01/codex-3000/compositions/Quartiers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https://github.com/darknigthmare/deadwall-last-enclosure/blob/f0ef5a2036d4876ae8f4d4477676da968a032d01/codex-3000/compositions/Quartiers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https://github.com/darknigthmare/deadwall-last-enclosure/blob/f0ef5a2036d4876ae8f4d4477676da968a032d01/codex-3000/compositions/Quartiers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https://github.com/darknigthmare/deadwall-last-enclosure/blob/f0ef5a2036d4876ae8f4d4477676da968a032d01/codex-3000/compositions/Quartiers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https://github.com/darknigthmare/deadwall-last-enclosure/blob/f0ef5a2036d4876ae8f4d4477676da968a032d01/codex-3000/compositions/Quartiers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https://github.com/darknigthmare/deadwall-last-enclosure/blob/f0ef5a2036d4876ae8f4d4477676da968a032d01/codex-3000/compositions/Quartiers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https://github.com/darknigthmare/deadwall-last-enclosure/blob/f0ef5a2036d4876ae8f4d4477676da968a032d01/codex-3000/compositions/Quartiers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https://github.com/darknigthmare/deadwall-last-enclosure/blob/f0ef5a2036d4876ae8f4d4477676da968a032d01/codex-3000/compositions/Quartiers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https://github.com/darknigthmare/deadwall-last-enclosure/blob/f0ef5a2036d4876ae8f4d4477676da968a032d01/codex-3000/compositions/Quartiers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https://github.com/darknigthmare/deadwall-last-enclosure/blob/f0ef5a2036d4876ae8f4d4477676da968a032d01/codex-3000/compositions/Quartiers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https://github.com/darknigthmare/deadwall-last-enclosure/blob/f0ef5a2036d4876ae8f4d4477676da968a032d01/codex-3000/compositions/Quartiers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https://github.com/darknigthmare/deadwall-last-enclosure/blob/f0ef5a2036d4876ae8f4d4477676da968a032d01/codex-3000/compositions/Quartiers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https://github.com/darknigthmare/deadwall-last-enclosure/blob/f0ef5a2036d4876ae8f4d4477676da968a032d01/codex-3000/compositions/Quartiers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https://github.com/darknigthmare/deadwall-last-enclosure/blob/f0ef5a2036d4876ae8f4d4477676da968a032d01/codex-3000/compositions/Quartiers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https://github.com/darknigthmare/deadwall-last-enclosure/blob/f0ef5a2036d4876ae8f4d4477676da968a032d01/codex-3000/compositions/Quartiers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https://github.com/darknigthmare/deadwall-last-enclosure/blob/f0ef5a2036d4876ae8f4d4477676da968a032d01/codex-3000/compositions/Quartiers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https://github.com/darknigthmare/deadwall-last-enclosure/blob/f0ef5a2036d4876ae8f4d4477676da968a032d01/codex-3000/compositions/Quartiers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https://github.com/darknigthmare/deadwall-last-enclosure/blob/f0ef5a2036d4876ae8f4d4477676da968a032d01/codex-3000/compositions/Quartiers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https://github.com/darknigthmare/deadwall-last-enclosure/blob/f0ef5a2036d4876ae8f4d4477676da968a032d01/codex-3000/compositions/Quartiers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https://github.com/darknigthmare/deadwall-last-enclosure/blob/f0ef5a2036d4876ae8f4d4477676da968a032d01/codex-3000/compositions/Quartiers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https://github.com/darknigthmare/deadwall-last-enclosure/blob/f0ef5a2036d4876ae8f4d4477676da968a032d01/codex-3000/compositions/Quartiers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https://github.com/darknigthmare/deadwall-last-enclosure/blob/f0ef5a2036d4876ae8f4d4477676da968a032d01/codex-3000/compositions/Quartiers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https://github.com/darknigthmare/deadwall-last-enclosure/blob/f0ef5a2036d4876ae8f4d4477676da968a032d01/codex-3000/compositions/Quartiers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https://github.com/darknigthmare/deadwall-last-enclosure/blob/f0ef5a2036d4876ae8f4d4477676da968a032d01/codex-3000/compositions/Quartiers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https://github.com/darknigthmare/deadwall-last-enclosure/blob/f0ef5a2036d4876ae8f4d4477676da968a032d01/codex-3000/compositions/Quartiers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https://github.com/darknigthmare/deadwall-last-enclosure/blob/f0ef5a2036d4876ae8f4d4477676da968a032d01/codex-3000/compositions/Quartiers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https://github.com/darknigthmare/deadwall-last-enclosure/blob/f0ef5a2036d4876ae8f4d4477676da968a032d01/codex-3000/compositions/Quartiers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https://github.com/darknigthmare/deadwall-last-enclosure/blob/f0ef5a2036d4876ae8f4d4477676da968a032d01/codex-3000/compositions/Quartiers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https://github.com/darknigthmare/deadwall-last-enclosure/blob/f0ef5a2036d4876ae8f4d4477676da968a032d01/codex-3000/compositions/Quartiers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https://github.com/darknigthmare/deadwall-last-enclosure/blob/f0ef5a2036d4876ae8f4d4477676da968a032d01/codex-3000/compositions/Quartiers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https://github.com/darknigthmare/deadwall-last-enclosure/blob/f0ef5a2036d4876ae8f4d4477676da968a032d01/codex-3000/compositions/Quartiers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https://github.com/darknigthmare/deadwall-last-enclosure/blob/f0ef5a2036d4876ae8f4d4477676da968a032d01/codex-3000/compositions/Ruines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https://github.com/darknigthmare/deadwall-last-enclosure/blob/f0ef5a2036d4876ae8f4d4477676da968a032d01/codex-3000/compositions/Ruines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https://github.com/darknigthmare/deadwall-last-enclosure/blob/f0ef5a2036d4876ae8f4d4477676da968a032d01/codex-3000/compositions/Ruines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https://github.com/darknigthmare/deadwall-last-enclosure/blob/f0ef5a2036d4876ae8f4d4477676da968a032d01/codex-3000/compositions/Ruines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https://github.com/darknigthmare/deadwall-last-enclosure/blob/f0ef5a2036d4876ae8f4d4477676da968a032d01/codex-3000/compositions/Ruines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https://github.com/darknigthmare/deadwall-last-enclosure/blob/f0ef5a2036d4876ae8f4d4477676da968a032d01/codex-3000/compositions/Ruines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https://github.com/darknigthmare/deadwall-last-enclosure/blob/f0ef5a2036d4876ae8f4d4477676da968a032d01/codex-3000/compositions/Ruines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https://github.com/darknigthmare/deadwall-last-enclosure/blob/f0ef5a2036d4876ae8f4d4477676da968a032d01/codex-3000/compositions/Ruines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https://github.com/darknigthmare/deadwall-last-enclosure/blob/f0ef5a2036d4876ae8f4d4477676da968a032d01/codex-3000/compositions/Ruines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https://github.com/darknigthmare/deadwall-last-enclosure/blob/f0ef5a2036d4876ae8f4d4477676da968a032d01/codex-3000/compositions/Ruines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https://github.com/darknigthmare/deadwall-last-enclosure/blob/f0ef5a2036d4876ae8f4d4477676da968a032d01/codex-3000/compositions/Ruines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https://github.com/darknigthmare/deadwall-last-enclosure/blob/f0ef5a2036d4876ae8f4d4477676da968a032d01/codex-3000/compositions/Ruines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https://github.com/darknigthmare/deadwall-last-enclosure/blob/f0ef5a2036d4876ae8f4d4477676da968a032d01/codex-3000/compositions/Ruines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https://github.com/darknigthmare/deadwall-last-enclosure/blob/f0ef5a2036d4876ae8f4d4477676da968a032d01/codex-3000/compositions/Ruines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https://github.com/darknigthmare/deadwall-last-enclosure/blob/f0ef5a2036d4876ae8f4d4477676da968a032d01/codex-3000/compositions/Ruines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https://github.com/darknigthmare/deadwall-last-enclosure/blob/f0ef5a2036d4876ae8f4d4477676da968a032d01/codex-3000/compositions/Ruines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https://github.com/darknigthmare/deadwall-last-enclosure/blob/f0ef5a2036d4876ae8f4d4477676da968a032d01/codex-3000/compositions/Ruines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https://github.com/darknigthmare/deadwall-last-enclosure/blob/f0ef5a2036d4876ae8f4d4477676da968a032d01/codex-3000/compositions/Ruines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https://github.com/darknigthmare/deadwall-last-enclosure/blob/f0ef5a2036d4876ae8f4d4477676da968a032d01/codex-3000/compositions/Ruines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https://github.com/darknigthmare/deadwall-last-enclosure/blob/f0ef5a2036d4876ae8f4d4477676da968a032d01/codex-3000/compositions/Ruines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https://github.com/darknigthmare/deadwall-last-enclosure/blob/f0ef5a2036d4876ae8f4d4477676da968a032d01/codex-3000/compositions/Ruines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https://github.com/darknigthmare/deadwall-last-enclosure/blob/f0ef5a2036d4876ae8f4d4477676da968a032d01/codex-3000/compositions/Ruines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https://github.com/darknigthmare/deadwall-last-enclosure/blob/f0ef5a2036d4876ae8f4d4477676da968a032d01/codex-3000/compositions/Ruines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https://github.com/darknigthmare/deadwall-last-enclosure/blob/f0ef5a2036d4876ae8f4d4477676da968a032d01/codex-3000/compositions/Ruines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https://github.com/darknigthmare/deadwall-last-enclosure/blob/f0ef5a2036d4876ae8f4d4477676da968a032d01/codex-3000/compositions/Ruines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https://github.com/darknigthmare/deadwall-last-enclosure/blob/f0ef5a2036d4876ae8f4d4477676da968a032d01/codex-3000/compositions/Ruines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https://github.com/darknigthmare/deadwall-last-enclosure/blob/f0ef5a2036d4876ae8f4d4477676da968a032d01/codex-3000/compositions/Ruines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https://github.com/darknigthmare/deadwall-last-enclosure/blob/f0ef5a2036d4876ae8f4d4477676da968a032d01/codex-3000/compositions/Ruines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https://github.com/darknigthmare/deadwall-last-enclosure/blob/f0ef5a2036d4876ae8f4d4477676da968a032d01/codex-3000/compositions/Ruines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https://github.com/darknigthmare/deadwall-last-enclosure/blob/f0ef5a2036d4876ae8f4d4477676da968a032d01/codex-3000/compositions/Ruines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https://github.com/darknigthmare/deadwall-last-enclosure/blob/f0ef5a2036d4876ae8f4d4477676da968a032d01/codex-3000/compositions/Ruines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https://github.com/darknigthmare/deadwall-last-enclosure/blob/f0ef5a2036d4876ae8f4d4477676da968a032d01/codex-3000/compositions/Ruines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https://github.com/darknigthmare/deadwall-last-enclosure/blob/f0ef5a2036d4876ae8f4d4477676da968a032d01/codex-3000/compositions/Ruines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https://github.com/darknigthmare/deadwall-last-enclosure/blob/f0ef5a2036d4876ae8f4d4477676da968a032d01/codex-3000/compositions/Ruines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https://github.com/darknigthmare/deadwall-last-enclosure/blob/f0ef5a2036d4876ae8f4d4477676da968a032d01/codex-3000/compositions/Ruines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https://github.com/darknigthmare/deadwall-last-enclosure/blob/f0ef5a2036d4876ae8f4d4477676da968a032d01/codex-3000/compositions/Ruines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https://github.com/darknigthmare/deadwall-last-enclosure/blob/f0ef5a2036d4876ae8f4d4477676da968a032d01/codex-3000/compositions/Ruines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https://github.com/darknigthmare/deadwall-last-enclosure/blob/f0ef5a2036d4876ae8f4d4477676da968a032d01/codex-3000/compositions/Ruines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https://github.com/darknigthmare/deadwall-last-enclosure/blob/f0ef5a2036d4876ae8f4d4477676da968a032d01/codex-3000/compositions/Ruines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https://github.com/darknigthmare/deadwall-last-enclosure/blob/f0ef5a2036d4876ae8f4d4477676da968a032d01/codex-3000/compositions/Ruines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https://github.com/darknigthmare/deadwall-last-enclosure/blob/f0ef5a2036d4876ae8f4d4477676da968a032d01/codex-3000/compositions/habitat/DW-2001.md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https://github.com/darknigthmare/deadwall-last-enclosure/blob/f0ef5a2036d4876ae8f4d4477676da968a032d01/codex-3000/compositions/habitat/DW-2002.md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https://github.com/darknigthmare/deadwall-last-enclosure/blob/f0ef5a2036d4876ae8f4d4477676da968a032d01/codex-3000/compositions/habitat/DW-2003.md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https://github.com/darknigthmare/deadwall-last-enclosure/blob/f0ef5a2036d4876ae8f4d4477676da968a032d01/codex-3000/compositions/habitat/DW-2004.md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https://github.com/darknigthmare/deadwall-last-enclosure/blob/f0ef5a2036d4876ae8f4d4477676da968a032d01/codex-3000/compositions/habitat/DW-2005.md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https://github.com/darknigthmare/deadwall-last-enclosure/blob/f0ef5a2036d4876ae8f4d4477676da968a032d01/codex-3000/compositions/habitat/DW-2006.md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https://github.com/darknigthmare/deadwall-last-enclosure/blob/f0ef5a2036d4876ae8f4d4477676da968a032d01/codex-3000/compositions/habitat/DW-2007.md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https://github.com/darknigthmare/deadwall-last-enclosure/blob/f0ef5a2036d4876ae8f4d4477676da968a032d01/codex-3000/compositions/habitat/DW-2008.md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https://github.com/darknigthmare/deadwall-last-enclosure/blob/f0ef5a2036d4876ae8f4d4477676da968a032d01/codex-3000/compositions/habitat/DW-2009.md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https://github.com/darknigthmare/deadwall-last-enclosure/blob/f0ef5a2036d4876ae8f4d4477676da968a032d01/codex-3000/compositions/habitat/DW-2010.md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https://github.com/darknigthmare/deadwall-last-enclosure/blob/f0ef5a2036d4876ae8f4d4477676da968a032d01/codex-3000/compositions/habitat/DW-2011.md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https://github.com/darknigthmare/deadwall-last-enclosure/blob/f0ef5a2036d4876ae8f4d4477676da968a032d01/codex-3000/compositions/habitat/DW-2012.md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https://github.com/darknigthmare/deadwall-last-enclosure/blob/f0ef5a2036d4876ae8f4d4477676da968a032d01/codex-3000/compositions/habitat/DW-2013.md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https://github.com/darknigthmare/deadwall-last-enclosure/blob/f0ef5a2036d4876ae8f4d4477676da968a032d01/codex-3000/compositions/habitat/DW-2014.md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https://github.com/darknigthmare/deadwall-last-enclosure/blob/f0ef5a2036d4876ae8f4d4477676da968a032d01/codex-3000/compositions/habitat/DW-2015.md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https://github.com/darknigthmare/deadwall-last-enclosure/blob/f0ef5a2036d4876ae8f4d4477676da968a032d01/codex-3000/compositions/habitat/DW-2016.md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https://github.com/darknigthmare/deadwall-last-enclosure/blob/f0ef5a2036d4876ae8f4d4477676da968a032d01/codex-3000/compositions/commerce/DW-2017.md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https://github.com/darknigthmare/deadwall-last-enclosure/blob/f0ef5a2036d4876ae8f4d4477676da968a032d01/codex-3000/compositions/commerce/DW-2018.md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https://github.com/darknigthmare/deadwall-last-enclosure/blob/f0ef5a2036d4876ae8f4d4477676da968a032d01/codex-3000/compositions/commerce/DW-2019.md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https://github.com/darknigthmare/deadwall-last-enclosure/blob/f0ef5a2036d4876ae8f4d4477676da968a032d01/codex-3000/compositions/commerce/DW-2020.md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https://github.com/darknigthmare/deadwall-last-enclosure/blob/f0ef5a2036d4876ae8f4d4477676da968a032d01/codex-3000/compositions/commerce/DW-2021.md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https://github.com/darknigthmare/deadwall-last-enclosure/blob/f0ef5a2036d4876ae8f4d4477676da968a032d01/codex-3000/compositions/commerce/DW-2022.md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https://github.com/darknigthmare/deadwall-last-enclosure/blob/f0ef5a2036d4876ae8f4d4477676da968a032d01/codex-3000/compositions/commerce/DW-2023.md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https://github.com/darknigthmare/deadwall-last-enclosure/blob/f0ef5a2036d4876ae8f4d4477676da968a032d01/codex-3000/compositions/commerce/DW-2024.md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https://github.com/darknigthmare/deadwall-last-enclosure/blob/f0ef5a2036d4876ae8f4d4477676da968a032d01/codex-3000/compositions/commerce/DW-2025.md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https://github.com/darknigthmare/deadwall-last-enclosure/blob/f0ef5a2036d4876ae8f4d4477676da968a032d01/codex-3000/compositions/commerce/DW-2026.md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https://github.com/darknigthmare/deadwall-last-enclosure/blob/f0ef5a2036d4876ae8f4d4477676da968a032d01/codex-3000/compositions/commerce/DW-2027.md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https://github.com/darknigthmare/deadwall-last-enclosure/blob/f0ef5a2036d4876ae8f4d4477676da968a032d01/codex-3000/compositions/commerce/DW-2028.md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https://github.com/darknigthmare/deadwall-last-enclosure/blob/f0ef5a2036d4876ae8f4d4477676da968a032d01/codex-3000/compositions/commerce/DW-2029.md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https://github.com/darknigthmare/deadwall-last-enclosure/blob/f0ef5a2036d4876ae8f4d4477676da968a032d01/codex-3000/compositions/commerce/DW-2030.md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https://github.com/darknigthmare/deadwall-last-enclosure/blob/f0ef5a2036d4876ae8f4d4477676da968a032d01/codex-3000/compositions/commerce/DW-2031.md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https://github.com/darknigthmare/deadwall-last-enclosure/blob/f0ef5a2036d4876ae8f4d4477676da968a032d01/codex-3000/compositions/commerce/DW-2032.md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https://github.com/darknigthmare/deadwall-last-enclosure/blob/f0ef5a2036d4876ae8f4d4477676da968a032d01/codex-3000/compositions/industrie/DW-2033.md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https://github.com/darknigthmare/deadwall-last-enclosure/blob/f0ef5a2036d4876ae8f4d4477676da968a032d01/codex-3000/compositions/industrie/DW-2034.md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https://github.com/darknigthmare/deadwall-last-enclosure/blob/f0ef5a2036d4876ae8f4d4477676da968a032d01/codex-3000/compositions/industrie/DW-2035.md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https://github.com/darknigthmare/deadwall-last-enclosure/blob/f0ef5a2036d4876ae8f4d4477676da968a032d01/codex-3000/compositions/industrie/DW-2036.md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https://github.com/darknigthmare/deadwall-last-enclosure/blob/f0ef5a2036d4876ae8f4d4477676da968a032d01/codex-3000/compositions/industrie/DW-2037.md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https://github.com/darknigthmare/deadwall-last-enclosure/blob/f0ef5a2036d4876ae8f4d4477676da968a032d01/codex-3000/compositions/industrie/DW-2038.md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https://github.com/darknigthmare/deadwall-last-enclosure/blob/f0ef5a2036d4876ae8f4d4477676da968a032d01/codex-3000/compositions/industrie/DW-2039.md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https://github.com/darknigthmare/deadwall-last-enclosure/blob/f0ef5a2036d4876ae8f4d4477676da968a032d01/codex-3000/compositions/industrie/DW-2040.md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https://github.com/darknigthmare/deadwall-last-enclosure/blob/f0ef5a2036d4876ae8f4d4477676da968a032d01/codex-3000/compositions/industrie/DW-2041.md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https://github.com/darknigthmare/deadwall-last-enclosure/blob/f0ef5a2036d4876ae8f4d4477676da968a032d01/codex-3000/compositions/industrie/DW-2042.md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https://github.com/darknigthmare/deadwall-last-enclosure/blob/f0ef5a2036d4876ae8f4d4477676da968a032d01/codex-3000/compositions/industrie/DW-2043.md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https://github.com/darknigthmare/deadwall-last-enclosure/blob/f0ef5a2036d4876ae8f4d4477676da968a032d01/codex-3000/compositions/industrie/DW-2044.md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https://github.com/darknigthmare/deadwall-last-enclosure/blob/f0ef5a2036d4876ae8f4d4477676da968a032d01/codex-3000/compositions/industrie/DW-2045.md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https://github.com/darknigthmare/deadwall-last-enclosure/blob/f0ef5a2036d4876ae8f4d4477676da968a032d01/codex-3000/compositions/industrie/DW-2046.md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https://github.com/darknigthmare/deadwall-last-enclosure/blob/f0ef5a2036d4876ae8f4d4477676da968a032d01/codex-3000/compositions/industrie/DW-2047.md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https://github.com/darknigthmare/deadwall-last-enclosure/blob/f0ef5a2036d4876ae8f4d4477676da968a032d01/codex-3000/compositions/industrie/DW-2048.md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https://github.com/darknigthmare/deadwall-last-enclosure/blob/f0ef5a2036d4876ae8f4d4477676da968a032d01/codex-3000/compositions/public/DW-2049.md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https://github.com/darknigthmare/deadwall-last-enclosure/blob/f0ef5a2036d4876ae8f4d4477676da968a032d01/codex-3000/compositions/public/DW-2050.md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https://github.com/darknigthmare/deadwall-last-enclosure/blob/f0ef5a2036d4876ae8f4d4477676da968a032d01/codex-3000/compositions/public/DW-2051.md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https://github.com/darknigthmare/deadwall-last-enclosure/blob/f0ef5a2036d4876ae8f4d4477676da968a032d01/codex-3000/compositions/public/DW-2052.md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https://github.com/darknigthmare/deadwall-last-enclosure/blob/f0ef5a2036d4876ae8f4d4477676da968a032d01/codex-3000/compositions/public/DW-2053.md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https://github.com/darknigthmare/deadwall-last-enclosure/blob/f0ef5a2036d4876ae8f4d4477676da968a032d01/codex-3000/compositions/public/DW-2054.md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https://github.com/darknigthmare/deadwall-last-enclosure/blob/f0ef5a2036d4876ae8f4d4477676da968a032d01/codex-3000/compositions/public/DW-2055.md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https://github.com/darknigthmare/deadwall-last-enclosure/blob/f0ef5a2036d4876ae8f4d4477676da968a032d01/codex-3000/compositions/public/DW-2056.md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https://github.com/darknigthmare/deadwall-last-enclosure/blob/f0ef5a2036d4876ae8f4d4477676da968a032d01/codex-3000/compositions/public/DW-2057.md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https://github.com/darknigthmare/deadwall-last-enclosure/blob/f0ef5a2036d4876ae8f4d4477676da968a032d01/codex-3000/compositions/public/DW-2058.md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https://github.com/darknigthmare/deadwall-last-enclosure/blob/f0ef5a2036d4876ae8f4d4477676da968a032d01/codex-3000/compositions/public/DW-2059.md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https://github.com/darknigthmare/deadwall-last-enclosure/blob/f0ef5a2036d4876ae8f4d4477676da968a032d01/codex-3000/compositions/public/DW-2060.md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https://github.com/darknigthmare/deadwall-last-enclosure/blob/f0ef5a2036d4876ae8f4d4477676da968a032d01/codex-3000/compositions/public/DW-2061.md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https://github.com/darknigthmare/deadwall-last-enclosure/blob/f0ef5a2036d4876ae8f4d4477676da968a032d01/codex-3000/compositions/public/DW-2062.md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https://github.com/darknigthmare/deadwall-last-enclosure/blob/f0ef5a2036d4876ae8f4d4477676da968a032d01/codex-3000/compositions/public/DW-2063.md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https://github.com/darknigthmare/deadwall-last-enclosure/blob/f0ef5a2036d4876ae8f4d4477676da968a032d01/codex-3000/compositions/public/DW-2064.md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https://github.com/darknigthmare/deadwall-last-enclosure/blob/f0ef5a2036d4876ae8f4d4477676da968a032d01/codex-3000/compositions/rural/DW-2065.md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https://github.com/darknigthmare/deadwall-last-enclosure/blob/f0ef5a2036d4876ae8f4d4477676da968a032d01/codex-3000/compositions/rural/DW-2066.md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https://github.com/darknigthmare/deadwall-last-enclosure/blob/f0ef5a2036d4876ae8f4d4477676da968a032d01/codex-3000/compositions/rural/DW-2067.md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https://github.com/darknigthmare/deadwall-last-enclosure/blob/f0ef5a2036d4876ae8f4d4477676da968a032d01/codex-3000/compositions/rural/DW-2068.md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https://github.com/darknigthmare/deadwall-last-enclosure/blob/f0ef5a2036d4876ae8f4d4477676da968a032d01/codex-3000/compositions/rural/DW-2069.md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https://github.com/darknigthmare/deadwall-last-enclosure/blob/f0ef5a2036d4876ae8f4d4477676da968a032d01/codex-3000/compositions/rural/DW-2070.md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https://github.com/darknigthmare/deadwall-last-enclosure/blob/f0ef5a2036d4876ae8f4d4477676da968a032d01/codex-3000/compositions/rural/DW-2071.md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https://github.com/darknigthmare/deadwall-last-enclosure/blob/f0ef5a2036d4876ae8f4d4477676da968a032d01/codex-3000/compositions/rural/DW-2072.md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https://github.com/darknigthmare/deadwall-last-enclosure/blob/f0ef5a2036d4876ae8f4d4477676da968a032d01/codex-3000/compositions/rural/DW-2073.md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https://github.com/darknigthmare/deadwall-last-enclosure/blob/f0ef5a2036d4876ae8f4d4477676da968a032d01/codex-3000/compositions/rural/DW-2074.md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https://github.com/darknigthmare/deadwall-last-enclosure/blob/f0ef5a2036d4876ae8f4d4477676da968a032d01/codex-3000/compositions/rural/DW-2075.md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https://github.com/darknigthmare/deadwall-last-enclosure/blob/f0ef5a2036d4876ae8f4d4477676da968a032d01/codex-3000/compositions/rural/DW-2076.md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https://github.com/darknigthmare/deadwall-last-enclosure/blob/f0ef5a2036d4876ae8f4d4477676da968a032d01/codex-3000/compositions/rural/DW-2077.md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https://github.com/darknigthmare/deadwall-last-enclosure/blob/f0ef5a2036d4876ae8f4d4477676da968a032d01/codex-3000/compositions/rural/DW-2078.md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https://github.com/darknigthmare/deadwall-last-enclosure/blob/f0ef5a2036d4876ae8f4d4477676da968a032d01/codex-3000/compositions/rural/DW-2079.md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https://github.com/darknigthmare/deadwall-last-enclosure/blob/f0ef5a2036d4876ae8f4d4477676da968a032d01/codex-3000/compositions/rural/DW-2080.md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https://github.com/darknigthmare/deadwall-last-enclosure/blob/f0ef5a2036d4876ae8f4d4477676da968a032d01/codex-3000/compositions/militaire/DW-2081.md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https://github.com/darknigthmare/deadwall-last-enclosure/blob/f0ef5a2036d4876ae8f4d4477676da968a032d01/codex-3000/compositions/militaire/DW-2082.md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https://github.com/darknigthmare/deadwall-last-enclosure/blob/f0ef5a2036d4876ae8f4d4477676da968a032d01/codex-3000/compositions/militaire/DW-2083.md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https://github.com/darknigthmare/deadwall-last-enclosure/blob/f0ef5a2036d4876ae8f4d4477676da968a032d01/codex-3000/compositions/militaire/DW-2084.md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https://github.com/darknigthmare/deadwall-last-enclosure/blob/f0ef5a2036d4876ae8f4d4477676da968a032d01/codex-3000/compositions/militaire/DW-2085.md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https://github.com/darknigthmare/deadwall-last-enclosure/blob/f0ef5a2036d4876ae8f4d4477676da968a032d01/codex-3000/compositions/militaire/DW-2086.md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https://github.com/darknigthmare/deadwall-last-enclosure/blob/f0ef5a2036d4876ae8f4d4477676da968a032d01/codex-3000/compositions/militaire/DW-2087.md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https://github.com/darknigthmare/deadwall-last-enclosure/blob/f0ef5a2036d4876ae8f4d4477676da968a032d01/codex-3000/compositions/militaire/DW-2088.md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https://github.com/darknigthmare/deadwall-last-enclosure/blob/f0ef5a2036d4876ae8f4d4477676da968a032d01/codex-3000/compositions/militaire/DW-2089.md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https://github.com/darknigthmare/deadwall-last-enclosure/blob/f0ef5a2036d4876ae8f4d4477676da968a032d01/codex-3000/compositions/militaire/DW-2090.md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https://github.com/darknigthmare/deadwall-last-enclosure/blob/f0ef5a2036d4876ae8f4d4477676da968a032d01/codex-3000/compositions/militaire/DW-2091.md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https://github.com/darknigthmare/deadwall-last-enclosure/blob/f0ef5a2036d4876ae8f4d4477676da968a032d01/codex-3000/compositions/militaire/DW-2092.md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https://github.com/darknigthmare/deadwall-last-enclosure/blob/f0ef5a2036d4876ae8f4d4477676da968a032d01/codex-3000/compositions/militaire/DW-2093.md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https://github.com/darknigthmare/deadwall-last-enclosure/blob/f0ef5a2036d4876ae8f4d4477676da968a032d01/codex-3000/compositions/militaire/DW-2094.md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https://github.com/darknigthmare/deadwall-last-enclosure/blob/f0ef5a2036d4876ae8f4d4477676da968a032d01/codex-3000/compositions/militaire/DW-2095.md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https://github.com/darknigthmare/deadwall-last-enclosure/blob/f0ef5a2036d4876ae8f4d4477676da968a032d01/codex-3000/compositions/militaire/DW-2096.md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https://github.com/darknigthmare/deadwall-last-enclosure/blob/f0ef5a2036d4876ae8f4d4477676da968a032d01/codex-3000/compositions/transport/DW-2097.md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https://github.com/darknigthmare/deadwall-last-enclosure/blob/f0ef5a2036d4876ae8f4d4477676da968a032d01/codex-3000/compositions/transport/DW-2098.md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https://github.com/darknigthmare/deadwall-last-enclosure/blob/f0ef5a2036d4876ae8f4d4477676da968a032d01/codex-3000/compositions/transport/DW-2099.md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https://github.com/darknigthmare/deadwall-last-enclosure/blob/f0ef5a2036d4876ae8f4d4477676da968a032d01/codex-3000/compositions/transport/DW-2100.md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https://github.com/darknigthmare/deadwall-last-enclosure/blob/f0ef5a2036d4876ae8f4d4477676da968a032d01/codex-3000/compositions/transport/DW-2101.md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https://github.com/darknigthmare/deadwall-last-enclosure/blob/f0ef5a2036d4876ae8f4d4477676da968a032d01/codex-3000/compositions/transport/DW-2102.md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https://github.com/darknigthmare/deadwall-last-enclosure/blob/f0ef5a2036d4876ae8f4d4477676da968a032d01/codex-3000/compositions/transport/DW-2103.md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https://github.com/darknigthmare/deadwall-last-enclosure/blob/f0ef5a2036d4876ae8f4d4477676da968a032d01/codex-3000/compositions/transport/DW-2104.md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https://github.com/darknigthmare/deadwall-last-enclosure/blob/f0ef5a2036d4876ae8f4d4477676da968a032d01/codex-3000/compositions/transport/DW-2105.md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https://github.com/darknigthmare/deadwall-last-enclosure/blob/f0ef5a2036d4876ae8f4d4477676da968a032d01/codex-3000/compositions/transport/DW-2106.md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https://github.com/darknigthmare/deadwall-last-enclosure/blob/f0ef5a2036d4876ae8f4d4477676da968a032d01/codex-3000/compositions/transport/DW-2107.md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https://github.com/darknigthmare/deadwall-last-enclosure/blob/f0ef5a2036d4876ae8f4d4477676da968a032d01/codex-3000/compositions/transport/DW-2108.md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https://github.com/darknigthmare/deadwall-last-enclosure/blob/f0ef5a2036d4876ae8f4d4477676da968a032d01/codex-3000/compositions/transport/DW-2109.md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https://github.com/darknigthmare/deadwall-last-enclosure/blob/f0ef5a2036d4876ae8f4d4477676da968a032d01/codex-3000/compositions/transport/DW-2110.md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https://github.com/darknigthmare/deadwall-last-enclosure/blob/f0ef5a2036d4876ae8f4d4477676da968a032d01/codex-3000/compositions/transport/DW-2111.md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https://github.com/darknigthmare/deadwall-last-enclosure/blob/f0ef5a2036d4876ae8f4d4477676da968a032d01/codex-3000/compositions/transport/DW-2112.md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https://github.com/darknigthmare/deadwall-last-enclosure/blob/f0ef5a2036d4876ae8f4d4477676da968a032d01/codex-3000/compositions/ruines/DW-2113.md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https://github.com/darknigthmare/deadwall-last-enclosure/blob/f0ef5a2036d4876ae8f4d4477676da968a032d01/codex-3000/compositions/ruines/DW-2114.md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https://github.com/darknigthmare/deadwall-last-enclosure/blob/f0ef5a2036d4876ae8f4d4477676da968a032d01/codex-3000/compositions/ruines/DW-2115.md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https://github.com/darknigthmare/deadwall-last-enclosure/blob/f0ef5a2036d4876ae8f4d4477676da968a032d01/codex-3000/compositions/ruines/DW-2116.md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https://github.com/darknigthmare/deadwall-last-enclosure/blob/f0ef5a2036d4876ae8f4d4477676da968a032d01/codex-3000/compositions/ruines/DW-2117.md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https://github.com/darknigthmare/deadwall-last-enclosure/blob/f0ef5a2036d4876ae8f4d4477676da968a032d01/codex-3000/compositions/ruines/DW-2118.md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https://github.com/darknigthmare/deadwall-last-enclosure/blob/f0ef5a2036d4876ae8f4d4477676da968a032d01/codex-3000/compositions/ruines/DW-2119.md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https://github.com/darknigthmare/deadwall-last-enclosure/blob/f0ef5a2036d4876ae8f4d4477676da968a032d01/codex-3000/compositions/ruines/DW-2120.md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https://github.com/darknigthmare/deadwall-last-enclosure/blob/f0ef5a2036d4876ae8f4d4477676da968a032d01/codex-3000/compositions/ruines/DW-2121.md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https://github.com/darknigthmare/deadwall-last-enclosure/blob/f0ef5a2036d4876ae8f4d4477676da968a032d01/codex-3000/compositions/ruines/DW-2122.md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https://github.com/darknigthmare/deadwall-last-enclosure/blob/f0ef5a2036d4876ae8f4d4477676da968a032d01/codex-3000/compositions/ruines/DW-2123.md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https://github.com/darknigthmare/deadwall-last-enclosure/blob/f0ef5a2036d4876ae8f4d4477676da968a032d01/codex-3000/compositions/ruines/DW-2124.md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https://github.com/darknigthmare/deadwall-last-enclosure/blob/f0ef5a2036d4876ae8f4d4477676da968a032d01/codex-3000/compositions/ruines/DW-2125.md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https://github.com/darknigthmare/deadwall-last-enclosure/blob/f0ef5a2036d4876ae8f4d4477676da968a032d01/codex-3000/compositions/ruines/DW-2126.md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https://github.com/darknigthmare/deadwall-last-enclosure/blob/f0ef5a2036d4876ae8f4d4477676da968a032d01/codex-3000/compositions/ruines/DW-2127.md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https://github.com/darknigthmare/deadwall-last-enclosure/blob/f0ef5a2036d4876ae8f4d4477676da968a032d01/codex-3000/compositions/ruines/DW-2128.md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https://github.com/darknigthmare/deadwall-last-enclosure/blob/f0ef5a2036d4876ae8f4d4477676da968a032d01/codex-3000/compositions/habitat/DW-2129.md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https://github.com/darknigthmare/deadwall-last-enclosure/blob/f0ef5a2036d4876ae8f4d4477676da968a032d01/codex-3000/compositions/habitat/DW-2130.md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https://github.com/darknigthmare/deadwall-last-enclosure/blob/f0ef5a2036d4876ae8f4d4477676da968a032d01/codex-3000/compositions/habitat/DW-2131.md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https://github.com/darknigthmare/deadwall-last-enclosure/blob/f0ef5a2036d4876ae8f4d4477676da968a032d01/codex-3000/compositions/habitat/DW-2132.md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https://github.com/darknigthmare/deadwall-last-enclosure/blob/f0ef5a2036d4876ae8f4d4477676da968a032d01/codex-3000/compositions/habitat/DW-2133.md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https://github.com/darknigthmare/deadwall-last-enclosure/blob/f0ef5a2036d4876ae8f4d4477676da968a032d01/codex-3000/compositions/habitat/DW-2134.md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https://github.com/darknigthmare/deadwall-last-enclosure/blob/f0ef5a2036d4876ae8f4d4477676da968a032d01/codex-3000/compositions/habitat/DW-2135.md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https://github.com/darknigthmare/deadwall-last-enclosure/blob/f0ef5a2036d4876ae8f4d4477676da968a032d01/codex-3000/compositions/habitat/DW-2136.md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https://github.com/darknigthmare/deadwall-last-enclosure/blob/f0ef5a2036d4876ae8f4d4477676da968a032d01/codex-3000/compositions/habitat/DW-2137.md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https://github.com/darknigthmare/deadwall-last-enclosure/blob/f0ef5a2036d4876ae8f4d4477676da968a032d01/codex-3000/compositions/habitat/DW-2138.md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https://github.com/darknigthmare/deadwall-last-enclosure/blob/f0ef5a2036d4876ae8f4d4477676da968a032d01/codex-3000/compositions/habitat/DW-2139.md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https://github.com/darknigthmare/deadwall-last-enclosure/blob/f0ef5a2036d4876ae8f4d4477676da968a032d01/codex-3000/compositions/habitat/DW-2140.md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https://github.com/darknigthmare/deadwall-last-enclosure/blob/f0ef5a2036d4876ae8f4d4477676da968a032d01/codex-3000/compositions/habitat/DW-2141.md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https://github.com/darknigthmare/deadwall-last-enclosure/blob/f0ef5a2036d4876ae8f4d4477676da968a032d01/codex-3000/compositions/habitat/DW-2142.md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https://github.com/darknigthmare/deadwall-last-enclosure/blob/f0ef5a2036d4876ae8f4d4477676da968a032d01/codex-3000/compositions/habitat/DW-2143.md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https://github.com/darknigthmare/deadwall-last-enclosure/blob/f0ef5a2036d4876ae8f4d4477676da968a032d01/codex-3000/compositions/habitat/DW-2144.md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https://github.com/darknigthmare/deadwall-last-enclosure/blob/f0ef5a2036d4876ae8f4d4477676da968a032d01/codex-3000/compositions/commerce/DW-2145.md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https://github.com/darknigthmare/deadwall-last-enclosure/blob/f0ef5a2036d4876ae8f4d4477676da968a032d01/codex-3000/compositions/commerce/DW-2146.md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https://github.com/darknigthmare/deadwall-last-enclosure/blob/f0ef5a2036d4876ae8f4d4477676da968a032d01/codex-3000/compositions/commerce/DW-2147.md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https://github.com/darknigthmare/deadwall-last-enclosure/blob/f0ef5a2036d4876ae8f4d4477676da968a032d01/codex-3000/compositions/commerce/DW-2148.md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https://github.com/darknigthmare/deadwall-last-enclosure/blob/f0ef5a2036d4876ae8f4d4477676da968a032d01/codex-3000/compositions/commerce/DW-2149.md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https://github.com/darknigthmare/deadwall-last-enclosure/blob/f0ef5a2036d4876ae8f4d4477676da968a032d01/codex-3000/compositions/commerce/DW-2150.md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https://github.com/darknigthmare/deadwall-last-enclosure/blob/f0ef5a2036d4876ae8f4d4477676da968a032d01/codex-3000/compositions/commerce/DW-2151.md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https://github.com/darknigthmare/deadwall-last-enclosure/blob/f0ef5a2036d4876ae8f4d4477676da968a032d01/codex-3000/compositions/commerce/DW-2152.md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https://github.com/darknigthmare/deadwall-last-enclosure/blob/f0ef5a2036d4876ae8f4d4477676da968a032d01/codex-3000/compositions/commerce/DW-2153.md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https://github.com/darknigthmare/deadwall-last-enclosure/blob/f0ef5a2036d4876ae8f4d4477676da968a032d01/codex-3000/compositions/commerce/DW-2154.md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https://github.com/darknigthmare/deadwall-last-enclosure/blob/f0ef5a2036d4876ae8f4d4477676da968a032d01/codex-3000/compositions/commerce/DW-2155.md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https://github.com/darknigthmare/deadwall-last-enclosure/blob/f0ef5a2036d4876ae8f4d4477676da968a032d01/codex-3000/compositions/commerce/DW-2156.md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https://github.com/darknigthmare/deadwall-last-enclosure/blob/f0ef5a2036d4876ae8f4d4477676da968a032d01/codex-3000/compositions/commerce/DW-2157.md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https://github.com/darknigthmare/deadwall-last-enclosure/blob/f0ef5a2036d4876ae8f4d4477676da968a032d01/codex-3000/compositions/commerce/DW-2158.md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https://github.com/darknigthmare/deadwall-last-enclosure/blob/f0ef5a2036d4876ae8f4d4477676da968a032d01/codex-3000/compositions/commerce/DW-2159.md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https://github.com/darknigthmare/deadwall-last-enclosure/blob/f0ef5a2036d4876ae8f4d4477676da968a032d01/codex-3000/compositions/commerce/DW-2160.md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https://github.com/darknigthmare/deadwall-last-enclosure/blob/f0ef5a2036d4876ae8f4d4477676da968a032d01/codex-3000/compositions/industrie/DW-2161.md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https://github.com/darknigthmare/deadwall-last-enclosure/blob/f0ef5a2036d4876ae8f4d4477676da968a032d01/codex-3000/compositions/industrie/DW-2162.md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https://github.com/darknigthmare/deadwall-last-enclosure/blob/f0ef5a2036d4876ae8f4d4477676da968a032d01/codex-3000/compositions/industrie/DW-2163.md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https://github.com/darknigthmare/deadwall-last-enclosure/blob/f0ef5a2036d4876ae8f4d4477676da968a032d01/codex-3000/compositions/industrie/DW-2164.md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https://github.com/darknigthmare/deadwall-last-enclosure/blob/f0ef5a2036d4876ae8f4d4477676da968a032d01/codex-3000/compositions/industrie/DW-2165.md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https://github.com/darknigthmare/deadwall-last-enclosure/blob/f0ef5a2036d4876ae8f4d4477676da968a032d01/codex-3000/compositions/industrie/DW-2166.md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https://github.com/darknigthmare/deadwall-last-enclosure/blob/f0ef5a2036d4876ae8f4d4477676da968a032d01/codex-3000/compositions/industrie/DW-2167.md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https://github.com/darknigthmare/deadwall-last-enclosure/blob/f0ef5a2036d4876ae8f4d4477676da968a032d01/codex-3000/compositions/industrie/DW-2168.md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https://github.com/darknigthmare/deadwall-last-enclosure/blob/f0ef5a2036d4876ae8f4d4477676da968a032d01/codex-3000/compositions/industrie/DW-2169.md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https://github.com/darknigthmare/deadwall-last-enclosure/blob/f0ef5a2036d4876ae8f4d4477676da968a032d01/codex-3000/compositions/industrie/DW-2170.md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https://github.com/darknigthmare/deadwall-last-enclosure/blob/f0ef5a2036d4876ae8f4d4477676da968a032d01/codex-3000/compositions/industrie/DW-2171.md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https://github.com/darknigthmare/deadwall-last-enclosure/blob/f0ef5a2036d4876ae8f4d4477676da968a032d01/codex-3000/compositions/industrie/DW-2172.md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https://github.com/darknigthmare/deadwall-last-enclosure/blob/f0ef5a2036d4876ae8f4d4477676da968a032d01/codex-3000/compositions/industrie/DW-2173.md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https://github.com/darknigthmare/deadwall-last-enclosure/blob/f0ef5a2036d4876ae8f4d4477676da968a032d01/codex-3000/compositions/industrie/DW-2174.md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https://github.com/darknigthmare/deadwall-last-enclosure/blob/f0ef5a2036d4876ae8f4d4477676da968a032d01/codex-3000/compositions/industrie/DW-2175.md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https://github.com/darknigthmare/deadwall-last-enclosure/blob/f0ef5a2036d4876ae8f4d4477676da968a032d01/codex-3000/compositions/industrie/DW-2176.md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https://github.com/darknigthmare/deadwall-last-enclosure/blob/f0ef5a2036d4876ae8f4d4477676da968a032d01/codex-3000/compositions/public/DW-2177.md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https://github.com/darknigthmare/deadwall-last-enclosure/blob/f0ef5a2036d4876ae8f4d4477676da968a032d01/codex-3000/compositions/public/DW-2178.md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https://github.com/darknigthmare/deadwall-last-enclosure/blob/f0ef5a2036d4876ae8f4d4477676da968a032d01/codex-3000/compositions/public/DW-2179.md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https://github.com/darknigthmare/deadwall-last-enclosure/blob/f0ef5a2036d4876ae8f4d4477676da968a032d01/codex-3000/compositions/public/DW-2180.md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https://github.com/darknigthmare/deadwall-last-enclosure/blob/f0ef5a2036d4876ae8f4d4477676da968a032d01/codex-3000/compositions/public/DW-2181.md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https://github.com/darknigthmare/deadwall-last-enclosure/blob/f0ef5a2036d4876ae8f4d4477676da968a032d01/codex-3000/compositions/public/DW-2182.md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https://github.com/darknigthmare/deadwall-last-enclosure/blob/f0ef5a2036d4876ae8f4d4477676da968a032d01/codex-3000/compositions/public/DW-2183.md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https://github.com/darknigthmare/deadwall-last-enclosure/blob/f0ef5a2036d4876ae8f4d4477676da968a032d01/codex-3000/compositions/public/DW-2184.md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https://github.com/darknigthmare/deadwall-last-enclosure/blob/f0ef5a2036d4876ae8f4d4477676da968a032d01/codex-3000/compositions/public/DW-2185.md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https://github.com/darknigthmare/deadwall-last-enclosure/blob/f0ef5a2036d4876ae8f4d4477676da968a032d01/codex-3000/compositions/public/DW-2186.md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https://github.com/darknigthmare/deadwall-last-enclosure/blob/f0ef5a2036d4876ae8f4d4477676da968a032d01/codex-3000/compositions/public/DW-2187.md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https://github.com/darknigthmare/deadwall-last-enclosure/blob/f0ef5a2036d4876ae8f4d4477676da968a032d01/codex-3000/compositions/public/DW-2188.md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https://github.com/darknigthmare/deadwall-last-enclosure/blob/f0ef5a2036d4876ae8f4d4477676da968a032d01/codex-3000/compositions/public/DW-2189.md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https://github.com/darknigthmare/deadwall-last-enclosure/blob/f0ef5a2036d4876ae8f4d4477676da968a032d01/codex-3000/compositions/public/DW-2190.md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https://github.com/darknigthmare/deadwall-last-enclosure/blob/f0ef5a2036d4876ae8f4d4477676da968a032d01/codex-3000/compositions/public/DW-2191.md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https://github.com/darknigthmare/deadwall-last-enclosure/blob/f0ef5a2036d4876ae8f4d4477676da968a032d01/codex-3000/compositions/public/DW-2192.md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https://github.com/darknigthmare/deadwall-last-enclosure/blob/f0ef5a2036d4876ae8f4d4477676da968a032d01/codex-3000/compositions/rural/DW-2193.md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https://github.com/darknigthmare/deadwall-last-enclosure/blob/f0ef5a2036d4876ae8f4d4477676da968a032d01/codex-3000/compositions/rural/DW-2194.md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https://github.com/darknigthmare/deadwall-last-enclosure/blob/f0ef5a2036d4876ae8f4d4477676da968a032d01/codex-3000/compositions/rural/DW-2195.md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https://github.com/darknigthmare/deadwall-last-enclosure/blob/f0ef5a2036d4876ae8f4d4477676da968a032d01/codex-3000/compositions/rural/DW-2196.md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https://github.com/darknigthmare/deadwall-last-enclosure/blob/f0ef5a2036d4876ae8f4d4477676da968a032d01/codex-3000/compositions/rural/DW-2197.md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https://github.com/darknigthmare/deadwall-last-enclosure/blob/f0ef5a2036d4876ae8f4d4477676da968a032d01/codex-3000/compositions/rural/DW-2198.md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https://github.com/darknigthmare/deadwall-last-enclosure/blob/f0ef5a2036d4876ae8f4d4477676da968a032d01/codex-3000/compositions/rural/DW-2199.md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https://github.com/darknigthmare/deadwall-last-enclosure/blob/f0ef5a2036d4876ae8f4d4477676da968a032d01/codex-3000/compositions/rural/DW-2200.md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https://github.com/darknigthmare/deadwall-last-enclosure/blob/f0ef5a2036d4876ae8f4d4477676da968a032d01/codex-3000/compositions/rural/DW-2201.md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https://github.com/darknigthmare/deadwall-last-enclosure/blob/f0ef5a2036d4876ae8f4d4477676da968a032d01/codex-3000/compositions/rural/DW-2202.md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https://github.com/darknigthmare/deadwall-last-enclosure/blob/f0ef5a2036d4876ae8f4d4477676da968a032d01/codex-3000/compositions/rural/DW-2203.md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https://github.com/darknigthmare/deadwall-last-enclosure/blob/f0ef5a2036d4876ae8f4d4477676da968a032d01/codex-3000/compositions/rural/DW-2204.md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https://github.com/darknigthmare/deadwall-last-enclosure/blob/f0ef5a2036d4876ae8f4d4477676da968a032d01/codex-3000/compositions/rural/DW-2205.md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https://github.com/darknigthmare/deadwall-last-enclosure/blob/f0ef5a2036d4876ae8f4d4477676da968a032d01/codex-3000/compositions/rural/DW-2206.md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https://github.com/darknigthmare/deadwall-last-enclosure/blob/f0ef5a2036d4876ae8f4d4477676da968a032d01/codex-3000/compositions/rural/DW-2207.md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https://github.com/darknigthmare/deadwall-last-enclosure/blob/f0ef5a2036d4876ae8f4d4477676da968a032d01/codex-3000/compositions/rural/DW-2208.md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https://github.com/darknigthmare/deadwall-last-enclosure/blob/f0ef5a2036d4876ae8f4d4477676da968a032d01/codex-3000/compositions/militaire/DW-2209.md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https://github.com/darknigthmare/deadwall-last-enclosure/blob/f0ef5a2036d4876ae8f4d4477676da968a032d01/codex-3000/compositions/militaire/DW-2210.md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https://github.com/darknigthmare/deadwall-last-enclosure/blob/f0ef5a2036d4876ae8f4d4477676da968a032d01/codex-3000/compositions/militaire/DW-2211.md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https://github.com/darknigthmare/deadwall-last-enclosure/blob/f0ef5a2036d4876ae8f4d4477676da968a032d01/codex-3000/compositions/militaire/DW-2212.md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https://github.com/darknigthmare/deadwall-last-enclosure/blob/f0ef5a2036d4876ae8f4d4477676da968a032d01/codex-3000/compositions/militaire/DW-2213.md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https://github.com/darknigthmare/deadwall-last-enclosure/blob/f0ef5a2036d4876ae8f4d4477676da968a032d01/codex-3000/compositions/militaire/DW-2214.md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https://github.com/darknigthmare/deadwall-last-enclosure/blob/f0ef5a2036d4876ae8f4d4477676da968a032d01/codex-3000/compositions/militaire/DW-2215.md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https://github.com/darknigthmare/deadwall-last-enclosure/blob/f0ef5a2036d4876ae8f4d4477676da968a032d01/codex-3000/compositions/militaire/DW-2216.md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https://github.com/darknigthmare/deadwall-last-enclosure/blob/f0ef5a2036d4876ae8f4d4477676da968a032d01/codex-3000/compositions/militaire/DW-2217.md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https://github.com/darknigthmare/deadwall-last-enclosure/blob/f0ef5a2036d4876ae8f4d4477676da968a032d01/codex-3000/compositions/militaire/DW-2218.md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https://github.com/darknigthmare/deadwall-last-enclosure/blob/f0ef5a2036d4876ae8f4d4477676da968a032d01/codex-3000/compositions/militaire/DW-2219.md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https://github.com/darknigthmare/deadwall-last-enclosure/blob/f0ef5a2036d4876ae8f4d4477676da968a032d01/codex-3000/compositions/militaire/DW-2220.md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https://github.com/darknigthmare/deadwall-last-enclosure/blob/f0ef5a2036d4876ae8f4d4477676da968a032d01/codex-3000/compositions/militaire/DW-2221.md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https://github.com/darknigthmare/deadwall-last-enclosure/blob/f0ef5a2036d4876ae8f4d4477676da968a032d01/codex-3000/compositions/militaire/DW-2222.md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https://github.com/darknigthmare/deadwall-last-enclosure/blob/f0ef5a2036d4876ae8f4d4477676da968a032d01/codex-3000/compositions/militaire/DW-2223.md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https://github.com/darknigthmare/deadwall-last-enclosure/blob/f0ef5a2036d4876ae8f4d4477676da968a032d01/codex-3000/compositions/militaire/DW-2224.md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https://github.com/darknigthmare/deadwall-last-enclosure/blob/f0ef5a2036d4876ae8f4d4477676da968a032d01/codex-3000/compositions/transport/DW-2225.md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https://github.com/darknigthmare/deadwall-last-enclosure/blob/f0ef5a2036d4876ae8f4d4477676da968a032d01/codex-3000/compositions/transport/DW-2226.md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https://github.com/darknigthmare/deadwall-last-enclosure/blob/f0ef5a2036d4876ae8f4d4477676da968a032d01/codex-3000/compositions/transport/DW-2227.md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https://github.com/darknigthmare/deadwall-last-enclosure/blob/f0ef5a2036d4876ae8f4d4477676da968a032d01/codex-3000/compositions/transport/DW-2228.md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https://github.com/darknigthmare/deadwall-last-enclosure/blob/f0ef5a2036d4876ae8f4d4477676da968a032d01/codex-3000/compositions/transport/DW-2229.md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https://github.com/darknigthmare/deadwall-last-enclosure/blob/f0ef5a2036d4876ae8f4d4477676da968a032d01/codex-3000/compositions/transport/DW-2230.md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https://github.com/darknigthmare/deadwall-last-enclosure/blob/f0ef5a2036d4876ae8f4d4477676da968a032d01/codex-3000/compositions/transport/DW-2231.md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https://github.com/darknigthmare/deadwall-last-enclosure/blob/f0ef5a2036d4876ae8f4d4477676da968a032d01/codex-3000/compositions/transport/DW-2232.md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https://github.com/darknigthmare/deadwall-last-enclosure/blob/f0ef5a2036d4876ae8f4d4477676da968a032d01/codex-3000/compositions/transport/DW-2233.md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https://github.com/darknigthmare/deadwall-last-enclosure/blob/f0ef5a2036d4876ae8f4d4477676da968a032d01/codex-3000/compositions/transport/DW-2234.md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https://github.com/darknigthmare/deadwall-last-enclosure/blob/f0ef5a2036d4876ae8f4d4477676da968a032d01/codex-3000/compositions/transport/DW-2235.md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https://github.com/darknigthmare/deadwall-last-enclosure/blob/f0ef5a2036d4876ae8f4d4477676da968a032d01/codex-3000/compositions/transport/DW-2236.md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https://github.com/darknigthmare/deadwall-last-enclosure/blob/f0ef5a2036d4876ae8f4d4477676da968a032d01/codex-3000/compositions/transport/DW-2237.md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https://github.com/darknigthmare/deadwall-last-enclosure/blob/f0ef5a2036d4876ae8f4d4477676da968a032d01/codex-3000/compositions/transport/DW-2238.md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https://github.com/darknigthmare/deadwall-last-enclosure/blob/f0ef5a2036d4876ae8f4d4477676da968a032d01/codex-3000/compositions/transport/DW-2239.md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https://github.com/darknigthmare/deadwall-last-enclosure/blob/f0ef5a2036d4876ae8f4d4477676da968a032d01/codex-3000/compositions/transport/DW-2240.md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https://github.com/darknigthmare/deadwall-last-enclosure/blob/f0ef5a2036d4876ae8f4d4477676da968a032d01/codex-3000/compositions/ruines/DW-2241.md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https://github.com/darknigthmare/deadwall-last-enclosure/blob/f0ef5a2036d4876ae8f4d4477676da968a032d01/codex-3000/compositions/ruines/DW-2242.md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https://github.com/darknigthmare/deadwall-last-enclosure/blob/f0ef5a2036d4876ae8f4d4477676da968a032d01/codex-3000/compositions/ruines/DW-2243.md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https://github.com/darknigthmare/deadwall-last-enclosure/blob/f0ef5a2036d4876ae8f4d4477676da968a032d01/codex-3000/compositions/ruines/DW-2244.md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https://github.com/darknigthmare/deadwall-last-enclosure/blob/f0ef5a2036d4876ae8f4d4477676da968a032d01/codex-3000/compositions/ruines/DW-2245.md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https://github.com/darknigthmare/deadwall-last-enclosure/blob/f0ef5a2036d4876ae8f4d4477676da968a032d01/codex-3000/compositions/ruines/DW-2246.md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https://github.com/darknigthmare/deadwall-last-enclosure/blob/f0ef5a2036d4876ae8f4d4477676da968a032d01/codex-3000/compositions/ruines/DW-2247.md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https://github.com/darknigthmare/deadwall-last-enclosure/blob/f0ef5a2036d4876ae8f4d4477676da968a032d01/codex-3000/compositions/ruines/DW-2248.md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https://github.com/darknigthmare/deadwall-last-enclosure/blob/f0ef5a2036d4876ae8f4d4477676da968a032d01/codex-3000/compositions/ruines/DW-2249.md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https://github.com/darknigthmare/deadwall-last-enclosure/blob/f0ef5a2036d4876ae8f4d4477676da968a032d01/codex-3000/compositions/ruines/DW-2250.md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https://github.com/darknigthmare/deadwall-last-enclosure/blob/f0ef5a2036d4876ae8f4d4477676da968a032d01/codex-3000/compositions/ruines/DW-2251.md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https://github.com/darknigthmare/deadwall-last-enclosure/blob/f0ef5a2036d4876ae8f4d4477676da968a032d01/codex-3000/compositions/ruines/DW-2252.md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https://github.com/darknigthmare/deadwall-last-enclosure/blob/f0ef5a2036d4876ae8f4d4477676da968a032d01/codex-3000/compositions/ruines/DW-2253.md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https://github.com/darknigthmare/deadwall-last-enclosure/blob/f0ef5a2036d4876ae8f4d4477676da968a032d01/codex-3000/compositions/ruines/DW-2254.md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https://github.com/darknigthmare/deadwall-last-enclosure/blob/f0ef5a2036d4876ae8f4d4477676da968a032d01/codex-3000/compositions/ruines/DW-2255.md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https://github.com/darknigthmare/deadwall-last-enclosure/blob/f0ef5a2036d4876ae8f4d4477676da968a032d01/codex-3000/compositions/ruines/DW-2256.md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https://github.com/darknigthmare/deadwall-last-enclosure/blob/f0ef5a2036d4876ae8f4d4477676da968a032d01/codex-3000/compositions/habitat/DW-2257.md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https://github.com/darknigthmare/deadwall-last-enclosure/blob/f0ef5a2036d4876ae8f4d4477676da968a032d01/codex-3000/compositions/habitat/DW-2258.md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https://github.com/darknigthmare/deadwall-last-enclosure/blob/f0ef5a2036d4876ae8f4d4477676da968a032d01/codex-3000/compositions/habitat/DW-2259.md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https://github.com/darknigthmare/deadwall-last-enclosure/blob/f0ef5a2036d4876ae8f4d4477676da968a032d01/codex-3000/compositions/habitat/DW-2260.md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https://github.com/darknigthmare/deadwall-last-enclosure/blob/f0ef5a2036d4876ae8f4d4477676da968a032d01/codex-3000/compositions/habitat/DW-2261.md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https://github.com/darknigthmare/deadwall-last-enclosure/blob/f0ef5a2036d4876ae8f4d4477676da968a032d01/codex-3000/compositions/habitat/DW-2262.md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https://github.com/darknigthmare/deadwall-last-enclosure/blob/f0ef5a2036d4876ae8f4d4477676da968a032d01/codex-3000/compositions/habitat/DW-2263.md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https://github.com/darknigthmare/deadwall-last-enclosure/blob/f0ef5a2036d4876ae8f4d4477676da968a032d01/codex-3000/compositions/habitat/DW-2264.md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https://github.com/darknigthmare/deadwall-last-enclosure/blob/f0ef5a2036d4876ae8f4d4477676da968a032d01/codex-3000/compositions/habitat/DW-2265.md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https://github.com/darknigthmare/deadwall-last-enclosure/blob/f0ef5a2036d4876ae8f4d4477676da968a032d01/codex-3000/compositions/habitat/DW-2266.md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https://github.com/darknigthmare/deadwall-last-enclosure/blob/f0ef5a2036d4876ae8f4d4477676da968a032d01/codex-3000/compositions/habitat/DW-2267.md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https://github.com/darknigthmare/deadwall-last-enclosure/blob/f0ef5a2036d4876ae8f4d4477676da968a032d01/codex-3000/compositions/habitat/DW-2268.md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https://github.com/darknigthmare/deadwall-last-enclosure/blob/f0ef5a2036d4876ae8f4d4477676da968a032d01/codex-3000/compositions/habitat/DW-2269.md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https://github.com/darknigthmare/deadwall-last-enclosure/blob/f0ef5a2036d4876ae8f4d4477676da968a032d01/codex-3000/compositions/habitat/DW-2270.md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https://github.com/darknigthmare/deadwall-last-enclosure/blob/f0ef5a2036d4876ae8f4d4477676da968a032d01/codex-3000/compositions/habitat/DW-2271.md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https://github.com/darknigthmare/deadwall-last-enclosure/blob/f0ef5a2036d4876ae8f4d4477676da968a032d01/codex-3000/compositions/habitat/DW-2272.md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https://github.com/darknigthmare/deadwall-last-enclosure/blob/f0ef5a2036d4876ae8f4d4477676da968a032d01/codex-3000/compositions/commerce/DW-2273.md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https://github.com/darknigthmare/deadwall-last-enclosure/blob/f0ef5a2036d4876ae8f4d4477676da968a032d01/codex-3000/compositions/commerce/DW-2274.md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https://github.com/darknigthmare/deadwall-last-enclosure/blob/f0ef5a2036d4876ae8f4d4477676da968a032d01/codex-3000/compositions/commerce/DW-2275.md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https://github.com/darknigthmare/deadwall-last-enclosure/blob/f0ef5a2036d4876ae8f4d4477676da968a032d01/codex-3000/compositions/commerce/DW-2276.md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https://github.com/darknigthmare/deadwall-last-enclosure/blob/f0ef5a2036d4876ae8f4d4477676da968a032d01/codex-3000/compositions/commerce/DW-2277.md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https://github.com/darknigthmare/deadwall-last-enclosure/blob/f0ef5a2036d4876ae8f4d4477676da968a032d01/codex-3000/compositions/commerce/DW-2278.md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https://github.com/darknigthmare/deadwall-last-enclosure/blob/f0ef5a2036d4876ae8f4d4477676da968a032d01/codex-3000/compositions/commerce/DW-2279.md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https://github.com/darknigthmare/deadwall-last-enclosure/blob/f0ef5a2036d4876ae8f4d4477676da968a032d01/codex-3000/compositions/commerce/DW-2280.md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https://github.com/darknigthmare/deadwall-last-enclosure/blob/f0ef5a2036d4876ae8f4d4477676da968a032d01/codex-3000/compositions/commerce/DW-2281.md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https://github.com/darknigthmare/deadwall-last-enclosure/blob/f0ef5a2036d4876ae8f4d4477676da968a032d01/codex-3000/compositions/commerce/DW-2282.md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https://github.com/darknigthmare/deadwall-last-enclosure/blob/f0ef5a2036d4876ae8f4d4477676da968a032d01/codex-3000/compositions/commerce/DW-2283.md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https://github.com/darknigthmare/deadwall-last-enclosure/blob/f0ef5a2036d4876ae8f4d4477676da968a032d01/codex-3000/compositions/commerce/DW-2284.md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https://github.com/darknigthmare/deadwall-last-enclosure/blob/f0ef5a2036d4876ae8f4d4477676da968a032d01/codex-3000/compositions/commerce/DW-2285.md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https://github.com/darknigthmare/deadwall-last-enclosure/blob/f0ef5a2036d4876ae8f4d4477676da968a032d01/codex-3000/compositions/commerce/DW-2286.md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https://github.com/darknigthmare/deadwall-last-enclosure/blob/f0ef5a2036d4876ae8f4d4477676da968a032d01/codex-3000/compositions/commerce/DW-2287.md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https://github.com/darknigthmare/deadwall-last-enclosure/blob/f0ef5a2036d4876ae8f4d4477676da968a032d01/codex-3000/compositions/commerce/DW-2288.md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https://github.com/darknigthmare/deadwall-last-enclosure/blob/f0ef5a2036d4876ae8f4d4477676da968a032d01/codex-3000/compositions/industrie/DW-2289.md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https://github.com/darknigthmare/deadwall-last-enclosure/blob/f0ef5a2036d4876ae8f4d4477676da968a032d01/codex-3000/compositions/industrie/DW-2290.md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https://github.com/darknigthmare/deadwall-last-enclosure/blob/f0ef5a2036d4876ae8f4d4477676da968a032d01/codex-3000/compositions/industrie/DW-2291.md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https://github.com/darknigthmare/deadwall-last-enclosure/blob/f0ef5a2036d4876ae8f4d4477676da968a032d01/codex-3000/compositions/industrie/DW-2292.md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https://github.com/darknigthmare/deadwall-last-enclosure/blob/f0ef5a2036d4876ae8f4d4477676da968a032d01/codex-3000/compositions/industrie/DW-2293.md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https://github.com/darknigthmare/deadwall-last-enclosure/blob/f0ef5a2036d4876ae8f4d4477676da968a032d01/codex-3000/compositions/industrie/DW-2294.md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https://github.com/darknigthmare/deadwall-last-enclosure/blob/f0ef5a2036d4876ae8f4d4477676da968a032d01/codex-3000/compositions/industrie/DW-2295.md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https://github.com/darknigthmare/deadwall-last-enclosure/blob/f0ef5a2036d4876ae8f4d4477676da968a032d01/codex-3000/compositions/industrie/DW-2296.md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https://github.com/darknigthmare/deadwall-last-enclosure/blob/f0ef5a2036d4876ae8f4d4477676da968a032d01/codex-3000/compositions/industrie/DW-2297.md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https://github.com/darknigthmare/deadwall-last-enclosure/blob/f0ef5a2036d4876ae8f4d4477676da968a032d01/codex-3000/compositions/industrie/DW-2298.md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https://github.com/darknigthmare/deadwall-last-enclosure/blob/f0ef5a2036d4876ae8f4d4477676da968a032d01/codex-3000/compositions/industrie/DW-2299.md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https://github.com/darknigthmare/deadwall-last-enclosure/blob/f0ef5a2036d4876ae8f4d4477676da968a032d01/codex-3000/compositions/industrie/DW-2300.md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https://github.com/darknigthmare/deadwall-last-enclosure/blob/f0ef5a2036d4876ae8f4d4477676da968a032d01/codex-3000/compositions/industrie/DW-2301.md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https://github.com/darknigthmare/deadwall-last-enclosure/blob/f0ef5a2036d4876ae8f4d4477676da968a032d01/codex-3000/compositions/industrie/DW-2302.md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https://github.com/darknigthmare/deadwall-last-enclosure/blob/f0ef5a2036d4876ae8f4d4477676da968a032d01/codex-3000/compositions/industrie/DW-2303.md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https://github.com/darknigthmare/deadwall-last-enclosure/blob/f0ef5a2036d4876ae8f4d4477676da968a032d01/codex-3000/compositions/industrie/DW-2304.md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https://github.com/darknigthmare/deadwall-last-enclosure/blob/f0ef5a2036d4876ae8f4d4477676da968a032d01/codex-3000/compositions/public/DW-2305.md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https://github.com/darknigthmare/deadwall-last-enclosure/blob/f0ef5a2036d4876ae8f4d4477676da968a032d01/codex-3000/compositions/public/DW-2306.md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https://github.com/darknigthmare/deadwall-last-enclosure/blob/f0ef5a2036d4876ae8f4d4477676da968a032d01/codex-3000/compositions/public/DW-2307.md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https://github.com/darknigthmare/deadwall-last-enclosure/blob/f0ef5a2036d4876ae8f4d4477676da968a032d01/codex-3000/compositions/public/DW-2308.md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https://github.com/darknigthmare/deadwall-last-enclosure/blob/f0ef5a2036d4876ae8f4d4477676da968a032d01/codex-3000/compositions/public/DW-2309.md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https://github.com/darknigthmare/deadwall-last-enclosure/blob/f0ef5a2036d4876ae8f4d4477676da968a032d01/codex-3000/compositions/public/DW-2310.md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https://github.com/darknigthmare/deadwall-last-enclosure/blob/f0ef5a2036d4876ae8f4d4477676da968a032d01/codex-3000/compositions/public/DW-2311.md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https://github.com/darknigthmare/deadwall-last-enclosure/blob/f0ef5a2036d4876ae8f4d4477676da968a032d01/codex-3000/compositions/public/DW-2312.md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https://github.com/darknigthmare/deadwall-last-enclosure/blob/f0ef5a2036d4876ae8f4d4477676da968a032d01/codex-3000/compositions/public/DW-2313.md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https://github.com/darknigthmare/deadwall-last-enclosure/blob/f0ef5a2036d4876ae8f4d4477676da968a032d01/codex-3000/compositions/public/DW-2314.md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https://github.com/darknigthmare/deadwall-last-enclosure/blob/f0ef5a2036d4876ae8f4d4477676da968a032d01/codex-3000/compositions/public/DW-2315.md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https://github.com/darknigthmare/deadwall-last-enclosure/blob/f0ef5a2036d4876ae8f4d4477676da968a032d01/codex-3000/compositions/public/DW-2316.md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https://github.com/darknigthmare/deadwall-last-enclosure/blob/f0ef5a2036d4876ae8f4d4477676da968a032d01/codex-3000/compositions/public/DW-2317.md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https://github.com/darknigthmare/deadwall-last-enclosure/blob/f0ef5a2036d4876ae8f4d4477676da968a032d01/codex-3000/compositions/public/DW-2318.md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https://github.com/darknigthmare/deadwall-last-enclosure/blob/f0ef5a2036d4876ae8f4d4477676da968a032d01/codex-3000/compositions/public/DW-2319.md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https://github.com/darknigthmare/deadwall-last-enclosure/blob/f0ef5a2036d4876ae8f4d4477676da968a032d01/codex-3000/compositions/public/DW-2320.md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https://github.com/darknigthmare/deadwall-last-enclosure/blob/f0ef5a2036d4876ae8f4d4477676da968a032d01/codex-3000/compositions/rural/DW-2321.md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https://github.com/darknigthmare/deadwall-last-enclosure/blob/f0ef5a2036d4876ae8f4d4477676da968a032d01/codex-3000/compositions/rural/DW-2322.md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https://github.com/darknigthmare/deadwall-last-enclosure/blob/f0ef5a2036d4876ae8f4d4477676da968a032d01/codex-3000/compositions/rural/DW-2323.md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https://github.com/darknigthmare/deadwall-last-enclosure/blob/f0ef5a2036d4876ae8f4d4477676da968a032d01/codex-3000/compositions/rural/DW-2324.md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https://github.com/darknigthmare/deadwall-last-enclosure/blob/f0ef5a2036d4876ae8f4d4477676da968a032d01/codex-3000/compositions/rural/DW-2325.md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https://github.com/darknigthmare/deadwall-last-enclosure/blob/f0ef5a2036d4876ae8f4d4477676da968a032d01/codex-3000/compositions/rural/DW-2326.md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https://github.com/darknigthmare/deadwall-last-enclosure/blob/f0ef5a2036d4876ae8f4d4477676da968a032d01/codex-3000/compositions/rural/DW-2327.md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https://github.com/darknigthmare/deadwall-last-enclosure/blob/f0ef5a2036d4876ae8f4d4477676da968a032d01/codex-3000/compositions/rural/DW-2328.md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https://github.com/darknigthmare/deadwall-last-enclosure/blob/f0ef5a2036d4876ae8f4d4477676da968a032d01/codex-3000/compositions/rural/DW-2329.md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https://github.com/darknigthmare/deadwall-last-enclosure/blob/f0ef5a2036d4876ae8f4d4477676da968a032d01/codex-3000/compositions/rural/DW-2330.md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https://github.com/darknigthmare/deadwall-last-enclosure/blob/f0ef5a2036d4876ae8f4d4477676da968a032d01/codex-3000/compositions/rural/DW-2331.md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https://github.com/darknigthmare/deadwall-last-enclosure/blob/f0ef5a2036d4876ae8f4d4477676da968a032d01/codex-3000/compositions/rural/DW-2332.md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https://github.com/darknigthmare/deadwall-last-enclosure/blob/f0ef5a2036d4876ae8f4d4477676da968a032d01/codex-3000/compositions/rural/DW-2333.md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https://github.com/darknigthmare/deadwall-last-enclosure/blob/f0ef5a2036d4876ae8f4d4477676da968a032d01/codex-3000/compositions/rural/DW-2334.md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https://github.com/darknigthmare/deadwall-last-enclosure/blob/f0ef5a2036d4876ae8f4d4477676da968a032d01/codex-3000/compositions/rural/DW-2335.md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https://github.com/darknigthmare/deadwall-last-enclosure/blob/f0ef5a2036d4876ae8f4d4477676da968a032d01/codex-3000/compositions/rural/DW-2336.md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https://github.com/darknigthmare/deadwall-last-enclosure/blob/f0ef5a2036d4876ae8f4d4477676da968a032d01/codex-3000/compositions/militaire/DW-2337.md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https://github.com/darknigthmare/deadwall-last-enclosure/blob/f0ef5a2036d4876ae8f4d4477676da968a032d01/codex-3000/compositions/militaire/DW-2338.md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https://github.com/darknigthmare/deadwall-last-enclosure/blob/f0ef5a2036d4876ae8f4d4477676da968a032d01/codex-3000/compositions/militaire/DW-2339.md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https://github.com/darknigthmare/deadwall-last-enclosure/blob/f0ef5a2036d4876ae8f4d4477676da968a032d01/codex-3000/compositions/militaire/DW-2340.md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https://github.com/darknigthmare/deadwall-last-enclosure/blob/f0ef5a2036d4876ae8f4d4477676da968a032d01/codex-3000/compositions/militaire/DW-2341.md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https://github.com/darknigthmare/deadwall-last-enclosure/blob/f0ef5a2036d4876ae8f4d4477676da968a032d01/codex-3000/compositions/militaire/DW-2342.md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https://github.com/darknigthmare/deadwall-last-enclosure/blob/f0ef5a2036d4876ae8f4d4477676da968a032d01/codex-3000/compositions/militaire/DW-2343.md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https://github.com/darknigthmare/deadwall-last-enclosure/blob/f0ef5a2036d4876ae8f4d4477676da968a032d01/codex-3000/compositions/militaire/DW-2344.md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https://github.com/darknigthmare/deadwall-last-enclosure/blob/f0ef5a2036d4876ae8f4d4477676da968a032d01/codex-3000/compositions/militaire/DW-2345.md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https://github.com/darknigthmare/deadwall-last-enclosure/blob/f0ef5a2036d4876ae8f4d4477676da968a032d01/codex-3000/compositions/militaire/DW-2346.md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https://github.com/darknigthmare/deadwall-last-enclosure/blob/f0ef5a2036d4876ae8f4d4477676da968a032d01/codex-3000/compositions/militaire/DW-2347.md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https://github.com/darknigthmare/deadwall-last-enclosure/blob/f0ef5a2036d4876ae8f4d4477676da968a032d01/codex-3000/compositions/militaire/DW-2348.md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https://github.com/darknigthmare/deadwall-last-enclosure/blob/f0ef5a2036d4876ae8f4d4477676da968a032d01/codex-3000/compositions/militaire/DW-2349.md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https://github.com/darknigthmare/deadwall-last-enclosure/blob/f0ef5a2036d4876ae8f4d4477676da968a032d01/codex-3000/compositions/militaire/DW-2350.md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https://github.com/darknigthmare/deadwall-last-enclosure/blob/f0ef5a2036d4876ae8f4d4477676da968a032d01/codex-3000/compositions/militaire/DW-2351.md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https://github.com/darknigthmare/deadwall-last-enclosure/blob/f0ef5a2036d4876ae8f4d4477676da968a032d01/codex-3000/compositions/militaire/DW-2352.md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https://github.com/darknigthmare/deadwall-last-enclosure/blob/f0ef5a2036d4876ae8f4d4477676da968a032d01/codex-3000/compositions/transport/DW-2353.md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https://github.com/darknigthmare/deadwall-last-enclosure/blob/f0ef5a2036d4876ae8f4d4477676da968a032d01/codex-3000/compositions/transport/DW-2354.md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https://github.com/darknigthmare/deadwall-last-enclosure/blob/f0ef5a2036d4876ae8f4d4477676da968a032d01/codex-3000/compositions/transport/DW-2355.md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https://github.com/darknigthmare/deadwall-last-enclosure/blob/f0ef5a2036d4876ae8f4d4477676da968a032d01/codex-3000/compositions/transport/DW-2356.md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https://github.com/darknigthmare/deadwall-last-enclosure/blob/f0ef5a2036d4876ae8f4d4477676da968a032d01/codex-3000/compositions/transport/DW-2357.md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https://github.com/darknigthmare/deadwall-last-enclosure/blob/f0ef5a2036d4876ae8f4d4477676da968a032d01/codex-3000/compositions/transport/DW-2358.md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https://github.com/darknigthmare/deadwall-last-enclosure/blob/f0ef5a2036d4876ae8f4d4477676da968a032d01/codex-3000/compositions/transport/DW-2359.md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https://github.com/darknigthmare/deadwall-last-enclosure/blob/f0ef5a2036d4876ae8f4d4477676da968a032d01/codex-3000/compositions/transport/DW-2360.md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https://github.com/darknigthmare/deadwall-last-enclosure/blob/f0ef5a2036d4876ae8f4d4477676da968a032d01/codex-3000/compositions/transport/DW-2361.md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https://github.com/darknigthmare/deadwall-last-enclosure/blob/f0ef5a2036d4876ae8f4d4477676da968a032d01/codex-3000/compositions/transport/DW-2362.md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https://github.com/darknigthmare/deadwall-last-enclosure/blob/f0ef5a2036d4876ae8f4d4477676da968a032d01/codex-3000/compositions/transport/DW-2363.md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https://github.com/darknigthmare/deadwall-last-enclosure/blob/f0ef5a2036d4876ae8f4d4477676da968a032d01/codex-3000/compositions/transport/DW-2364.md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https://github.com/darknigthmare/deadwall-last-enclosure/blob/f0ef5a2036d4876ae8f4d4477676da968a032d01/codex-3000/compositions/transport/DW-2365.md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https://github.com/darknigthmare/deadwall-last-enclosure/blob/f0ef5a2036d4876ae8f4d4477676da968a032d01/codex-3000/compositions/transport/DW-2366.md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https://github.com/darknigthmare/deadwall-last-enclosure/blob/f0ef5a2036d4876ae8f4d4477676da968a032d01/codex-3000/compositions/transport/DW-2367.md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https://github.com/darknigthmare/deadwall-last-enclosure/blob/f0ef5a2036d4876ae8f4d4477676da968a032d01/codex-3000/compositions/transport/DW-2368.md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https://github.com/darknigthmare/deadwall-last-enclosure/blob/f0ef5a2036d4876ae8f4d4477676da968a032d01/codex-3000/compositions/ruines/DW-2369.md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https://github.com/darknigthmare/deadwall-last-enclosure/blob/f0ef5a2036d4876ae8f4d4477676da968a032d01/codex-3000/compositions/ruines/DW-2370.md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https://github.com/darknigthmare/deadwall-last-enclosure/blob/f0ef5a2036d4876ae8f4d4477676da968a032d01/codex-3000/compositions/ruines/DW-2371.md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https://github.com/darknigthmare/deadwall-last-enclosure/blob/f0ef5a2036d4876ae8f4d4477676da968a032d01/codex-3000/compositions/ruines/DW-2372.md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https://github.com/darknigthmare/deadwall-last-enclosure/blob/f0ef5a2036d4876ae8f4d4477676da968a032d01/codex-3000/compositions/ruines/DW-2373.md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https://github.com/darknigthmare/deadwall-last-enclosure/blob/f0ef5a2036d4876ae8f4d4477676da968a032d01/codex-3000/compositions/ruines/DW-2374.md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https://github.com/darknigthmare/deadwall-last-enclosure/blob/f0ef5a2036d4876ae8f4d4477676da968a032d01/codex-3000/compositions/ruines/DW-2375.md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https://github.com/darknigthmare/deadwall-last-enclosure/blob/f0ef5a2036d4876ae8f4d4477676da968a032d01/codex-3000/compositions/ruines/DW-2376.md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https://github.com/darknigthmare/deadwall-last-enclosure/blob/f0ef5a2036d4876ae8f4d4477676da968a032d01/codex-3000/compositions/ruines/DW-2377.md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https://github.com/darknigthmare/deadwall-last-enclosure/blob/f0ef5a2036d4876ae8f4d4477676da968a032d01/codex-3000/compositions/ruines/DW-2378.md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https://github.com/darknigthmare/deadwall-last-enclosure/blob/f0ef5a2036d4876ae8f4d4477676da968a032d01/codex-3000/compositions/ruines/DW-2379.md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https://github.com/darknigthmare/deadwall-last-enclosure/blob/f0ef5a2036d4876ae8f4d4477676da968a032d01/codex-3000/compositions/ruines/DW-2380.md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https://github.com/darknigthmare/deadwall-last-enclosure/blob/f0ef5a2036d4876ae8f4d4477676da968a032d01/codex-3000/compositions/ruines/DW-2381.md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https://github.com/darknigthmare/deadwall-last-enclosure/blob/f0ef5a2036d4876ae8f4d4477676da968a032d01/codex-3000/compositions/ruines/DW-2382.md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https://github.com/darknigthmare/deadwall-last-enclosure/blob/f0ef5a2036d4876ae8f4d4477676da968a032d01/codex-3000/compositions/ruines/DW-2383.md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https://github.com/darknigthmare/deadwall-last-enclosure/blob/f0ef5a2036d4876ae8f4d4477676da968a032d01/codex-3000/compositions/ruines/DW-2384.md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https://github.com/darknigthmare/deadwall-last-enclosure/blob/f0ef5a2036d4876ae8f4d4477676da968a032d01/codex-3000/compositions/habitat/DW-2385.md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https://github.com/darknigthmare/deadwall-last-enclosure/blob/f0ef5a2036d4876ae8f4d4477676da968a032d01/codex-3000/compositions/habitat/DW-2386.md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https://github.com/darknigthmare/deadwall-last-enclosure/blob/f0ef5a2036d4876ae8f4d4477676da968a032d01/codex-3000/compositions/habitat/DW-2387.md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https://github.com/darknigthmare/deadwall-last-enclosure/blob/f0ef5a2036d4876ae8f4d4477676da968a032d01/codex-3000/compositions/habitat/DW-2388.md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https://github.com/darknigthmare/deadwall-last-enclosure/blob/f0ef5a2036d4876ae8f4d4477676da968a032d01/codex-3000/compositions/habitat/DW-2389.md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https://github.com/darknigthmare/deadwall-last-enclosure/blob/f0ef5a2036d4876ae8f4d4477676da968a032d01/codex-3000/compositions/habitat/DW-2390.md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https://github.com/darknigthmare/deadwall-last-enclosure/blob/f0ef5a2036d4876ae8f4d4477676da968a032d01/codex-3000/compositions/habitat/DW-2391.md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https://github.com/darknigthmare/deadwall-last-enclosure/blob/f0ef5a2036d4876ae8f4d4477676da968a032d01/codex-3000/compositions/habitat/DW-2392.md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https://github.com/darknigthmare/deadwall-last-enclosure/blob/f0ef5a2036d4876ae8f4d4477676da968a032d01/codex-3000/compositions/habitat/DW-2393.md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https://github.com/darknigthmare/deadwall-last-enclosure/blob/f0ef5a2036d4876ae8f4d4477676da968a032d01/codex-3000/compositions/habitat/DW-2394.md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https://github.com/darknigthmare/deadwall-last-enclosure/blob/f0ef5a2036d4876ae8f4d4477676da968a032d01/codex-3000/compositions/habitat/DW-2395.md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https://github.com/darknigthmare/deadwall-last-enclosure/blob/f0ef5a2036d4876ae8f4d4477676da968a032d01/codex-3000/compositions/habitat/DW-2396.md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https://github.com/darknigthmare/deadwall-last-enclosure/blob/f0ef5a2036d4876ae8f4d4477676da968a032d01/codex-3000/compositions/habitat/DW-2397.md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https://github.com/darknigthmare/deadwall-last-enclosure/blob/f0ef5a2036d4876ae8f4d4477676da968a032d01/codex-3000/compositions/habitat/DW-2398.md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https://github.com/darknigthmare/deadwall-last-enclosure/blob/f0ef5a2036d4876ae8f4d4477676da968a032d01/codex-3000/compositions/habitat/DW-2399.md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https://github.com/darknigthmare/deadwall-last-enclosure/blob/f0ef5a2036d4876ae8f4d4477676da968a032d01/codex-3000/compositions/habitat/DW-2400.md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https://github.com/darknigthmare/deadwall-last-enclosure/blob/f0ef5a2036d4876ae8f4d4477676da968a032d01/codex-3000/compositions/commerce/DW-2401.md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https://github.com/darknigthmare/deadwall-last-enclosure/blob/f0ef5a2036d4876ae8f4d4477676da968a032d01/codex-3000/compositions/commerce/DW-2402.md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https://github.com/darknigthmare/deadwall-last-enclosure/blob/f0ef5a2036d4876ae8f4d4477676da968a032d01/codex-3000/compositions/commerce/DW-2403.md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https://github.com/darknigthmare/deadwall-last-enclosure/blob/f0ef5a2036d4876ae8f4d4477676da968a032d01/codex-3000/compositions/commerce/DW-2404.md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https://github.com/darknigthmare/deadwall-last-enclosure/blob/f0ef5a2036d4876ae8f4d4477676da968a032d01/codex-3000/compositions/commerce/DW-2405.md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https://github.com/darknigthmare/deadwall-last-enclosure/blob/f0ef5a2036d4876ae8f4d4477676da968a032d01/codex-3000/compositions/commerce/DW-2406.md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https://github.com/darknigthmare/deadwall-last-enclosure/blob/f0ef5a2036d4876ae8f4d4477676da968a032d01/codex-3000/compositions/commerce/DW-2407.md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https://github.com/darknigthmare/deadwall-last-enclosure/blob/f0ef5a2036d4876ae8f4d4477676da968a032d01/codex-3000/compositions/commerce/DW-2408.md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https://github.com/darknigthmare/deadwall-last-enclosure/blob/f0ef5a2036d4876ae8f4d4477676da968a032d01/codex-3000/compositions/commerce/DW-2409.md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https://github.com/darknigthmare/deadwall-last-enclosure/blob/f0ef5a2036d4876ae8f4d4477676da968a032d01/codex-3000/compositions/commerce/DW-2410.md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https://github.com/darknigthmare/deadwall-last-enclosure/blob/f0ef5a2036d4876ae8f4d4477676da968a032d01/codex-3000/compositions/commerce/DW-2411.md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https://github.com/darknigthmare/deadwall-last-enclosure/blob/f0ef5a2036d4876ae8f4d4477676da968a032d01/codex-3000/compositions/commerce/DW-2412.md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https://github.com/darknigthmare/deadwall-last-enclosure/blob/f0ef5a2036d4876ae8f4d4477676da968a032d01/codex-3000/compositions/commerce/DW-2413.md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https://github.com/darknigthmare/deadwall-last-enclosure/blob/f0ef5a2036d4876ae8f4d4477676da968a032d01/codex-3000/compositions/commerce/DW-2414.md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https://github.com/darknigthmare/deadwall-last-enclosure/blob/f0ef5a2036d4876ae8f4d4477676da968a032d01/codex-3000/compositions/commerce/DW-2415.md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https://github.com/darknigthmare/deadwall-last-enclosure/blob/f0ef5a2036d4876ae8f4d4477676da968a032d01/codex-3000/compositions/commerce/DW-2416.md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https://github.com/darknigthmare/deadwall-last-enclosure/blob/f0ef5a2036d4876ae8f4d4477676da968a032d01/codex-3000/compositions/industrie/DW-2417.md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https://github.com/darknigthmare/deadwall-last-enclosure/blob/f0ef5a2036d4876ae8f4d4477676da968a032d01/codex-3000/compositions/industrie/DW-2418.md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https://github.com/darknigthmare/deadwall-last-enclosure/blob/f0ef5a2036d4876ae8f4d4477676da968a032d01/codex-3000/compositions/industrie/DW-2419.md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https://github.com/darknigthmare/deadwall-last-enclosure/blob/f0ef5a2036d4876ae8f4d4477676da968a032d01/codex-3000/compositions/industrie/DW-2420.md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https://github.com/darknigthmare/deadwall-last-enclosure/blob/f0ef5a2036d4876ae8f4d4477676da968a032d01/codex-3000/compositions/industrie/DW-2421.md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https://github.com/darknigthmare/deadwall-last-enclosure/blob/f0ef5a2036d4876ae8f4d4477676da968a032d01/codex-3000/compositions/industrie/DW-2422.md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https://github.com/darknigthmare/deadwall-last-enclosure/blob/f0ef5a2036d4876ae8f4d4477676da968a032d01/codex-3000/compositions/industrie/DW-2423.md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https://github.com/darknigthmare/deadwall-last-enclosure/blob/f0ef5a2036d4876ae8f4d4477676da968a032d01/codex-3000/compositions/industrie/DW-2424.md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https://github.com/darknigthmare/deadwall-last-enclosure/blob/f0ef5a2036d4876ae8f4d4477676da968a032d01/codex-3000/compositions/industrie/DW-2425.md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https://github.com/darknigthmare/deadwall-last-enclosure/blob/f0ef5a2036d4876ae8f4d4477676da968a032d01/codex-3000/compositions/industrie/DW-2426.md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https://github.com/darknigthmare/deadwall-last-enclosure/blob/f0ef5a2036d4876ae8f4d4477676da968a032d01/codex-3000/compositions/industrie/DW-2427.md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https://github.com/darknigthmare/deadwall-last-enclosure/blob/f0ef5a2036d4876ae8f4d4477676da968a032d01/codex-3000/compositions/industrie/DW-2428.md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https://github.com/darknigthmare/deadwall-last-enclosure/blob/f0ef5a2036d4876ae8f4d4477676da968a032d01/codex-3000/compositions/industrie/DW-2429.md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https://github.com/darknigthmare/deadwall-last-enclosure/blob/f0ef5a2036d4876ae8f4d4477676da968a032d01/codex-3000/compositions/industrie/DW-2430.md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https://github.com/darknigthmare/deadwall-last-enclosure/blob/f0ef5a2036d4876ae8f4d4477676da968a032d01/codex-3000/compositions/industrie/DW-2431.md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https://github.com/darknigthmare/deadwall-last-enclosure/blob/f0ef5a2036d4876ae8f4d4477676da968a032d01/codex-3000/compositions/industrie/DW-2432.md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https://github.com/darknigthmare/deadwall-last-enclosure/blob/f0ef5a2036d4876ae8f4d4477676da968a032d01/codex-3000/compositions/public/DW-2433.md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https://github.com/darknigthmare/deadwall-last-enclosure/blob/f0ef5a2036d4876ae8f4d4477676da968a032d01/codex-3000/compositions/public/DW-2434.md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https://github.com/darknigthmare/deadwall-last-enclosure/blob/f0ef5a2036d4876ae8f4d4477676da968a032d01/codex-3000/compositions/public/DW-2435.md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https://github.com/darknigthmare/deadwall-last-enclosure/blob/f0ef5a2036d4876ae8f4d4477676da968a032d01/codex-3000/compositions/public/DW-2436.md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https://github.com/darknigthmare/deadwall-last-enclosure/blob/f0ef5a2036d4876ae8f4d4477676da968a032d01/codex-3000/compositions/public/DW-2437.md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https://github.com/darknigthmare/deadwall-last-enclosure/blob/f0ef5a2036d4876ae8f4d4477676da968a032d01/codex-3000/compositions/public/DW-2438.md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https://github.com/darknigthmare/deadwall-last-enclosure/blob/f0ef5a2036d4876ae8f4d4477676da968a032d01/codex-3000/compositions/public/DW-2439.md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https://github.com/darknigthmare/deadwall-last-enclosure/blob/f0ef5a2036d4876ae8f4d4477676da968a032d01/codex-3000/compositions/public/DW-2440.md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https://github.com/darknigthmare/deadwall-last-enclosure/blob/f0ef5a2036d4876ae8f4d4477676da968a032d01/codex-3000/compositions/public/DW-2441.md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https://github.com/darknigthmare/deadwall-last-enclosure/blob/f0ef5a2036d4876ae8f4d4477676da968a032d01/codex-3000/compositions/public/DW-2442.md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https://github.com/darknigthmare/deadwall-last-enclosure/blob/f0ef5a2036d4876ae8f4d4477676da968a032d01/codex-3000/compositions/public/DW-2443.md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https://github.com/darknigthmare/deadwall-last-enclosure/blob/f0ef5a2036d4876ae8f4d4477676da968a032d01/codex-3000/compositions/public/DW-2444.md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https://github.com/darknigthmare/deadwall-last-enclosure/blob/f0ef5a2036d4876ae8f4d4477676da968a032d01/codex-3000/compositions/public/DW-2445.md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https://github.com/darknigthmare/deadwall-last-enclosure/blob/f0ef5a2036d4876ae8f4d4477676da968a032d01/codex-3000/compositions/public/DW-2446.md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https://github.com/darknigthmare/deadwall-last-enclosure/blob/f0ef5a2036d4876ae8f4d4477676da968a032d01/codex-3000/compositions/public/DW-2447.md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https://github.com/darknigthmare/deadwall-last-enclosure/blob/f0ef5a2036d4876ae8f4d4477676da968a032d01/codex-3000/compositions/public/DW-2448.md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https://github.com/darknigthmare/deadwall-last-enclosure/blob/f0ef5a2036d4876ae8f4d4477676da968a032d01/codex-3000/compositions/rural/DW-2449.md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https://github.com/darknigthmare/deadwall-last-enclosure/blob/f0ef5a2036d4876ae8f4d4477676da968a032d01/codex-3000/compositions/rural/DW-2450.md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https://github.com/darknigthmare/deadwall-last-enclosure/blob/f0ef5a2036d4876ae8f4d4477676da968a032d01/codex-3000/compositions/rural/DW-2451.md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https://github.com/darknigthmare/deadwall-last-enclosure/blob/f0ef5a2036d4876ae8f4d4477676da968a032d01/codex-3000/compositions/rural/DW-2452.md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https://github.com/darknigthmare/deadwall-last-enclosure/blob/f0ef5a2036d4876ae8f4d4477676da968a032d01/codex-3000/compositions/rural/DW-2453.md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https://github.com/darknigthmare/deadwall-last-enclosure/blob/f0ef5a2036d4876ae8f4d4477676da968a032d01/codex-3000/compositions/rural/DW-2454.md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https://github.com/darknigthmare/deadwall-last-enclosure/blob/f0ef5a2036d4876ae8f4d4477676da968a032d01/codex-3000/compositions/rural/DW-2455.md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https://github.com/darknigthmare/deadwall-last-enclosure/blob/f0ef5a2036d4876ae8f4d4477676da968a032d01/codex-3000/compositions/rural/DW-2456.md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https://github.com/darknigthmare/deadwall-last-enclosure/blob/f0ef5a2036d4876ae8f4d4477676da968a032d01/codex-3000/compositions/rural/DW-2457.md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https://github.com/darknigthmare/deadwall-last-enclosure/blob/f0ef5a2036d4876ae8f4d4477676da968a032d01/codex-3000/compositions/rural/DW-2458.md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https://github.com/darknigthmare/deadwall-last-enclosure/blob/f0ef5a2036d4876ae8f4d4477676da968a032d01/codex-3000/compositions/rural/DW-2459.md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https://github.com/darknigthmare/deadwall-last-enclosure/blob/f0ef5a2036d4876ae8f4d4477676da968a032d01/codex-3000/compositions/rural/DW-2460.md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https://github.com/darknigthmare/deadwall-last-enclosure/blob/f0ef5a2036d4876ae8f4d4477676da968a032d01/codex-3000/compositions/rural/DW-2461.md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https://github.com/darknigthmare/deadwall-last-enclosure/blob/f0ef5a2036d4876ae8f4d4477676da968a032d01/codex-3000/compositions/rural/DW-2462.md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https://github.com/darknigthmare/deadwall-last-enclosure/blob/f0ef5a2036d4876ae8f4d4477676da968a032d01/codex-3000/compositions/rural/DW-2463.md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https://github.com/darknigthmare/deadwall-last-enclosure/blob/f0ef5a2036d4876ae8f4d4477676da968a032d01/codex-3000/compositions/rural/DW-2464.md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https://github.com/darknigthmare/deadwall-last-enclosure/blob/f0ef5a2036d4876ae8f4d4477676da968a032d01/codex-3000/compositions/militaire/DW-2465.md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https://github.com/darknigthmare/deadwall-last-enclosure/blob/f0ef5a2036d4876ae8f4d4477676da968a032d01/codex-3000/compositions/militaire/DW-2466.md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https://github.com/darknigthmare/deadwall-last-enclosure/blob/f0ef5a2036d4876ae8f4d4477676da968a032d01/codex-3000/compositions/militaire/DW-2467.md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https://github.com/darknigthmare/deadwall-last-enclosure/blob/f0ef5a2036d4876ae8f4d4477676da968a032d01/codex-3000/compositions/militaire/DW-2468.md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https://github.com/darknigthmare/deadwall-last-enclosure/blob/f0ef5a2036d4876ae8f4d4477676da968a032d01/codex-3000/compositions/militaire/DW-2469.md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https://github.com/darknigthmare/deadwall-last-enclosure/blob/f0ef5a2036d4876ae8f4d4477676da968a032d01/codex-3000/compositions/militaire/DW-2470.md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https://github.com/darknigthmare/deadwall-last-enclosure/blob/f0ef5a2036d4876ae8f4d4477676da968a032d01/codex-3000/compositions/militaire/DW-2471.md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https://github.com/darknigthmare/deadwall-last-enclosure/blob/f0ef5a2036d4876ae8f4d4477676da968a032d01/codex-3000/compositions/militaire/DW-2472.md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https://github.com/darknigthmare/deadwall-last-enclosure/blob/f0ef5a2036d4876ae8f4d4477676da968a032d01/codex-3000/compositions/militaire/DW-2473.md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https://github.com/darknigthmare/deadwall-last-enclosure/blob/f0ef5a2036d4876ae8f4d4477676da968a032d01/codex-3000/compositions/militaire/DW-2474.md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https://github.com/darknigthmare/deadwall-last-enclosure/blob/f0ef5a2036d4876ae8f4d4477676da968a032d01/codex-3000/compositions/militaire/DW-2475.md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https://github.com/darknigthmare/deadwall-last-enclosure/blob/f0ef5a2036d4876ae8f4d4477676da968a032d01/codex-3000/compositions/militaire/DW-2476.md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https://github.com/darknigthmare/deadwall-last-enclosure/blob/f0ef5a2036d4876ae8f4d4477676da968a032d01/codex-3000/compositions/militaire/DW-2477.md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https://github.com/darknigthmare/deadwall-last-enclosure/blob/f0ef5a2036d4876ae8f4d4477676da968a032d01/codex-3000/compositions/militaire/DW-2478.md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https://github.com/darknigthmare/deadwall-last-enclosure/blob/f0ef5a2036d4876ae8f4d4477676da968a032d01/codex-3000/compositions/militaire/DW-2479.md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https://github.com/darknigthmare/deadwall-last-enclosure/blob/f0ef5a2036d4876ae8f4d4477676da968a032d01/codex-3000/compositions/militaire/DW-2480.md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https://github.com/darknigthmare/deadwall-last-enclosure/blob/f0ef5a2036d4876ae8f4d4477676da968a032d01/codex-3000/compositions/transport/DW-2481.md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https://github.com/darknigthmare/deadwall-last-enclosure/blob/f0ef5a2036d4876ae8f4d4477676da968a032d01/codex-3000/compositions/transport/DW-2482.md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https://github.com/darknigthmare/deadwall-last-enclosure/blob/f0ef5a2036d4876ae8f4d4477676da968a032d01/codex-3000/compositions/transport/DW-2483.md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https://github.com/darknigthmare/deadwall-last-enclosure/blob/f0ef5a2036d4876ae8f4d4477676da968a032d01/codex-3000/compositions/transport/DW-2484.md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https://github.com/darknigthmare/deadwall-last-enclosure/blob/f0ef5a2036d4876ae8f4d4477676da968a032d01/codex-3000/compositions/transport/DW-2485.md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https://github.com/darknigthmare/deadwall-last-enclosure/blob/f0ef5a2036d4876ae8f4d4477676da968a032d01/codex-3000/compositions/transport/DW-2486.md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https://github.com/darknigthmare/deadwall-last-enclosure/blob/f0ef5a2036d4876ae8f4d4477676da968a032d01/codex-3000/compositions/transport/DW-2487.md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https://github.com/darknigthmare/deadwall-last-enclosure/blob/f0ef5a2036d4876ae8f4d4477676da968a032d01/codex-3000/compositions/transport/DW-2488.md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https://github.com/darknigthmare/deadwall-last-enclosure/blob/f0ef5a2036d4876ae8f4d4477676da968a032d01/codex-3000/compositions/transport/DW-2489.md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https://github.com/darknigthmare/deadwall-last-enclosure/blob/f0ef5a2036d4876ae8f4d4477676da968a032d01/codex-3000/compositions/transport/DW-2490.md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https://github.com/darknigthmare/deadwall-last-enclosure/blob/f0ef5a2036d4876ae8f4d4477676da968a032d01/codex-3000/compositions/transport/DW-2491.md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https://github.com/darknigthmare/deadwall-last-enclosure/blob/f0ef5a2036d4876ae8f4d4477676da968a032d01/codex-3000/compositions/transport/DW-2492.md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https://github.com/darknigthmare/deadwall-last-enclosure/blob/f0ef5a2036d4876ae8f4d4477676da968a032d01/codex-3000/compositions/transport/DW-2493.md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https://github.com/darknigthmare/deadwall-last-enclosure/blob/f0ef5a2036d4876ae8f4d4477676da968a032d01/codex-3000/compositions/transport/DW-2494.md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https://github.com/darknigthmare/deadwall-last-enclosure/blob/f0ef5a2036d4876ae8f4d4477676da968a032d01/codex-3000/compositions/transport/DW-2495.md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https://github.com/darknigthmare/deadwall-last-enclosure/blob/f0ef5a2036d4876ae8f4d4477676da968a032d01/codex-3000/compositions/transport/DW-2496.md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https://github.com/darknigthmare/deadwall-last-enclosure/blob/f0ef5a2036d4876ae8f4d4477676da968a032d01/codex-3000/compositions/ruines/DW-2497.md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https://github.com/darknigthmare/deadwall-last-enclosure/blob/f0ef5a2036d4876ae8f4d4477676da968a032d01/codex-3000/compositions/ruines/DW-2498.md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https://github.com/darknigthmare/deadwall-last-enclosure/blob/f0ef5a2036d4876ae8f4d4477676da968a032d01/codex-3000/compositions/ruines/DW-2499.md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https://github.com/darknigthmare/deadwall-last-enclosure/blob/f0ef5a2036d4876ae8f4d4477676da968a032d01/codex-3000/compositions/ruines/DW-2500.md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https://github.com/darknigthmare/deadwall-last-enclosure/blob/f0ef5a2036d4876ae8f4d4477676da968a032d01/codex-3000/compositions/ruines/DW-2501.md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https://github.com/darknigthmare/deadwall-last-enclosure/blob/f0ef5a2036d4876ae8f4d4477676da968a032d01/codex-3000/compositions/ruines/DW-2502.md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https://github.com/darknigthmare/deadwall-last-enclosure/blob/f0ef5a2036d4876ae8f4d4477676da968a032d01/codex-3000/compositions/ruines/DW-2503.md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https://github.com/darknigthmare/deadwall-last-enclosure/blob/f0ef5a2036d4876ae8f4d4477676da968a032d01/codex-3000/compositions/ruines/DW-2504.md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https://github.com/darknigthmare/deadwall-last-enclosure/blob/f0ef5a2036d4876ae8f4d4477676da968a032d01/codex-3000/compositions/ruines/DW-2505.md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https://github.com/darknigthmare/deadwall-last-enclosure/blob/f0ef5a2036d4876ae8f4d4477676da968a032d01/codex-3000/compositions/ruines/DW-2506.md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https://github.com/darknigthmare/deadwall-last-enclosure/blob/f0ef5a2036d4876ae8f4d4477676da968a032d01/codex-3000/compositions/ruines/DW-2507.md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https://github.com/darknigthmare/deadwall-last-enclosure/blob/f0ef5a2036d4876ae8f4d4477676da968a032d01/codex-3000/compositions/ruines/DW-2508.md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https://github.com/darknigthmare/deadwall-last-enclosure/blob/f0ef5a2036d4876ae8f4d4477676da968a032d01/codex-3000/compositions/ruines/DW-2509.md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https://github.com/darknigthmare/deadwall-last-enclosure/blob/f0ef5a2036d4876ae8f4d4477676da968a032d01/codex-3000/compositions/ruines/DW-2510.md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https://github.com/darknigthmare/deadwall-last-enclosure/blob/f0ef5a2036d4876ae8f4d4477676da968a032d01/codex-3000/compositions/ruines/DW-2511.md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https://github.com/darknigthmare/deadwall-last-enclosure/blob/f0ef5a2036d4876ae8f4d4477676da968a032d01/codex-3000/compositions/ruines/DW-2512.md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https://github.com/darknigthmare/deadwall-last-enclosure/blob/f0ef5a2036d4876ae8f4d4477676da968a032d01/codex-3000/compositions/habitat/DW-2513.md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https://github.com/darknigthmare/deadwall-last-enclosure/blob/f0ef5a2036d4876ae8f4d4477676da968a032d01/codex-3000/compositions/habitat/DW-2514.md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https://github.com/darknigthmare/deadwall-last-enclosure/blob/f0ef5a2036d4876ae8f4d4477676da968a032d01/codex-3000/compositions/habitat/DW-2515.md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https://github.com/darknigthmare/deadwall-last-enclosure/blob/f0ef5a2036d4876ae8f4d4477676da968a032d01/codex-3000/compositions/habitat/DW-2516.md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https://github.com/darknigthmare/deadwall-last-enclosure/blob/f0ef5a2036d4876ae8f4d4477676da968a032d01/codex-3000/compositions/habitat/DW-2517.md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https://github.com/darknigthmare/deadwall-last-enclosure/blob/f0ef5a2036d4876ae8f4d4477676da968a032d01/codex-3000/compositions/habitat/DW-2518.md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https://github.com/darknigthmare/deadwall-last-enclosure/blob/f0ef5a2036d4876ae8f4d4477676da968a032d01/codex-3000/compositions/habitat/DW-2519.md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https://github.com/darknigthmare/deadwall-last-enclosure/blob/f0ef5a2036d4876ae8f4d4477676da968a032d01/codex-3000/compositions/habitat/DW-2520.md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https://github.com/darknigthmare/deadwall-last-enclosure/blob/f0ef5a2036d4876ae8f4d4477676da968a032d01/codex-3000/compositions/habitat/DW-2521.md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https://github.com/darknigthmare/deadwall-last-enclosure/blob/f0ef5a2036d4876ae8f4d4477676da968a032d01/codex-3000/compositions/habitat/DW-2522.md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https://github.com/darknigthmare/deadwall-last-enclosure/blob/f0ef5a2036d4876ae8f4d4477676da968a032d01/codex-3000/compositions/habitat/DW-2523.md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https://github.com/darknigthmare/deadwall-last-enclosure/blob/f0ef5a2036d4876ae8f4d4477676da968a032d01/codex-3000/compositions/habitat/DW-2524.md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https://github.com/darknigthmare/deadwall-last-enclosure/blob/f0ef5a2036d4876ae8f4d4477676da968a032d01/codex-3000/compositions/habitat/DW-2525.md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https://github.com/darknigthmare/deadwall-last-enclosure/blob/f0ef5a2036d4876ae8f4d4477676da968a032d01/codex-3000/compositions/habitat/DW-2526.md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https://github.com/darknigthmare/deadwall-last-enclosure/blob/f0ef5a2036d4876ae8f4d4477676da968a032d01/codex-3000/compositions/habitat/DW-2527.md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https://github.com/darknigthmare/deadwall-last-enclosure/blob/f0ef5a2036d4876ae8f4d4477676da968a032d01/codex-3000/compositions/habitat/DW-2528.md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https://github.com/darknigthmare/deadwall-last-enclosure/blob/f0ef5a2036d4876ae8f4d4477676da968a032d01/codex-3000/compositions/commerce/DW-2529.md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https://github.com/darknigthmare/deadwall-last-enclosure/blob/f0ef5a2036d4876ae8f4d4477676da968a032d01/codex-3000/compositions/commerce/DW-2530.md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https://github.com/darknigthmare/deadwall-last-enclosure/blob/f0ef5a2036d4876ae8f4d4477676da968a032d01/codex-3000/compositions/commerce/DW-2531.md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https://github.com/darknigthmare/deadwall-last-enclosure/blob/f0ef5a2036d4876ae8f4d4477676da968a032d01/codex-3000/compositions/commerce/DW-2532.md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https://github.com/darknigthmare/deadwall-last-enclosure/blob/f0ef5a2036d4876ae8f4d4477676da968a032d01/codex-3000/compositions/commerce/DW-2533.md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https://github.com/darknigthmare/deadwall-last-enclosure/blob/f0ef5a2036d4876ae8f4d4477676da968a032d01/codex-3000/compositions/commerce/DW-2534.md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https://github.com/darknigthmare/deadwall-last-enclosure/blob/f0ef5a2036d4876ae8f4d4477676da968a032d01/codex-3000/compositions/commerce/DW-2535.md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https://github.com/darknigthmare/deadwall-last-enclosure/blob/f0ef5a2036d4876ae8f4d4477676da968a032d01/codex-3000/compositions/commerce/DW-2536.md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https://github.com/darknigthmare/deadwall-last-enclosure/blob/f0ef5a2036d4876ae8f4d4477676da968a032d01/codex-3000/compositions/commerce/DW-2537.md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https://github.com/darknigthmare/deadwall-last-enclosure/blob/f0ef5a2036d4876ae8f4d4477676da968a032d01/codex-3000/compositions/commerce/DW-2538.md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https://github.com/darknigthmare/deadwall-last-enclosure/blob/f0ef5a2036d4876ae8f4d4477676da968a032d01/codex-3000/compositions/commerce/DW-2539.md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https://github.com/darknigthmare/deadwall-last-enclosure/blob/f0ef5a2036d4876ae8f4d4477676da968a032d01/codex-3000/compositions/commerce/DW-2540.md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https://github.com/darknigthmare/deadwall-last-enclosure/blob/f0ef5a2036d4876ae8f4d4477676da968a032d01/codex-3000/compositions/commerce/DW-2541.md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https://github.com/darknigthmare/deadwall-last-enclosure/blob/f0ef5a2036d4876ae8f4d4477676da968a032d01/codex-3000/compositions/commerce/DW-2542.md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https://github.com/darknigthmare/deadwall-last-enclosure/blob/f0ef5a2036d4876ae8f4d4477676da968a032d01/codex-3000/compositions/commerce/DW-2543.md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https://github.com/darknigthmare/deadwall-last-enclosure/blob/f0ef5a2036d4876ae8f4d4477676da968a032d01/codex-3000/compositions/commerce/DW-2544.md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https://github.com/darknigthmare/deadwall-last-enclosure/blob/f0ef5a2036d4876ae8f4d4477676da968a032d01/codex-3000/compositions/industrie/DW-2545.md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https://github.com/darknigthmare/deadwall-last-enclosure/blob/f0ef5a2036d4876ae8f4d4477676da968a032d01/codex-3000/compositions/industrie/DW-2546.md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https://github.com/darknigthmare/deadwall-last-enclosure/blob/f0ef5a2036d4876ae8f4d4477676da968a032d01/codex-3000/compositions/industrie/DW-2547.md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https://github.com/darknigthmare/deadwall-last-enclosure/blob/f0ef5a2036d4876ae8f4d4477676da968a032d01/codex-3000/compositions/industrie/DW-2548.md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https://github.com/darknigthmare/deadwall-last-enclosure/blob/f0ef5a2036d4876ae8f4d4477676da968a032d01/codex-3000/compositions/industrie/DW-2549.md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https://github.com/darknigthmare/deadwall-last-enclosure/blob/f0ef5a2036d4876ae8f4d4477676da968a032d01/codex-3000/compositions/industrie/DW-2550.md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https://github.com/darknigthmare/deadwall-last-enclosure/blob/f0ef5a2036d4876ae8f4d4477676da968a032d01/codex-3000/compositions/industrie/DW-2551.md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https://github.com/darknigthmare/deadwall-last-enclosure/blob/f0ef5a2036d4876ae8f4d4477676da968a032d01/codex-3000/compositions/industrie/DW-2552.md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https://github.com/darknigthmare/deadwall-last-enclosure/blob/f0ef5a2036d4876ae8f4d4477676da968a032d01/codex-3000/compositions/industrie/DW-2553.md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https://github.com/darknigthmare/deadwall-last-enclosure/blob/f0ef5a2036d4876ae8f4d4477676da968a032d01/codex-3000/compositions/industrie/DW-2554.md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https://github.com/darknigthmare/deadwall-last-enclosure/blob/f0ef5a2036d4876ae8f4d4477676da968a032d01/codex-3000/compositions/industrie/DW-2555.md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https://github.com/darknigthmare/deadwall-last-enclosure/blob/f0ef5a2036d4876ae8f4d4477676da968a032d01/codex-3000/compositions/industrie/DW-2556.md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https://github.com/darknigthmare/deadwall-last-enclosure/blob/f0ef5a2036d4876ae8f4d4477676da968a032d01/codex-3000/compositions/industrie/DW-2557.md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https://github.com/darknigthmare/deadwall-last-enclosure/blob/f0ef5a2036d4876ae8f4d4477676da968a032d01/codex-3000/compositions/industrie/DW-2558.md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https://github.com/darknigthmare/deadwall-last-enclosure/blob/f0ef5a2036d4876ae8f4d4477676da968a032d01/codex-3000/compositions/industrie/DW-2559.md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https://github.com/darknigthmare/deadwall-last-enclosure/blob/f0ef5a2036d4876ae8f4d4477676da968a032d01/codex-3000/compositions/industrie/DW-2560.md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https://github.com/darknigthmare/deadwall-last-enclosure/blob/f0ef5a2036d4876ae8f4d4477676da968a032d01/codex-3000/compositions/public/DW-2561.md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https://github.com/darknigthmare/deadwall-last-enclosure/blob/f0ef5a2036d4876ae8f4d4477676da968a032d01/codex-3000/compositions/public/DW-2562.md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https://github.com/darknigthmare/deadwall-last-enclosure/blob/f0ef5a2036d4876ae8f4d4477676da968a032d01/codex-3000/compositions/public/DW-2563.md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https://github.com/darknigthmare/deadwall-last-enclosure/blob/f0ef5a2036d4876ae8f4d4477676da968a032d01/codex-3000/compositions/public/DW-2564.md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https://github.com/darknigthmare/deadwall-last-enclosure/blob/f0ef5a2036d4876ae8f4d4477676da968a032d01/codex-3000/compositions/public/DW-2565.md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https://github.com/darknigthmare/deadwall-last-enclosure/blob/f0ef5a2036d4876ae8f4d4477676da968a032d01/codex-3000/compositions/public/DW-2566.md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https://github.com/darknigthmare/deadwall-last-enclosure/blob/f0ef5a2036d4876ae8f4d4477676da968a032d01/codex-3000/compositions/public/DW-2567.md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https://github.com/darknigthmare/deadwall-last-enclosure/blob/f0ef5a2036d4876ae8f4d4477676da968a032d01/codex-3000/compositions/public/DW-2568.md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https://github.com/darknigthmare/deadwall-last-enclosure/blob/f0ef5a2036d4876ae8f4d4477676da968a032d01/codex-3000/compositions/public/DW-2569.md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https://github.com/darknigthmare/deadwall-last-enclosure/blob/f0ef5a2036d4876ae8f4d4477676da968a032d01/codex-3000/compositions/public/DW-2570.md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https://github.com/darknigthmare/deadwall-last-enclosure/blob/f0ef5a2036d4876ae8f4d4477676da968a032d01/codex-3000/compositions/public/DW-2571.md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https://github.com/darknigthmare/deadwall-last-enclosure/blob/f0ef5a2036d4876ae8f4d4477676da968a032d01/codex-3000/compositions/public/DW-2572.md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https://github.com/darknigthmare/deadwall-last-enclosure/blob/f0ef5a2036d4876ae8f4d4477676da968a032d01/codex-3000/compositions/public/DW-2573.md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https://github.com/darknigthmare/deadwall-last-enclosure/blob/f0ef5a2036d4876ae8f4d4477676da968a032d01/codex-3000/compositions/public/DW-2574.md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https://github.com/darknigthmare/deadwall-last-enclosure/blob/f0ef5a2036d4876ae8f4d4477676da968a032d01/codex-3000/compositions/public/DW-2575.md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https://github.com/darknigthmare/deadwall-last-enclosure/blob/f0ef5a2036d4876ae8f4d4477676da968a032d01/codex-3000/compositions/public/DW-2576.md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https://github.com/darknigthmare/deadwall-last-enclosure/blob/f0ef5a2036d4876ae8f4d4477676da968a032d01/codex-3000/compositions/rural/DW-2577.md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https://github.com/darknigthmare/deadwall-last-enclosure/blob/f0ef5a2036d4876ae8f4d4477676da968a032d01/codex-3000/compositions/rural/DW-2578.md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https://github.com/darknigthmare/deadwall-last-enclosure/blob/f0ef5a2036d4876ae8f4d4477676da968a032d01/codex-3000/compositions/rural/DW-2579.md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https://github.com/darknigthmare/deadwall-last-enclosure/blob/f0ef5a2036d4876ae8f4d4477676da968a032d01/codex-3000/compositions/rural/DW-2580.md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https://github.com/darknigthmare/deadwall-last-enclosure/blob/f0ef5a2036d4876ae8f4d4477676da968a032d01/codex-3000/compositions/rural/DW-2581.md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https://github.com/darknigthmare/deadwall-last-enclosure/blob/f0ef5a2036d4876ae8f4d4477676da968a032d01/codex-3000/compositions/rural/DW-2582.md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https://github.com/darknigthmare/deadwall-last-enclosure/blob/f0ef5a2036d4876ae8f4d4477676da968a032d01/codex-3000/compositions/rural/DW-2583.md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https://github.com/darknigthmare/deadwall-last-enclosure/blob/f0ef5a2036d4876ae8f4d4477676da968a032d01/codex-3000/compositions/rural/DW-2584.md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https://github.com/darknigthmare/deadwall-last-enclosure/blob/f0ef5a2036d4876ae8f4d4477676da968a032d01/codex-3000/compositions/rural/DW-2585.md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https://github.com/darknigthmare/deadwall-last-enclosure/blob/f0ef5a2036d4876ae8f4d4477676da968a032d01/codex-3000/compositions/rural/DW-2586.md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https://github.com/darknigthmare/deadwall-last-enclosure/blob/f0ef5a2036d4876ae8f4d4477676da968a032d01/codex-3000/compositions/rural/DW-2587.md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https://github.com/darknigthmare/deadwall-last-enclosure/blob/f0ef5a2036d4876ae8f4d4477676da968a032d01/codex-3000/compositions/rural/DW-2588.md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https://github.com/darknigthmare/deadwall-last-enclosure/blob/f0ef5a2036d4876ae8f4d4477676da968a032d01/codex-3000/compositions/rural/DW-2589.md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https://github.com/darknigthmare/deadwall-last-enclosure/blob/f0ef5a2036d4876ae8f4d4477676da968a032d01/codex-3000/compositions/rural/DW-2590.md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https://github.com/darknigthmare/deadwall-last-enclosure/blob/f0ef5a2036d4876ae8f4d4477676da968a032d01/codex-3000/compositions/rural/DW-2591.md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https://github.com/darknigthmare/deadwall-last-enclosure/blob/f0ef5a2036d4876ae8f4d4477676da968a032d01/codex-3000/compositions/rural/DW-2592.md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https://github.com/darknigthmare/deadwall-last-enclosure/blob/f0ef5a2036d4876ae8f4d4477676da968a032d01/codex-3000/compositions/militaire/DW-2593.md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https://github.com/darknigthmare/deadwall-last-enclosure/blob/f0ef5a2036d4876ae8f4d4477676da968a032d01/codex-3000/compositions/militaire/DW-2594.md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https://github.com/darknigthmare/deadwall-last-enclosure/blob/f0ef5a2036d4876ae8f4d4477676da968a032d01/codex-3000/compositions/militaire/DW-2595.md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https://github.com/darknigthmare/deadwall-last-enclosure/blob/f0ef5a2036d4876ae8f4d4477676da968a032d01/codex-3000/compositions/militaire/DW-2596.md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https://github.com/darknigthmare/deadwall-last-enclosure/blob/f0ef5a2036d4876ae8f4d4477676da968a032d01/codex-3000/compositions/militaire/DW-2597.md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https://github.com/darknigthmare/deadwall-last-enclosure/blob/f0ef5a2036d4876ae8f4d4477676da968a032d01/codex-3000/compositions/militaire/DW-2598.md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https://github.com/darknigthmare/deadwall-last-enclosure/blob/f0ef5a2036d4876ae8f4d4477676da968a032d01/codex-3000/compositions/militaire/DW-2599.md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https://github.com/darknigthmare/deadwall-last-enclosure/blob/f0ef5a2036d4876ae8f4d4477676da968a032d01/codex-3000/compositions/militaire/DW-2600.md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https://github.com/darknigthmare/deadwall-last-enclosure/blob/f0ef5a2036d4876ae8f4d4477676da968a032d01/codex-3000/compositions/militaire/DW-2601.md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https://github.com/darknigthmare/deadwall-last-enclosure/blob/f0ef5a2036d4876ae8f4d4477676da968a032d01/codex-3000/compositions/militaire/DW-2602.md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https://github.com/darknigthmare/deadwall-last-enclosure/blob/f0ef5a2036d4876ae8f4d4477676da968a032d01/codex-3000/compositions/militaire/DW-2603.md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https://github.com/darknigthmare/deadwall-last-enclosure/blob/f0ef5a2036d4876ae8f4d4477676da968a032d01/codex-3000/compositions/militaire/DW-2604.md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https://github.com/darknigthmare/deadwall-last-enclosure/blob/f0ef5a2036d4876ae8f4d4477676da968a032d01/codex-3000/compositions/militaire/DW-2605.md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https://github.com/darknigthmare/deadwall-last-enclosure/blob/f0ef5a2036d4876ae8f4d4477676da968a032d01/codex-3000/compositions/militaire/DW-2606.md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https://github.com/darknigthmare/deadwall-last-enclosure/blob/f0ef5a2036d4876ae8f4d4477676da968a032d01/codex-3000/compositions/militaire/DW-2607.md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https://github.com/darknigthmare/deadwall-last-enclosure/blob/f0ef5a2036d4876ae8f4d4477676da968a032d01/codex-3000/compositions/militaire/DW-2608.md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https://github.com/darknigthmare/deadwall-last-enclosure/blob/f0ef5a2036d4876ae8f4d4477676da968a032d01/codex-3000/compositions/transport/DW-2609.md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https://github.com/darknigthmare/deadwall-last-enclosure/blob/f0ef5a2036d4876ae8f4d4477676da968a032d01/codex-3000/compositions/transport/DW-2610.md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https://github.com/darknigthmare/deadwall-last-enclosure/blob/f0ef5a2036d4876ae8f4d4477676da968a032d01/codex-3000/compositions/transport/DW-2611.md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https://github.com/darknigthmare/deadwall-last-enclosure/blob/f0ef5a2036d4876ae8f4d4477676da968a032d01/codex-3000/compositions/transport/DW-2612.md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https://github.com/darknigthmare/deadwall-last-enclosure/blob/f0ef5a2036d4876ae8f4d4477676da968a032d01/codex-3000/compositions/transport/DW-2613.md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https://github.com/darknigthmare/deadwall-last-enclosure/blob/f0ef5a2036d4876ae8f4d4477676da968a032d01/codex-3000/compositions/transport/DW-2614.md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https://github.com/darknigthmare/deadwall-last-enclosure/blob/f0ef5a2036d4876ae8f4d4477676da968a032d01/codex-3000/compositions/transport/DW-2615.md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https://github.com/darknigthmare/deadwall-last-enclosure/blob/f0ef5a2036d4876ae8f4d4477676da968a032d01/codex-3000/compositions/transport/DW-2616.md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https://github.com/darknigthmare/deadwall-last-enclosure/blob/f0ef5a2036d4876ae8f4d4477676da968a032d01/codex-3000/compositions/transport/DW-2617.md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https://github.com/darknigthmare/deadwall-last-enclosure/blob/f0ef5a2036d4876ae8f4d4477676da968a032d01/codex-3000/compositions/transport/DW-2618.md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https://github.com/darknigthmare/deadwall-last-enclosure/blob/f0ef5a2036d4876ae8f4d4477676da968a032d01/codex-3000/compositions/transport/DW-2619.md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https://github.com/darknigthmare/deadwall-last-enclosure/blob/f0ef5a2036d4876ae8f4d4477676da968a032d01/codex-3000/compositions/transport/DW-2620.md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https://github.com/darknigthmare/deadwall-last-enclosure/blob/f0ef5a2036d4876ae8f4d4477676da968a032d01/codex-3000/compositions/transport/DW-2621.md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https://github.com/darknigthmare/deadwall-last-enclosure/blob/f0ef5a2036d4876ae8f4d4477676da968a032d01/codex-3000/compositions/transport/DW-2622.md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https://github.com/darknigthmare/deadwall-last-enclosure/blob/f0ef5a2036d4876ae8f4d4477676da968a032d01/codex-3000/compositions/transport/DW-2623.md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https://github.com/darknigthmare/deadwall-last-enclosure/blob/f0ef5a2036d4876ae8f4d4477676da968a032d01/codex-3000/compositions/transport/DW-2624.md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https://github.com/darknigthmare/deadwall-last-enclosure/blob/f0ef5a2036d4876ae8f4d4477676da968a032d01/codex-3000/compositions/ruines/DW-2625.md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https://github.com/darknigthmare/deadwall-last-enclosure/blob/f0ef5a2036d4876ae8f4d4477676da968a032d01/codex-3000/compositions/ruines/DW-2626.md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https://github.com/darknigthmare/deadwall-last-enclosure/blob/f0ef5a2036d4876ae8f4d4477676da968a032d01/codex-3000/compositions/ruines/DW-2627.md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https://github.com/darknigthmare/deadwall-last-enclosure/blob/f0ef5a2036d4876ae8f4d4477676da968a032d01/codex-3000/compositions/ruines/DW-2628.md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https://github.com/darknigthmare/deadwall-last-enclosure/blob/f0ef5a2036d4876ae8f4d4477676da968a032d01/codex-3000/compositions/ruines/DW-2629.md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https://github.com/darknigthmare/deadwall-last-enclosure/blob/f0ef5a2036d4876ae8f4d4477676da968a032d01/codex-3000/compositions/ruines/DW-2630.md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https://github.com/darknigthmare/deadwall-last-enclosure/blob/f0ef5a2036d4876ae8f4d4477676da968a032d01/codex-3000/compositions/ruines/DW-2631.md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https://github.com/darknigthmare/deadwall-last-enclosure/blob/f0ef5a2036d4876ae8f4d4477676da968a032d01/codex-3000/compositions/ruines/DW-2632.md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https://github.com/darknigthmare/deadwall-last-enclosure/blob/f0ef5a2036d4876ae8f4d4477676da968a032d01/codex-3000/compositions/ruines/DW-2633.md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https://github.com/darknigthmare/deadwall-last-enclosure/blob/f0ef5a2036d4876ae8f4d4477676da968a032d01/codex-3000/compositions/ruines/DW-2634.md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https://github.com/darknigthmare/deadwall-last-enclosure/blob/f0ef5a2036d4876ae8f4d4477676da968a032d01/codex-3000/compositions/ruines/DW-2635.md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https://github.com/darknigthmare/deadwall-last-enclosure/blob/f0ef5a2036d4876ae8f4d4477676da968a032d01/codex-3000/compositions/ruines/DW-2636.md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https://github.com/darknigthmare/deadwall-last-enclosure/blob/f0ef5a2036d4876ae8f4d4477676da968a032d01/codex-3000/compositions/ruines/DW-2637.md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https://github.com/darknigthmare/deadwall-last-enclosure/blob/f0ef5a2036d4876ae8f4d4477676da968a032d01/codex-3000/compositions/ruines/DW-2638.md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https://github.com/darknigthmare/deadwall-last-enclosure/blob/f0ef5a2036d4876ae8f4d4477676da968a032d01/codex-3000/compositions/ruines/DW-2639.md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https://github.com/darknigthmare/deadwall-last-enclosure/blob/f0ef5a2036d4876ae8f4d4477676da968a032d01/codex-3000/compositions/ruines/DW-2640.md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https://github.com/darknigthmare/deadwall-last-enclosure/blob/f0ef5a2036d4876ae8f4d4477676da968a032d01/codex-3000/compositions/habitat/DW-2641.md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https://github.com/darknigthmare/deadwall-last-enclosure/blob/f0ef5a2036d4876ae8f4d4477676da968a032d01/codex-3000/compositions/habitat/DW-2642.md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https://github.com/darknigthmare/deadwall-last-enclosure/blob/f0ef5a2036d4876ae8f4d4477676da968a032d01/codex-3000/compositions/habitat/DW-2643.md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https://github.com/darknigthmare/deadwall-last-enclosure/blob/f0ef5a2036d4876ae8f4d4477676da968a032d01/codex-3000/compositions/habitat/DW-2644.md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https://github.com/darknigthmare/deadwall-last-enclosure/blob/f0ef5a2036d4876ae8f4d4477676da968a032d01/codex-3000/compositions/habitat/DW-2645.md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https://github.com/darknigthmare/deadwall-last-enclosure/blob/f0ef5a2036d4876ae8f4d4477676da968a032d01/codex-3000/compositions/habitat/DW-2646.md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https://github.com/darknigthmare/deadwall-last-enclosure/blob/f0ef5a2036d4876ae8f4d4477676da968a032d01/codex-3000/compositions/habitat/DW-2647.md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https://github.com/darknigthmare/deadwall-last-enclosure/blob/f0ef5a2036d4876ae8f4d4477676da968a032d01/codex-3000/compositions/habitat/DW-2648.md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https://github.com/darknigthmare/deadwall-last-enclosure/blob/f0ef5a2036d4876ae8f4d4477676da968a032d01/codex-3000/compositions/habitat/DW-2649.md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https://github.com/darknigthmare/deadwall-last-enclosure/blob/f0ef5a2036d4876ae8f4d4477676da968a032d01/codex-3000/compositions/habitat/DW-2650.md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https://github.com/darknigthmare/deadwall-last-enclosure/blob/f0ef5a2036d4876ae8f4d4477676da968a032d01/codex-3000/compositions/habitat/DW-2651.md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https://github.com/darknigthmare/deadwall-last-enclosure/blob/f0ef5a2036d4876ae8f4d4477676da968a032d01/codex-3000/compositions/habitat/DW-2652.md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https://github.com/darknigthmare/deadwall-last-enclosure/blob/f0ef5a2036d4876ae8f4d4477676da968a032d01/codex-3000/compositions/habitat/DW-2653.md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https://github.com/darknigthmare/deadwall-last-enclosure/blob/f0ef5a2036d4876ae8f4d4477676da968a032d01/codex-3000/compositions/habitat/DW-2654.md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https://github.com/darknigthmare/deadwall-last-enclosure/blob/f0ef5a2036d4876ae8f4d4477676da968a032d01/codex-3000/compositions/habitat/DW-2655.md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https://github.com/darknigthmare/deadwall-last-enclosure/blob/f0ef5a2036d4876ae8f4d4477676da968a032d01/codex-3000/compositions/habitat/DW-2656.md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https://github.com/darknigthmare/deadwall-last-enclosure/blob/f0ef5a2036d4876ae8f4d4477676da968a032d01/codex-3000/compositions/commerce/DW-2657.md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https://github.com/darknigthmare/deadwall-last-enclosure/blob/f0ef5a2036d4876ae8f4d4477676da968a032d01/codex-3000/compositions/commerce/DW-2658.md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https://github.com/darknigthmare/deadwall-last-enclosure/blob/f0ef5a2036d4876ae8f4d4477676da968a032d01/codex-3000/compositions/commerce/DW-2659.md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https://github.com/darknigthmare/deadwall-last-enclosure/blob/f0ef5a2036d4876ae8f4d4477676da968a032d01/codex-3000/compositions/commerce/DW-2660.md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https://github.com/darknigthmare/deadwall-last-enclosure/blob/f0ef5a2036d4876ae8f4d4477676da968a032d01/codex-3000/compositions/commerce/DW-2661.md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https://github.com/darknigthmare/deadwall-last-enclosure/blob/f0ef5a2036d4876ae8f4d4477676da968a032d01/codex-3000/compositions/commerce/DW-2662.md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https://github.com/darknigthmare/deadwall-last-enclosure/blob/f0ef5a2036d4876ae8f4d4477676da968a032d01/codex-3000/compositions/commerce/DW-2663.md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https://github.com/darknigthmare/deadwall-last-enclosure/blob/f0ef5a2036d4876ae8f4d4477676da968a032d01/codex-3000/compositions/commerce/DW-2664.md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https://github.com/darknigthmare/deadwall-last-enclosure/blob/f0ef5a2036d4876ae8f4d4477676da968a032d01/codex-3000/compositions/commerce/DW-2665.md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https://github.com/darknigthmare/deadwall-last-enclosure/blob/f0ef5a2036d4876ae8f4d4477676da968a032d01/codex-3000/compositions/commerce/DW-2666.md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https://github.com/darknigthmare/deadwall-last-enclosure/blob/f0ef5a2036d4876ae8f4d4477676da968a032d01/codex-3000/compositions/commerce/DW-2667.md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https://github.com/darknigthmare/deadwall-last-enclosure/blob/f0ef5a2036d4876ae8f4d4477676da968a032d01/codex-3000/compositions/commerce/DW-2668.md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https://github.com/darknigthmare/deadwall-last-enclosure/blob/f0ef5a2036d4876ae8f4d4477676da968a032d01/codex-3000/compositions/commerce/DW-2669.md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https://github.com/darknigthmare/deadwall-last-enclosure/blob/f0ef5a2036d4876ae8f4d4477676da968a032d01/codex-3000/compositions/commerce/DW-2670.md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https://github.com/darknigthmare/deadwall-last-enclosure/blob/f0ef5a2036d4876ae8f4d4477676da968a032d01/codex-3000/compositions/commerce/DW-2671.md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https://github.com/darknigthmare/deadwall-last-enclosure/blob/f0ef5a2036d4876ae8f4d4477676da968a032d01/codex-3000/compositions/commerce/DW-2672.md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https://github.com/darknigthmare/deadwall-last-enclosure/blob/f0ef5a2036d4876ae8f4d4477676da968a032d01/codex-3000/compositions/industrie/DW-2673.md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https://github.com/darknigthmare/deadwall-last-enclosure/blob/f0ef5a2036d4876ae8f4d4477676da968a032d01/codex-3000/compositions/industrie/DW-2674.md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https://github.com/darknigthmare/deadwall-last-enclosure/blob/f0ef5a2036d4876ae8f4d4477676da968a032d01/codex-3000/compositions/industrie/DW-2675.md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https://github.com/darknigthmare/deadwall-last-enclosure/blob/f0ef5a2036d4876ae8f4d4477676da968a032d01/codex-3000/compositions/industrie/DW-2676.md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https://github.com/darknigthmare/deadwall-last-enclosure/blob/f0ef5a2036d4876ae8f4d4477676da968a032d01/codex-3000/compositions/industrie/DW-2677.md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https://github.com/darknigthmare/deadwall-last-enclosure/blob/f0ef5a2036d4876ae8f4d4477676da968a032d01/codex-3000/compositions/industrie/DW-2678.md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https://github.com/darknigthmare/deadwall-last-enclosure/blob/f0ef5a2036d4876ae8f4d4477676da968a032d01/codex-3000/compositions/industrie/DW-2679.md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https://github.com/darknigthmare/deadwall-last-enclosure/blob/f0ef5a2036d4876ae8f4d4477676da968a032d01/codex-3000/compositions/industrie/DW-2680.md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https://github.com/darknigthmare/deadwall-last-enclosure/blob/f0ef5a2036d4876ae8f4d4477676da968a032d01/codex-3000/compositions/industrie/DW-2681.md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https://github.com/darknigthmare/deadwall-last-enclosure/blob/f0ef5a2036d4876ae8f4d4477676da968a032d01/codex-3000/compositions/industrie/DW-2682.md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https://github.com/darknigthmare/deadwall-last-enclosure/blob/f0ef5a2036d4876ae8f4d4477676da968a032d01/codex-3000/compositions/industrie/DW-2683.md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https://github.com/darknigthmare/deadwall-last-enclosure/blob/f0ef5a2036d4876ae8f4d4477676da968a032d01/codex-3000/compositions/industrie/DW-2684.md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https://github.com/darknigthmare/deadwall-last-enclosure/blob/f0ef5a2036d4876ae8f4d4477676da968a032d01/codex-3000/compositions/industrie/DW-2685.md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https://github.com/darknigthmare/deadwall-last-enclosure/blob/f0ef5a2036d4876ae8f4d4477676da968a032d01/codex-3000/compositions/industrie/DW-2686.md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https://github.com/darknigthmare/deadwall-last-enclosure/blob/f0ef5a2036d4876ae8f4d4477676da968a032d01/codex-3000/compositions/industrie/DW-2687.md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https://github.com/darknigthmare/deadwall-last-enclosure/blob/f0ef5a2036d4876ae8f4d4477676da968a032d01/codex-3000/compositions/industrie/DW-2688.md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https://github.com/darknigthmare/deadwall-last-enclosure/blob/f0ef5a2036d4876ae8f4d4477676da968a032d01/codex-3000/compositions/public/DW-2689.md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https://github.com/darknigthmare/deadwall-last-enclosure/blob/f0ef5a2036d4876ae8f4d4477676da968a032d01/codex-3000/compositions/public/DW-2690.md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https://github.com/darknigthmare/deadwall-last-enclosure/blob/f0ef5a2036d4876ae8f4d4477676da968a032d01/codex-3000/compositions/public/DW-2691.md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https://github.com/darknigthmare/deadwall-last-enclosure/blob/f0ef5a2036d4876ae8f4d4477676da968a032d01/codex-3000/compositions/public/DW-2692.md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https://github.com/darknigthmare/deadwall-last-enclosure/blob/f0ef5a2036d4876ae8f4d4477676da968a032d01/codex-3000/compositions/public/DW-2693.md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https://github.com/darknigthmare/deadwall-last-enclosure/blob/f0ef5a2036d4876ae8f4d4477676da968a032d01/codex-3000/compositions/public/DW-2694.md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https://github.com/darknigthmare/deadwall-last-enclosure/blob/f0ef5a2036d4876ae8f4d4477676da968a032d01/codex-3000/compositions/public/DW-2695.md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https://github.com/darknigthmare/deadwall-last-enclosure/blob/f0ef5a2036d4876ae8f4d4477676da968a032d01/codex-3000/compositions/public/DW-2696.md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https://github.com/darknigthmare/deadwall-last-enclosure/blob/f0ef5a2036d4876ae8f4d4477676da968a032d01/codex-3000/compositions/public/DW-2697.md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https://github.com/darknigthmare/deadwall-last-enclosure/blob/f0ef5a2036d4876ae8f4d4477676da968a032d01/codex-3000/compositions/public/DW-2698.md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https://github.com/darknigthmare/deadwall-last-enclosure/blob/f0ef5a2036d4876ae8f4d4477676da968a032d01/codex-3000/compositions/public/DW-2699.md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https://github.com/darknigthmare/deadwall-last-enclosure/blob/f0ef5a2036d4876ae8f4d4477676da968a032d01/codex-3000/compositions/public/DW-2700.md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https://github.com/darknigthmare/deadwall-last-enclosure/blob/f0ef5a2036d4876ae8f4d4477676da968a032d01/codex-3000/compositions/public/DW-2701.md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https://github.com/darknigthmare/deadwall-last-enclosure/blob/f0ef5a2036d4876ae8f4d4477676da968a032d01/codex-3000/compositions/public/DW-2702.md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https://github.com/darknigthmare/deadwall-last-enclosure/blob/f0ef5a2036d4876ae8f4d4477676da968a032d01/codex-3000/compositions/public/DW-2703.md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https://github.com/darknigthmare/deadwall-last-enclosure/blob/f0ef5a2036d4876ae8f4d4477676da968a032d01/codex-3000/compositions/public/DW-2704.md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https://github.com/darknigthmare/deadwall-last-enclosure/blob/f0ef5a2036d4876ae8f4d4477676da968a032d01/codex-3000/compositions/rural/DW-2705.md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https://github.com/darknigthmare/deadwall-last-enclosure/blob/f0ef5a2036d4876ae8f4d4477676da968a032d01/codex-3000/compositions/rural/DW-2706.md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https://github.com/darknigthmare/deadwall-last-enclosure/blob/f0ef5a2036d4876ae8f4d4477676da968a032d01/codex-3000/compositions/rural/DW-2707.md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https://github.com/darknigthmare/deadwall-last-enclosure/blob/f0ef5a2036d4876ae8f4d4477676da968a032d01/codex-3000/compositions/rural/DW-2708.md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https://github.com/darknigthmare/deadwall-last-enclosure/blob/f0ef5a2036d4876ae8f4d4477676da968a032d01/codex-3000/compositions/rural/DW-2709.md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https://github.com/darknigthmare/deadwall-last-enclosure/blob/f0ef5a2036d4876ae8f4d4477676da968a032d01/codex-3000/compositions/rural/DW-2710.md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https://github.com/darknigthmare/deadwall-last-enclosure/blob/f0ef5a2036d4876ae8f4d4477676da968a032d01/codex-3000/compositions/rural/DW-2711.md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https://github.com/darknigthmare/deadwall-last-enclosure/blob/f0ef5a2036d4876ae8f4d4477676da968a032d01/codex-3000/compositions/rural/DW-2712.md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https://github.com/darknigthmare/deadwall-last-enclosure/blob/f0ef5a2036d4876ae8f4d4477676da968a032d01/codex-3000/compositions/rural/DW-2713.md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https://github.com/darknigthmare/deadwall-last-enclosure/blob/f0ef5a2036d4876ae8f4d4477676da968a032d01/codex-3000/compositions/rural/DW-2714.md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https://github.com/darknigthmare/deadwall-last-enclosure/blob/f0ef5a2036d4876ae8f4d4477676da968a032d01/codex-3000/compositions/rural/DW-2715.md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https://github.com/darknigthmare/deadwall-last-enclosure/blob/f0ef5a2036d4876ae8f4d4477676da968a032d01/codex-3000/compositions/rural/DW-2716.md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https://github.com/darknigthmare/deadwall-last-enclosure/blob/f0ef5a2036d4876ae8f4d4477676da968a032d01/codex-3000/compositions/rural/DW-2717.md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https://github.com/darknigthmare/deadwall-last-enclosure/blob/f0ef5a2036d4876ae8f4d4477676da968a032d01/codex-3000/compositions/rural/DW-2718.md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https://github.com/darknigthmare/deadwall-last-enclosure/blob/f0ef5a2036d4876ae8f4d4477676da968a032d01/codex-3000/compositions/rural/DW-2719.md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https://github.com/darknigthmare/deadwall-last-enclosure/blob/f0ef5a2036d4876ae8f4d4477676da968a032d01/codex-3000/compositions/rural/DW-2720.md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https://github.com/darknigthmare/deadwall-last-enclosure/blob/f0ef5a2036d4876ae8f4d4477676da968a032d01/codex-3000/compositions/militaire/DW-2721.md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https://github.com/darknigthmare/deadwall-last-enclosure/blob/f0ef5a2036d4876ae8f4d4477676da968a032d01/codex-3000/compositions/militaire/DW-2722.md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https://github.com/darknigthmare/deadwall-last-enclosure/blob/f0ef5a2036d4876ae8f4d4477676da968a032d01/codex-3000/compositions/militaire/DW-2723.md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https://github.com/darknigthmare/deadwall-last-enclosure/blob/f0ef5a2036d4876ae8f4d4477676da968a032d01/codex-3000/compositions/militaire/DW-2724.md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https://github.com/darknigthmare/deadwall-last-enclosure/blob/f0ef5a2036d4876ae8f4d4477676da968a032d01/codex-3000/compositions/militaire/DW-2725.md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https://github.com/darknigthmare/deadwall-last-enclosure/blob/f0ef5a2036d4876ae8f4d4477676da968a032d01/codex-3000/compositions/militaire/DW-2726.md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https://github.com/darknigthmare/deadwall-last-enclosure/blob/f0ef5a2036d4876ae8f4d4477676da968a032d01/codex-3000/compositions/militaire/DW-2727.md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https://github.com/darknigthmare/deadwall-last-enclosure/blob/f0ef5a2036d4876ae8f4d4477676da968a032d01/codex-3000/compositions/militaire/DW-2728.md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https://github.com/darknigthmare/deadwall-last-enclosure/blob/f0ef5a2036d4876ae8f4d4477676da968a032d01/codex-3000/compositions/militaire/DW-2729.md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https://github.com/darknigthmare/deadwall-last-enclosure/blob/f0ef5a2036d4876ae8f4d4477676da968a032d01/codex-3000/compositions/militaire/DW-2730.md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https://github.com/darknigthmare/deadwall-last-enclosure/blob/f0ef5a2036d4876ae8f4d4477676da968a032d01/codex-3000/compositions/militaire/DW-2731.md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https://github.com/darknigthmare/deadwall-last-enclosure/blob/f0ef5a2036d4876ae8f4d4477676da968a032d01/codex-3000/compositions/militaire/DW-2732.md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https://github.com/darknigthmare/deadwall-last-enclosure/blob/f0ef5a2036d4876ae8f4d4477676da968a032d01/codex-3000/compositions/militaire/DW-2733.md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https://github.com/darknigthmare/deadwall-last-enclosure/blob/f0ef5a2036d4876ae8f4d4477676da968a032d01/codex-3000/compositions/militaire/DW-2734.md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https://github.com/darknigthmare/deadwall-last-enclosure/blob/f0ef5a2036d4876ae8f4d4477676da968a032d01/codex-3000/compositions/militaire/DW-2735.md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https://github.com/darknigthmare/deadwall-last-enclosure/blob/f0ef5a2036d4876ae8f4d4477676da968a032d01/codex-3000/compositions/militaire/DW-2736.md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https://github.com/darknigthmare/deadwall-last-enclosure/blob/f0ef5a2036d4876ae8f4d4477676da968a032d01/codex-3000/compositions/transport/DW-2737.md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https://github.com/darknigthmare/deadwall-last-enclosure/blob/f0ef5a2036d4876ae8f4d4477676da968a032d01/codex-3000/compositions/transport/DW-2738.md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https://github.com/darknigthmare/deadwall-last-enclosure/blob/f0ef5a2036d4876ae8f4d4477676da968a032d01/codex-3000/compositions/transport/DW-2739.md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https://github.com/darknigthmare/deadwall-last-enclosure/blob/f0ef5a2036d4876ae8f4d4477676da968a032d01/codex-3000/compositions/transport/DW-2740.md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https://github.com/darknigthmare/deadwall-last-enclosure/blob/f0ef5a2036d4876ae8f4d4477676da968a032d01/codex-3000/compositions/transport/DW-2741.md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https://github.com/darknigthmare/deadwall-last-enclosure/blob/f0ef5a2036d4876ae8f4d4477676da968a032d01/codex-3000/compositions/transport/DW-2742.md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https://github.com/darknigthmare/deadwall-last-enclosure/blob/f0ef5a2036d4876ae8f4d4477676da968a032d01/codex-3000/compositions/transport/DW-2743.md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https://github.com/darknigthmare/deadwall-last-enclosure/blob/f0ef5a2036d4876ae8f4d4477676da968a032d01/codex-3000/compositions/transport/DW-2744.md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https://github.com/darknigthmare/deadwall-last-enclosure/blob/f0ef5a2036d4876ae8f4d4477676da968a032d01/codex-3000/compositions/transport/DW-2745.md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https://github.com/darknigthmare/deadwall-last-enclosure/blob/f0ef5a2036d4876ae8f4d4477676da968a032d01/codex-3000/compositions/transport/DW-2746.md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https://github.com/darknigthmare/deadwall-last-enclosure/blob/f0ef5a2036d4876ae8f4d4477676da968a032d01/codex-3000/compositions/transport/DW-2747.md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https://github.com/darknigthmare/deadwall-last-enclosure/blob/f0ef5a2036d4876ae8f4d4477676da968a032d01/codex-3000/compositions/transport/DW-2748.md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https://github.com/darknigthmare/deadwall-last-enclosure/blob/f0ef5a2036d4876ae8f4d4477676da968a032d01/codex-3000/compositions/transport/DW-2749.md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https://github.com/darknigthmare/deadwall-last-enclosure/blob/f0ef5a2036d4876ae8f4d4477676da968a032d01/codex-3000/compositions/transport/DW-2750.md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https://github.com/darknigthmare/deadwall-last-enclosure/blob/f0ef5a2036d4876ae8f4d4477676da968a032d01/codex-3000/compositions/transport/DW-2751.md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https://github.com/darknigthmare/deadwall-last-enclosure/blob/f0ef5a2036d4876ae8f4d4477676da968a032d01/codex-3000/compositions/transport/DW-2752.md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https://github.com/darknigthmare/deadwall-last-enclosure/blob/f0ef5a2036d4876ae8f4d4477676da968a032d01/codex-3000/compositions/ruines/DW-2753.md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https://github.com/darknigthmare/deadwall-last-enclosure/blob/f0ef5a2036d4876ae8f4d4477676da968a032d01/codex-3000/compositions/ruines/DW-2754.md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https://github.com/darknigthmare/deadwall-last-enclosure/blob/f0ef5a2036d4876ae8f4d4477676da968a032d01/codex-3000/compositions/ruines/DW-2755.md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https://github.com/darknigthmare/deadwall-last-enclosure/blob/f0ef5a2036d4876ae8f4d4477676da968a032d01/codex-3000/compositions/ruines/DW-2756.md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https://github.com/darknigthmare/deadwall-last-enclosure/blob/f0ef5a2036d4876ae8f4d4477676da968a032d01/codex-3000/compositions/ruines/DW-2757.md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https://github.com/darknigthmare/deadwall-last-enclosure/blob/f0ef5a2036d4876ae8f4d4477676da968a032d01/codex-3000/compositions/ruines/DW-2758.md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https://github.com/darknigthmare/deadwall-last-enclosure/blob/f0ef5a2036d4876ae8f4d4477676da968a032d01/codex-3000/compositions/ruines/DW-2759.md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https://github.com/darknigthmare/deadwall-last-enclosure/blob/f0ef5a2036d4876ae8f4d4477676da968a032d01/codex-3000/compositions/ruines/DW-2760.md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https://github.com/darknigthmare/deadwall-last-enclosure/blob/f0ef5a2036d4876ae8f4d4477676da968a032d01/codex-3000/compositions/ruines/DW-2761.md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https://github.com/darknigthmare/deadwall-last-enclosure/blob/f0ef5a2036d4876ae8f4d4477676da968a032d01/codex-3000/compositions/ruines/DW-2762.md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https://github.com/darknigthmare/deadwall-last-enclosure/blob/f0ef5a2036d4876ae8f4d4477676da968a032d01/codex-3000/compositions/ruines/DW-2763.md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https://github.com/darknigthmare/deadwall-last-enclosure/blob/f0ef5a2036d4876ae8f4d4477676da968a032d01/codex-3000/compositions/ruines/DW-2764.md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https://github.com/darknigthmare/deadwall-last-enclosure/blob/f0ef5a2036d4876ae8f4d4477676da968a032d01/codex-3000/compositions/ruines/DW-2765.md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https://github.com/darknigthmare/deadwall-last-enclosure/blob/f0ef5a2036d4876ae8f4d4477676da968a032d01/codex-3000/compositions/ruines/DW-2766.md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https://github.com/darknigthmare/deadwall-last-enclosure/blob/f0ef5a2036d4876ae8f4d4477676da968a032d01/codex-3000/compositions/ruines/DW-2767.md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https://github.com/darknigthmare/deadwall-last-enclosure/blob/f0ef5a2036d4876ae8f4d4477676da968a032d01/codex-3000/compositions/ruines/DW-2768.md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https://github.com/darknigthmare/deadwall-last-enclosure/blob/f0ef5a2036d4876ae8f4d4477676da968a032d01/codex-3000/compositions/habitat/DW-2769.md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https://github.com/darknigthmare/deadwall-last-enclosure/blob/f0ef5a2036d4876ae8f4d4477676da968a032d01/codex-3000/compositions/habitat/DW-2770.md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https://github.com/darknigthmare/deadwall-last-enclosure/blob/f0ef5a2036d4876ae8f4d4477676da968a032d01/codex-3000/compositions/habitat/DW-2771.md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https://github.com/darknigthmare/deadwall-last-enclosure/blob/f0ef5a2036d4876ae8f4d4477676da968a032d01/codex-3000/compositions/habitat/DW-2772.md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https://github.com/darknigthmare/deadwall-last-enclosure/blob/f0ef5a2036d4876ae8f4d4477676da968a032d01/codex-3000/compositions/habitat/DW-2773.md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https://github.com/darknigthmare/deadwall-last-enclosure/blob/f0ef5a2036d4876ae8f4d4477676da968a032d01/codex-3000/compositions/habitat/DW-2774.md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https://github.com/darknigthmare/deadwall-last-enclosure/blob/f0ef5a2036d4876ae8f4d4477676da968a032d01/codex-3000/compositions/habitat/DW-2775.md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https://github.com/darknigthmare/deadwall-last-enclosure/blob/f0ef5a2036d4876ae8f4d4477676da968a032d01/codex-3000/compositions/habitat/DW-2776.md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https://github.com/darknigthmare/deadwall-last-enclosure/blob/f0ef5a2036d4876ae8f4d4477676da968a032d01/codex-3000/compositions/habitat/DW-2777.md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https://github.com/darknigthmare/deadwall-last-enclosure/blob/f0ef5a2036d4876ae8f4d4477676da968a032d01/codex-3000/compositions/habitat/DW-2778.md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https://github.com/darknigthmare/deadwall-last-enclosure/blob/f0ef5a2036d4876ae8f4d4477676da968a032d01/codex-3000/compositions/habitat/DW-2779.md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https://github.com/darknigthmare/deadwall-last-enclosure/blob/f0ef5a2036d4876ae8f4d4477676da968a032d01/codex-3000/compositions/habitat/DW-2780.md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https://github.com/darknigthmare/deadwall-last-enclosure/blob/f0ef5a2036d4876ae8f4d4477676da968a032d01/codex-3000/compositions/habitat/DW-2781.md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https://github.com/darknigthmare/deadwall-last-enclosure/blob/f0ef5a2036d4876ae8f4d4477676da968a032d01/codex-3000/compositions/habitat/DW-2782.md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https://github.com/darknigthmare/deadwall-last-enclosure/blob/f0ef5a2036d4876ae8f4d4477676da968a032d01/codex-3000/compositions/habitat/DW-2783.md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https://github.com/darknigthmare/deadwall-last-enclosure/blob/f0ef5a2036d4876ae8f4d4477676da968a032d01/codex-3000/compositions/habitat/DW-2784.md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https://github.com/darknigthmare/deadwall-last-enclosure/blob/f0ef5a2036d4876ae8f4d4477676da968a032d01/codex-3000/compositions/commerce/DW-2785.md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https://github.com/darknigthmare/deadwall-last-enclosure/blob/f0ef5a2036d4876ae8f4d4477676da968a032d01/codex-3000/compositions/commerce/DW-2786.md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https://github.com/darknigthmare/deadwall-last-enclosure/blob/f0ef5a2036d4876ae8f4d4477676da968a032d01/codex-3000/compositions/commerce/DW-2787.md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https://github.com/darknigthmare/deadwall-last-enclosure/blob/f0ef5a2036d4876ae8f4d4477676da968a032d01/codex-3000/compositions/commerce/DW-2788.md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https://github.com/darknigthmare/deadwall-last-enclosure/blob/f0ef5a2036d4876ae8f4d4477676da968a032d01/codex-3000/compositions/commerce/DW-2789.md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https://github.com/darknigthmare/deadwall-last-enclosure/blob/f0ef5a2036d4876ae8f4d4477676da968a032d01/codex-3000/compositions/commerce/DW-2790.md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https://github.com/darknigthmare/deadwall-last-enclosure/blob/f0ef5a2036d4876ae8f4d4477676da968a032d01/codex-3000/compositions/commerce/DW-2791.md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https://github.com/darknigthmare/deadwall-last-enclosure/blob/f0ef5a2036d4876ae8f4d4477676da968a032d01/codex-3000/compositions/commerce/DW-2792.md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https://github.com/darknigthmare/deadwall-last-enclosure/blob/f0ef5a2036d4876ae8f4d4477676da968a032d01/codex-3000/compositions/commerce/DW-2793.md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https://github.com/darknigthmare/deadwall-last-enclosure/blob/f0ef5a2036d4876ae8f4d4477676da968a032d01/codex-3000/compositions/commerce/DW-2794.md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https://github.com/darknigthmare/deadwall-last-enclosure/blob/f0ef5a2036d4876ae8f4d4477676da968a032d01/codex-3000/compositions/commerce/DW-2795.md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https://github.com/darknigthmare/deadwall-last-enclosure/blob/f0ef5a2036d4876ae8f4d4477676da968a032d01/codex-3000/compositions/commerce/DW-2796.md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https://github.com/darknigthmare/deadwall-last-enclosure/blob/f0ef5a2036d4876ae8f4d4477676da968a032d01/codex-3000/compositions/commerce/DW-2797.md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https://github.com/darknigthmare/deadwall-last-enclosure/blob/f0ef5a2036d4876ae8f4d4477676da968a032d01/codex-3000/compositions/commerce/DW-2798.md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https://github.com/darknigthmare/deadwall-last-enclosure/blob/f0ef5a2036d4876ae8f4d4477676da968a032d01/codex-3000/compositions/commerce/DW-2799.md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https://github.com/darknigthmare/deadwall-last-enclosure/blob/f0ef5a2036d4876ae8f4d4477676da968a032d01/codex-3000/compositions/commerce/DW-2800.md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https://github.com/darknigthmare/deadwall-last-enclosure/blob/f0ef5a2036d4876ae8f4d4477676da968a032d01/codex-3000/compositions/industrie/DW-2801.md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https://github.com/darknigthmare/deadwall-last-enclosure/blob/f0ef5a2036d4876ae8f4d4477676da968a032d01/codex-3000/compositions/industrie/DW-2802.md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https://github.com/darknigthmare/deadwall-last-enclosure/blob/f0ef5a2036d4876ae8f4d4477676da968a032d01/codex-3000/compositions/industrie/DW-2803.md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https://github.com/darknigthmare/deadwall-last-enclosure/blob/f0ef5a2036d4876ae8f4d4477676da968a032d01/codex-3000/compositions/industrie/DW-2804.md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https://github.com/darknigthmare/deadwall-last-enclosure/blob/f0ef5a2036d4876ae8f4d4477676da968a032d01/codex-3000/compositions/industrie/DW-2805.md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https://github.com/darknigthmare/deadwall-last-enclosure/blob/f0ef5a2036d4876ae8f4d4477676da968a032d01/codex-3000/compositions/industrie/DW-2806.md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https://github.com/darknigthmare/deadwall-last-enclosure/blob/f0ef5a2036d4876ae8f4d4477676da968a032d01/codex-3000/compositions/industrie/DW-2807.md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https://github.com/darknigthmare/deadwall-last-enclosure/blob/f0ef5a2036d4876ae8f4d4477676da968a032d01/codex-3000/compositions/industrie/DW-2808.md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https://github.com/darknigthmare/deadwall-last-enclosure/blob/f0ef5a2036d4876ae8f4d4477676da968a032d01/codex-3000/compositions/industrie/DW-2809.md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https://github.com/darknigthmare/deadwall-last-enclosure/blob/f0ef5a2036d4876ae8f4d4477676da968a032d01/codex-3000/compositions/industrie/DW-2810.md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https://github.com/darknigthmare/deadwall-last-enclosure/blob/f0ef5a2036d4876ae8f4d4477676da968a032d01/codex-3000/compositions/industrie/DW-2811.md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https://github.com/darknigthmare/deadwall-last-enclosure/blob/f0ef5a2036d4876ae8f4d4477676da968a032d01/codex-3000/compositions/industrie/DW-2812.md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https://github.com/darknigthmare/deadwall-last-enclosure/blob/f0ef5a2036d4876ae8f4d4477676da968a032d01/codex-3000/compositions/industrie/DW-2813.md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https://github.com/darknigthmare/deadwall-last-enclosure/blob/f0ef5a2036d4876ae8f4d4477676da968a032d01/codex-3000/compositions/industrie/DW-2814.md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https://github.com/darknigthmare/deadwall-last-enclosure/blob/f0ef5a2036d4876ae8f4d4477676da968a032d01/codex-3000/compositions/industrie/DW-2815.md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https://github.com/darknigthmare/deadwall-last-enclosure/blob/f0ef5a2036d4876ae8f4d4477676da968a032d01/codex-3000/compositions/industrie/DW-2816.md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https://github.com/darknigthmare/deadwall-last-enclosure/blob/f0ef5a2036d4876ae8f4d4477676da968a032d01/codex-3000/compositions/public/DW-2817.md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https://github.com/darknigthmare/deadwall-last-enclosure/blob/f0ef5a2036d4876ae8f4d4477676da968a032d01/codex-3000/compositions/public/DW-2818.md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https://github.com/darknigthmare/deadwall-last-enclosure/blob/f0ef5a2036d4876ae8f4d4477676da968a032d01/codex-3000/compositions/public/DW-2819.md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https://github.com/darknigthmare/deadwall-last-enclosure/blob/f0ef5a2036d4876ae8f4d4477676da968a032d01/codex-3000/compositions/public/DW-2820.md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https://github.com/darknigthmare/deadwall-last-enclosure/blob/f0ef5a2036d4876ae8f4d4477676da968a032d01/codex-3000/compositions/public/DW-2821.md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https://github.com/darknigthmare/deadwall-last-enclosure/blob/f0ef5a2036d4876ae8f4d4477676da968a032d01/codex-3000/compositions/public/DW-2822.md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https://github.com/darknigthmare/deadwall-last-enclosure/blob/f0ef5a2036d4876ae8f4d4477676da968a032d01/codex-3000/compositions/public/DW-2823.md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https://github.com/darknigthmare/deadwall-last-enclosure/blob/f0ef5a2036d4876ae8f4d4477676da968a032d01/codex-3000/compositions/public/DW-2824.md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https://github.com/darknigthmare/deadwall-last-enclosure/blob/f0ef5a2036d4876ae8f4d4477676da968a032d01/codex-3000/compositions/public/DW-2825.md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https://github.com/darknigthmare/deadwall-last-enclosure/blob/f0ef5a2036d4876ae8f4d4477676da968a032d01/codex-3000/compositions/public/DW-2826.md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https://github.com/darknigthmare/deadwall-last-enclosure/blob/f0ef5a2036d4876ae8f4d4477676da968a032d01/codex-3000/compositions/public/DW-2827.md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https://github.com/darknigthmare/deadwall-last-enclosure/blob/f0ef5a2036d4876ae8f4d4477676da968a032d01/codex-3000/compositions/public/DW-2828.md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https://github.com/darknigthmare/deadwall-last-enclosure/blob/f0ef5a2036d4876ae8f4d4477676da968a032d01/codex-3000/compositions/public/DW-2829.md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https://github.com/darknigthmare/deadwall-last-enclosure/blob/f0ef5a2036d4876ae8f4d4477676da968a032d01/codex-3000/compositions/public/DW-2830.md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https://github.com/darknigthmare/deadwall-last-enclosure/blob/f0ef5a2036d4876ae8f4d4477676da968a032d01/codex-3000/compositions/public/DW-2831.md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https://github.com/darknigthmare/deadwall-last-enclosure/blob/f0ef5a2036d4876ae8f4d4477676da968a032d01/codex-3000/compositions/public/DW-2832.md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https://github.com/darknigthmare/deadwall-last-enclosure/blob/f0ef5a2036d4876ae8f4d4477676da968a032d01/codex-3000/compositions/rural/DW-2833.md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https://github.com/darknigthmare/deadwall-last-enclosure/blob/f0ef5a2036d4876ae8f4d4477676da968a032d01/codex-3000/compositions/rural/DW-2834.md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https://github.com/darknigthmare/deadwall-last-enclosure/blob/f0ef5a2036d4876ae8f4d4477676da968a032d01/codex-3000/compositions/rural/DW-2835.md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https://github.com/darknigthmare/deadwall-last-enclosure/blob/f0ef5a2036d4876ae8f4d4477676da968a032d01/codex-3000/compositions/rural/DW-2836.md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https://github.com/darknigthmare/deadwall-last-enclosure/blob/f0ef5a2036d4876ae8f4d4477676da968a032d01/codex-3000/compositions/rural/DW-2837.md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https://github.com/darknigthmare/deadwall-last-enclosure/blob/f0ef5a2036d4876ae8f4d4477676da968a032d01/codex-3000/compositions/rural/DW-2838.md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https://github.com/darknigthmare/deadwall-last-enclosure/blob/f0ef5a2036d4876ae8f4d4477676da968a032d01/codex-3000/compositions/rural/DW-2839.md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https://github.com/darknigthmare/deadwall-last-enclosure/blob/f0ef5a2036d4876ae8f4d4477676da968a032d01/codex-3000/compositions/rural/DW-2840.md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https://github.com/darknigthmare/deadwall-last-enclosure/blob/f0ef5a2036d4876ae8f4d4477676da968a032d01/codex-3000/compositions/rural/DW-2841.md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https://github.com/darknigthmare/deadwall-last-enclosure/blob/f0ef5a2036d4876ae8f4d4477676da968a032d01/codex-3000/compositions/rural/DW-2842.md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https://github.com/darknigthmare/deadwall-last-enclosure/blob/f0ef5a2036d4876ae8f4d4477676da968a032d01/codex-3000/compositions/rural/DW-2843.md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https://github.com/darknigthmare/deadwall-last-enclosure/blob/f0ef5a2036d4876ae8f4d4477676da968a032d01/codex-3000/compositions/rural/DW-2844.md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https://github.com/darknigthmare/deadwall-last-enclosure/blob/f0ef5a2036d4876ae8f4d4477676da968a032d01/codex-3000/compositions/rural/DW-2845.md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https://github.com/darknigthmare/deadwall-last-enclosure/blob/f0ef5a2036d4876ae8f4d4477676da968a032d01/codex-3000/compositions/rural/DW-2846.md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https://github.com/darknigthmare/deadwall-last-enclosure/blob/f0ef5a2036d4876ae8f4d4477676da968a032d01/codex-3000/compositions/rural/DW-2847.md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https://github.com/darknigthmare/deadwall-last-enclosure/blob/f0ef5a2036d4876ae8f4d4477676da968a032d01/codex-3000/compositions/rural/DW-2848.md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https://github.com/darknigthmare/deadwall-last-enclosure/blob/f0ef5a2036d4876ae8f4d4477676da968a032d01/codex-3000/compositions/militaire/DW-2849.md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https://github.com/darknigthmare/deadwall-last-enclosure/blob/f0ef5a2036d4876ae8f4d4477676da968a032d01/codex-3000/compositions/militaire/DW-2850.md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https://github.com/darknigthmare/deadwall-last-enclosure/blob/f0ef5a2036d4876ae8f4d4477676da968a032d01/codex-3000/compositions/militaire/DW-2851.md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https://github.com/darknigthmare/deadwall-last-enclosure/blob/f0ef5a2036d4876ae8f4d4477676da968a032d01/codex-3000/compositions/militaire/DW-2852.md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https://github.com/darknigthmare/deadwall-last-enclosure/blob/f0ef5a2036d4876ae8f4d4477676da968a032d01/codex-3000/compositions/militaire/DW-2853.md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https://github.com/darknigthmare/deadwall-last-enclosure/blob/f0ef5a2036d4876ae8f4d4477676da968a032d01/codex-3000/compositions/militaire/DW-2854.md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https://github.com/darknigthmare/deadwall-last-enclosure/blob/f0ef5a2036d4876ae8f4d4477676da968a032d01/codex-3000/compositions/militaire/DW-2855.md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https://github.com/darknigthmare/deadwall-last-enclosure/blob/f0ef5a2036d4876ae8f4d4477676da968a032d01/codex-3000/compositions/militaire/DW-2856.md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https://github.com/darknigthmare/deadwall-last-enclosure/blob/f0ef5a2036d4876ae8f4d4477676da968a032d01/codex-3000/compositions/militaire/DW-2857.md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https://github.com/darknigthmare/deadwall-last-enclosure/blob/f0ef5a2036d4876ae8f4d4477676da968a032d01/codex-3000/compositions/militaire/DW-2858.md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https://github.com/darknigthmare/deadwall-last-enclosure/blob/f0ef5a2036d4876ae8f4d4477676da968a032d01/codex-3000/compositions/militaire/DW-2859.md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https://github.com/darknigthmare/deadwall-last-enclosure/blob/f0ef5a2036d4876ae8f4d4477676da968a032d01/codex-3000/compositions/militaire/DW-2860.md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https://github.com/darknigthmare/deadwall-last-enclosure/blob/f0ef5a2036d4876ae8f4d4477676da968a032d01/codex-3000/compositions/militaire/DW-2861.md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https://github.com/darknigthmare/deadwall-last-enclosure/blob/f0ef5a2036d4876ae8f4d4477676da968a032d01/codex-3000/compositions/militaire/DW-2862.md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https://github.com/darknigthmare/deadwall-last-enclosure/blob/f0ef5a2036d4876ae8f4d4477676da968a032d01/codex-3000/compositions/militaire/DW-2863.md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https://github.com/darknigthmare/deadwall-last-enclosure/blob/f0ef5a2036d4876ae8f4d4477676da968a032d01/codex-3000/compositions/militaire/DW-2864.md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https://github.com/darknigthmare/deadwall-last-enclosure/blob/f0ef5a2036d4876ae8f4d4477676da968a032d01/codex-3000/compositions/transport/DW-2865.md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https://github.com/darknigthmare/deadwall-last-enclosure/blob/f0ef5a2036d4876ae8f4d4477676da968a032d01/codex-3000/compositions/transport/DW-2866.md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https://github.com/darknigthmare/deadwall-last-enclosure/blob/f0ef5a2036d4876ae8f4d4477676da968a032d01/codex-3000/compositions/transport/DW-2867.md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https://github.com/darknigthmare/deadwall-last-enclosure/blob/f0ef5a2036d4876ae8f4d4477676da968a032d01/codex-3000/compositions/transport/DW-2868.md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https://github.com/darknigthmare/deadwall-last-enclosure/blob/f0ef5a2036d4876ae8f4d4477676da968a032d01/codex-3000/compositions/transport/DW-2869.md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https://github.com/darknigthmare/deadwall-last-enclosure/blob/f0ef5a2036d4876ae8f4d4477676da968a032d01/codex-3000/compositions/transport/DW-2870.md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https://github.com/darknigthmare/deadwall-last-enclosure/blob/f0ef5a2036d4876ae8f4d4477676da968a032d01/codex-3000/compositions/transport/DW-2871.md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https://github.com/darknigthmare/deadwall-last-enclosure/blob/f0ef5a2036d4876ae8f4d4477676da968a032d01/codex-3000/compositions/transport/DW-2872.md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https://github.com/darknigthmare/deadwall-last-enclosure/blob/f0ef5a2036d4876ae8f4d4477676da968a032d01/codex-3000/compositions/transport/DW-2873.md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https://github.com/darknigthmare/deadwall-last-enclosure/blob/f0ef5a2036d4876ae8f4d4477676da968a032d01/codex-3000/compositions/transport/DW-2874.md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https://github.com/darknigthmare/deadwall-last-enclosure/blob/f0ef5a2036d4876ae8f4d4477676da968a032d01/codex-3000/compositions/transport/DW-2875.md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https://github.com/darknigthmare/deadwall-last-enclosure/blob/f0ef5a2036d4876ae8f4d4477676da968a032d01/codex-3000/compositions/transport/DW-2876.md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https://github.com/darknigthmare/deadwall-last-enclosure/blob/f0ef5a2036d4876ae8f4d4477676da968a032d01/codex-3000/compositions/transport/DW-2877.md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https://github.com/darknigthmare/deadwall-last-enclosure/blob/f0ef5a2036d4876ae8f4d4477676da968a032d01/codex-3000/compositions/transport/DW-2878.md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https://github.com/darknigthmare/deadwall-last-enclosure/blob/f0ef5a2036d4876ae8f4d4477676da968a032d01/codex-3000/compositions/transport/DW-2879.md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https://github.com/darknigthmare/deadwall-last-enclosure/blob/f0ef5a2036d4876ae8f4d4477676da968a032d01/codex-3000/compositions/transport/DW-2880.md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https://github.com/darknigthmare/deadwall-last-enclosure/blob/f0ef5a2036d4876ae8f4d4477676da968a032d01/codex-3000/compositions/ruines/DW-2881.md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https://github.com/darknigthmare/deadwall-last-enclosure/blob/f0ef5a2036d4876ae8f4d4477676da968a032d01/codex-3000/compositions/ruines/DW-2882.md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https://github.com/darknigthmare/deadwall-last-enclosure/blob/f0ef5a2036d4876ae8f4d4477676da968a032d01/codex-3000/compositions/ruines/DW-2883.md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https://github.com/darknigthmare/deadwall-last-enclosure/blob/f0ef5a2036d4876ae8f4d4477676da968a032d01/codex-3000/compositions/ruines/DW-2884.md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https://github.com/darknigthmare/deadwall-last-enclosure/blob/f0ef5a2036d4876ae8f4d4477676da968a032d01/codex-3000/compositions/ruines/DW-2885.md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https://github.com/darknigthmare/deadwall-last-enclosure/blob/f0ef5a2036d4876ae8f4d4477676da968a032d01/codex-3000/compositions/ruines/DW-2886.md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https://github.com/darknigthmare/deadwall-last-enclosure/blob/f0ef5a2036d4876ae8f4d4477676da968a032d01/codex-3000/compositions/ruines/DW-2887.md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https://github.com/darknigthmare/deadwall-last-enclosure/blob/f0ef5a2036d4876ae8f4d4477676da968a032d01/codex-3000/compositions/ruines/DW-2888.md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https://github.com/darknigthmare/deadwall-last-enclosure/blob/f0ef5a2036d4876ae8f4d4477676da968a032d01/codex-3000/compositions/ruines/DW-2889.md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https://github.com/darknigthmare/deadwall-last-enclosure/blob/f0ef5a2036d4876ae8f4d4477676da968a032d01/codex-3000/compositions/ruines/DW-2890.md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https://github.com/darknigthmare/deadwall-last-enclosure/blob/f0ef5a2036d4876ae8f4d4477676da968a032d01/codex-3000/compositions/ruines/DW-2891.md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https://github.com/darknigthmare/deadwall-last-enclosure/blob/f0ef5a2036d4876ae8f4d4477676da968a032d01/codex-3000/compositions/ruines/DW-2892.md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https://github.com/darknigthmare/deadwall-last-enclosure/blob/f0ef5a2036d4876ae8f4d4477676da968a032d01/codex-3000/compositions/ruines/DW-2893.md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https://github.com/darknigthmare/deadwall-last-enclosure/blob/f0ef5a2036d4876ae8f4d4477676da968a032d01/codex-3000/compositions/ruines/DW-2894.md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https://github.com/darknigthmare/deadwall-last-enclosure/blob/f0ef5a2036d4876ae8f4d4477676da968a032d01/codex-3000/compositions/ruines/DW-2895.md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https://github.com/darknigthmare/deadwall-last-enclosure/blob/f0ef5a2036d4876ae8f4d4477676da968a032d01/codex-3000/compositions/ruines/DW-2896.md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https://github.com/darknigthmare/deadwall-last-enclosure/blob/f0ef5a2036d4876ae8f4d4477676da968a032d01/codex-3000/compositions/habitat/DW-2897.md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https://github.com/darknigthmare/deadwall-last-enclosure/blob/f0ef5a2036d4876ae8f4d4477676da968a032d01/codex-3000/compositions/habitat/DW-2898.md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https://github.com/darknigthmare/deadwall-last-enclosure/blob/f0ef5a2036d4876ae8f4d4477676da968a032d01/codex-3000/compositions/habitat/DW-2899.md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https://github.com/darknigthmare/deadwall-last-enclosure/blob/f0ef5a2036d4876ae8f4d4477676da968a032d01/codex-3000/compositions/habitat/DW-2900.md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https://github.com/darknigthmare/deadwall-last-enclosure/blob/f0ef5a2036d4876ae8f4d4477676da968a032d01/codex-3000/compositions/habitat/DW-2901.md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https://github.com/darknigthmare/deadwall-last-enclosure/blob/f0ef5a2036d4876ae8f4d4477676da968a032d01/codex-3000/compositions/habitat/DW-2902.md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https://github.com/darknigthmare/deadwall-last-enclosure/blob/f0ef5a2036d4876ae8f4d4477676da968a032d01/codex-3000/compositions/habitat/DW-2903.md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https://github.com/darknigthmare/deadwall-last-enclosure/blob/f0ef5a2036d4876ae8f4d4477676da968a032d01/codex-3000/compositions/habitat/DW-2904.md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https://github.com/darknigthmare/deadwall-last-enclosure/blob/f0ef5a2036d4876ae8f4d4477676da968a032d01/codex-3000/compositions/habitat/DW-2905.md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https://github.com/darknigthmare/deadwall-last-enclosure/blob/f0ef5a2036d4876ae8f4d4477676da968a032d01/codex-3000/compositions/habitat/DW-2906.md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https://github.com/darknigthmare/deadwall-last-enclosure/blob/f0ef5a2036d4876ae8f4d4477676da968a032d01/codex-3000/compositions/habitat/DW-2907.md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https://github.com/darknigthmare/deadwall-last-enclosure/blob/f0ef5a2036d4876ae8f4d4477676da968a032d01/codex-3000/compositions/habitat/DW-2908.md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https://github.com/darknigthmare/deadwall-last-enclosure/blob/f0ef5a2036d4876ae8f4d4477676da968a032d01/codex-3000/compositions/habitat/DW-2909.md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https://github.com/darknigthmare/deadwall-last-enclosure/blob/f0ef5a2036d4876ae8f4d4477676da968a032d01/codex-3000/compositions/habitat/DW-2910.md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https://github.com/darknigthmare/deadwall-last-enclosure/blob/f0ef5a2036d4876ae8f4d4477676da968a032d01/codex-3000/compositions/habitat/DW-2911.md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https://github.com/darknigthmare/deadwall-last-enclosure/blob/f0ef5a2036d4876ae8f4d4477676da968a032d01/codex-3000/compositions/habitat/DW-2912.md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https://github.com/darknigthmare/deadwall-last-enclosure/blob/f0ef5a2036d4876ae8f4d4477676da968a032d01/codex-3000/compositions/commerce/DW-2913.md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https://github.com/darknigthmare/deadwall-last-enclosure/blob/f0ef5a2036d4876ae8f4d4477676da968a032d01/codex-3000/compositions/commerce/DW-2914.md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https://github.com/darknigthmare/deadwall-last-enclosure/blob/f0ef5a2036d4876ae8f4d4477676da968a032d01/codex-3000/compositions/commerce/DW-2915.md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https://github.com/darknigthmare/deadwall-last-enclosure/blob/f0ef5a2036d4876ae8f4d4477676da968a032d01/codex-3000/compositions/commerce/DW-2916.md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https://github.com/darknigthmare/deadwall-last-enclosure/blob/f0ef5a2036d4876ae8f4d4477676da968a032d01/codex-3000/compositions/commerce/DW-2917.md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https://github.com/darknigthmare/deadwall-last-enclosure/blob/f0ef5a2036d4876ae8f4d4477676da968a032d01/codex-3000/compositions/commerce/DW-2918.md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https://github.com/darknigthmare/deadwall-last-enclosure/blob/f0ef5a2036d4876ae8f4d4477676da968a032d01/codex-3000/compositions/commerce/DW-2919.md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https://github.com/darknigthmare/deadwall-last-enclosure/blob/f0ef5a2036d4876ae8f4d4477676da968a032d01/codex-3000/compositions/commerce/DW-2920.md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https://github.com/darknigthmare/deadwall-last-enclosure/blob/f0ef5a2036d4876ae8f4d4477676da968a032d01/codex-3000/compositions/commerce/DW-2921.md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https://github.com/darknigthmare/deadwall-last-enclosure/blob/f0ef5a2036d4876ae8f4d4477676da968a032d01/codex-3000/compositions/commerce/DW-2922.md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https://github.com/darknigthmare/deadwall-last-enclosure/blob/f0ef5a2036d4876ae8f4d4477676da968a032d01/codex-3000/compositions/commerce/DW-2923.md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https://github.com/darknigthmare/deadwall-last-enclosure/blob/f0ef5a2036d4876ae8f4d4477676da968a032d01/codex-3000/compositions/commerce/DW-2924.md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https://github.com/darknigthmare/deadwall-last-enclosure/blob/f0ef5a2036d4876ae8f4d4477676da968a032d01/codex-3000/compositions/commerce/DW-2925.md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https://github.com/darknigthmare/deadwall-last-enclosure/blob/f0ef5a2036d4876ae8f4d4477676da968a032d01/codex-3000/compositions/commerce/DW-2926.md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https://github.com/darknigthmare/deadwall-last-enclosure/blob/f0ef5a2036d4876ae8f4d4477676da968a032d01/codex-3000/compositions/commerce/DW-2927.md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https://github.com/darknigthmare/deadwall-last-enclosure/blob/f0ef5a2036d4876ae8f4d4477676da968a032d01/codex-3000/compositions/commerce/DW-2928.md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https://github.com/darknigthmare/deadwall-last-enclosure/blob/f0ef5a2036d4876ae8f4d4477676da968a032d01/codex-3000/compositions/industrie/DW-2929.md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https://github.com/darknigthmare/deadwall-last-enclosure/blob/f0ef5a2036d4876ae8f4d4477676da968a032d01/codex-3000/compositions/industrie/DW-2930.md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https://github.com/darknigthmare/deadwall-last-enclosure/blob/f0ef5a2036d4876ae8f4d4477676da968a032d01/codex-3000/compositions/industrie/DW-2931.md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https://github.com/darknigthmare/deadwall-last-enclosure/blob/f0ef5a2036d4876ae8f4d4477676da968a032d01/codex-3000/compositions/industrie/DW-2932.md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https://github.com/darknigthmare/deadwall-last-enclosure/blob/f0ef5a2036d4876ae8f4d4477676da968a032d01/codex-3000/compositions/industrie/DW-2933.md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https://github.com/darknigthmare/deadwall-last-enclosure/blob/f0ef5a2036d4876ae8f4d4477676da968a032d01/codex-3000/compositions/industrie/DW-2934.md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https://github.com/darknigthmare/deadwall-last-enclosure/blob/f0ef5a2036d4876ae8f4d4477676da968a032d01/codex-3000/compositions/industrie/DW-2935.md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https://github.com/darknigthmare/deadwall-last-enclosure/blob/f0ef5a2036d4876ae8f4d4477676da968a032d01/codex-3000/compositions/industrie/DW-2936.md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https://github.com/darknigthmare/deadwall-last-enclosure/blob/f0ef5a2036d4876ae8f4d4477676da968a032d01/codex-3000/compositions/industrie/DW-2937.md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https://github.com/darknigthmare/deadwall-last-enclosure/blob/f0ef5a2036d4876ae8f4d4477676da968a032d01/codex-3000/compositions/industrie/DW-2938.md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https://github.com/darknigthmare/deadwall-last-enclosure/blob/f0ef5a2036d4876ae8f4d4477676da968a032d01/codex-3000/compositions/industrie/DW-2939.md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https://github.com/darknigthmare/deadwall-last-enclosure/blob/f0ef5a2036d4876ae8f4d4477676da968a032d01/codex-3000/compositions/industrie/DW-2940.md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https://github.com/darknigthmare/deadwall-last-enclosure/blob/f0ef5a2036d4876ae8f4d4477676da968a032d01/codex-3000/compositions/industrie/DW-2941.md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https://github.com/darknigthmare/deadwall-last-enclosure/blob/f0ef5a2036d4876ae8f4d4477676da968a032d01/codex-3000/compositions/industrie/DW-2942.md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https://github.com/darknigthmare/deadwall-last-enclosure/blob/f0ef5a2036d4876ae8f4d4477676da968a032d01/codex-3000/compositions/industrie/DW-2943.md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https://github.com/darknigthmare/deadwall-last-enclosure/blob/f0ef5a2036d4876ae8f4d4477676da968a032d01/codex-3000/compositions/industrie/DW-2944.md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https://github.com/darknigthmare/deadwall-last-enclosure/blob/f0ef5a2036d4876ae8f4d4477676da968a032d01/codex-3000/compositions/public/DW-2945.md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https://github.com/darknigthmare/deadwall-last-enclosure/blob/f0ef5a2036d4876ae8f4d4477676da968a032d01/codex-3000/compositions/public/DW-2946.md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https://github.com/darknigthmare/deadwall-last-enclosure/blob/f0ef5a2036d4876ae8f4d4477676da968a032d01/codex-3000/compositions/public/DW-2947.md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https://github.com/darknigthmare/deadwall-last-enclosure/blob/f0ef5a2036d4876ae8f4d4477676da968a032d01/codex-3000/compositions/public/DW-2948.md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https://github.com/darknigthmare/deadwall-last-enclosure/blob/f0ef5a2036d4876ae8f4d4477676da968a032d01/codex-3000/compositions/public/DW-2949.md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https://github.com/darknigthmare/deadwall-last-enclosure/blob/f0ef5a2036d4876ae8f4d4477676da968a032d01/codex-3000/compositions/public/DW-2950.md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https://github.com/darknigthmare/deadwall-last-enclosure/blob/f0ef5a2036d4876ae8f4d4477676da968a032d01/codex-3000/compositions/public/DW-2951.md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https://github.com/darknigthmare/deadwall-last-enclosure/blob/f0ef5a2036d4876ae8f4d4477676da968a032d01/codex-3000/compositions/public/DW-2952.md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https://github.com/darknigthmare/deadwall-last-enclosure/blob/f0ef5a2036d4876ae8f4d4477676da968a032d01/codex-3000/compositions/public/DW-2953.md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https://github.com/darknigthmare/deadwall-last-enclosure/blob/f0ef5a2036d4876ae8f4d4477676da968a032d01/codex-3000/compositions/public/DW-2954.md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https://github.com/darknigthmare/deadwall-last-enclosure/blob/f0ef5a2036d4876ae8f4d4477676da968a032d01/codex-3000/compositions/public/DW-2955.md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https://github.com/darknigthmare/deadwall-last-enclosure/blob/f0ef5a2036d4876ae8f4d4477676da968a032d01/codex-3000/compositions/public/DW-2956.md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https://github.com/darknigthmare/deadwall-last-enclosure/blob/f0ef5a2036d4876ae8f4d4477676da968a032d01/codex-3000/compositions/public/DW-2957.md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https://github.com/darknigthmare/deadwall-last-enclosure/blob/f0ef5a2036d4876ae8f4d4477676da968a032d01/codex-3000/compositions/public/DW-2958.md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https://github.com/darknigthmare/deadwall-last-enclosure/blob/f0ef5a2036d4876ae8f4d4477676da968a032d01/codex-3000/compositions/public/DW-2959.md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https://github.com/darknigthmare/deadwall-last-enclosure/blob/f0ef5a2036d4876ae8f4d4477676da968a032d01/codex-3000/compositions/public/DW-2960.md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https://github.com/darknigthmare/deadwall-last-enclosure/blob/f0ef5a2036d4876ae8f4d4477676da968a032d01/codex-3000/compositions/rural/DW-2961.md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https://github.com/darknigthmare/deadwall-last-enclosure/blob/f0ef5a2036d4876ae8f4d4477676da968a032d01/codex-3000/compositions/rural/DW-2962.md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https://github.com/darknigthmare/deadwall-last-enclosure/blob/f0ef5a2036d4876ae8f4d4477676da968a032d01/codex-3000/compositions/rural/DW-2963.md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https://github.com/darknigthmare/deadwall-last-enclosure/blob/f0ef5a2036d4876ae8f4d4477676da968a032d01/codex-3000/compositions/rural/DW-2964.md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https://github.com/darknigthmare/deadwall-last-enclosure/blob/f0ef5a2036d4876ae8f4d4477676da968a032d01/codex-3000/compositions/rural/DW-2965.md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https://github.com/darknigthmare/deadwall-last-enclosure/blob/f0ef5a2036d4876ae8f4d4477676da968a032d01/codex-3000/compositions/rural/DW-2966.md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https://github.com/darknigthmare/deadwall-last-enclosure/blob/f0ef5a2036d4876ae8f4d4477676da968a032d01/codex-3000/compositions/rural/DW-2967.md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https://github.com/darknigthmare/deadwall-last-enclosure/blob/f0ef5a2036d4876ae8f4d4477676da968a032d01/codex-3000/compositions/rural/DW-2968.md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https://github.com/darknigthmare/deadwall-last-enclosure/blob/f0ef5a2036d4876ae8f4d4477676da968a032d01/codex-3000/compositions/rural/DW-2969.md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https://github.com/darknigthmare/deadwall-last-enclosure/blob/f0ef5a2036d4876ae8f4d4477676da968a032d01/codex-3000/compositions/rural/DW-2970.md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https://github.com/darknigthmare/deadwall-last-enclosure/blob/f0ef5a2036d4876ae8f4d4477676da968a032d01/codex-3000/compositions/rural/DW-2971.md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https://github.com/darknigthmare/deadwall-last-enclosure/blob/f0ef5a2036d4876ae8f4d4477676da968a032d01/codex-3000/compositions/rural/DW-2972.md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https://github.com/darknigthmare/deadwall-last-enclosure/blob/f0ef5a2036d4876ae8f4d4477676da968a032d01/codex-3000/compositions/rural/DW-2973.md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https://github.com/darknigthmare/deadwall-last-enclosure/blob/f0ef5a2036d4876ae8f4d4477676da968a032d01/codex-3000/compositions/rural/DW-2974.md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https://github.com/darknigthmare/deadwall-last-enclosure/blob/f0ef5a2036d4876ae8f4d4477676da968a032d01/codex-3000/compositions/rural/DW-2975.md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https://github.com/darknigthmare/deadwall-last-enclosure/blob/f0ef5a2036d4876ae8f4d4477676da968a032d01/codex-3000/compositions/rural/DW-2976.md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https://github.com/darknigthmare/deadwall-last-enclosure/blob/f0ef5a2036d4876ae8f4d4477676da968a032d01/codex-3000/compositions/militaire/DW-2977.md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https://github.com/darknigthmare/deadwall-last-enclosure/blob/f0ef5a2036d4876ae8f4d4477676da968a032d01/codex-3000/compositions/militaire/DW-2978.md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https://github.com/darknigthmare/deadwall-last-enclosure/blob/f0ef5a2036d4876ae8f4d4477676da968a032d01/codex-3000/compositions/militaire/DW-2979.md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https://github.com/darknigthmare/deadwall-last-enclosure/blob/f0ef5a2036d4876ae8f4d4477676da968a032d01/codex-3000/compositions/militaire/DW-2980.md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https://github.com/darknigthmare/deadwall-last-enclosure/blob/f0ef5a2036d4876ae8f4d4477676da968a032d01/codex-3000/compositions/militaire/DW-2981.md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https://github.com/darknigthmare/deadwall-last-enclosure/blob/f0ef5a2036d4876ae8f4d4477676da968a032d01/codex-3000/compositions/militaire/DW-2982.md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https://github.com/darknigthmare/deadwall-last-enclosure/blob/f0ef5a2036d4876ae8f4d4477676da968a032d01/codex-3000/compositions/militaire/DW-2983.md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https://github.com/darknigthmare/deadwall-last-enclosure/blob/f0ef5a2036d4876ae8f4d4477676da968a032d01/codex-3000/compositions/militaire/DW-2984.md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https://github.com/darknigthmare/deadwall-last-enclosure/blob/f0ef5a2036d4876ae8f4d4477676da968a032d01/codex-3000/compositions/militaire/DW-2985.md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https://github.com/darknigthmare/deadwall-last-enclosure/blob/f0ef5a2036d4876ae8f4d4477676da968a032d01/codex-3000/compositions/militaire/DW-2986.md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https://github.com/darknigthmare/deadwall-last-enclosure/blob/f0ef5a2036d4876ae8f4d4477676da968a032d01/codex-3000/compositions/militaire/DW-2987.md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https://github.com/darknigthmare/deadwall-last-enclosure/blob/f0ef5a2036d4876ae8f4d4477676da968a032d01/codex-3000/compositions/militaire/DW-2988.md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https://github.com/darknigthmare/deadwall-last-enclosure/blob/f0ef5a2036d4876ae8f4d4477676da968a032d01/codex-3000/compositions/militaire/DW-2989.md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https://github.com/darknigthmare/deadwall-last-enclosure/blob/f0ef5a2036d4876ae8f4d4477676da968a032d01/codex-3000/compositions/militaire/DW-2990.md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https://github.com/darknigthmare/deadwall-last-enclosure/blob/f0ef5a2036d4876ae8f4d4477676da968a032d01/codex-3000/compositions/militaire/DW-2991.md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https://github.com/darknigthmare/deadwall-last-enclosure/blob/f0ef5a2036d4876ae8f4d4477676da968a032d01/codex-3000/compositions/militaire/DW-2992.md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https://github.com/darknigthmare/deadwall-last-enclosure/blob/f0ef5a2036d4876ae8f4d4477676da968a032d01/codex-3000/compositions/transport/DW-2993.md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https://github.com/darknigthmare/deadwall-last-enclosure/blob/f0ef5a2036d4876ae8f4d4477676da968a032d01/codex-3000/compositions/transport/DW-2994.md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https://github.com/darknigthmare/deadwall-last-enclosure/blob/f0ef5a2036d4876ae8f4d4477676da968a032d01/codex-3000/compositions/transport/DW-2995.md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https://github.com/darknigthmare/deadwall-last-enclosure/blob/f0ef5a2036d4876ae8f4d4477676da968a032d01/codex-3000/compositions/transport/DW-2996.md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https://github.com/darknigthmare/deadwall-last-enclosure/blob/f0ef5a2036d4876ae8f4d4477676da968a032d01/codex-3000/compositions/transport/DW-2997.md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https://github.com/darknigthmare/deadwall-last-enclosure/blob/f0ef5a2036d4876ae8f4d4477676da968a032d01/codex-3000/compositions/transport/DW-2998.md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https://github.com/darknigthmare/deadwall-last-enclosure/blob/f0ef5a2036d4876ae8f4d4477676da968a032d01/codex-3000/compositions/transport/DW-2999.md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https://github.com/darknigthmare/deadwall-last-enclosure/blob/f0ef5a2036d4876ae8f4d4477676da968a032d01/codex-3000/compositions/transport/DW-3000.md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https://github.com/darknigthmare/deadwall-last-enclosure/blob/f0ef5a2036d4876ae8f4d4477676da968a032d01/codex-3000/addendum-1.58/PROGRAMMES_A.json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https://github.com/darknigthmare/deadwall-last-enclosure/blob/f0ef5a2036d4876ae8f4d4477676da968a032d01/codex-3000/addendum-1.58/PROGRAMMES_A.json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https://github.com/darknigthmare/deadwall-last-enclosure/blob/f0ef5a2036d4876ae8f4d4477676da968a032d01/codex-3000/addendum-1.58/PROGRAMMES_A.json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https://github.com/darknigthmare/deadwall-last-enclosure/blob/f0ef5a2036d4876ae8f4d4477676da968a032d01/codex-3000/addendum-1.58/PROGRAMMES_A.json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https://github.com/darknigthmare/deadwall-last-enclosure/blob/f0ef5a2036d4876ae8f4d4477676da968a032d01/codex-3000/addendum-1.58/PROGRAMMES_A.json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https://github.com/darknigthmare/deadwall-last-enclosure/blob/f0ef5a2036d4876ae8f4d4477676da968a032d01/codex-3000/addendum-1.58/PROGRAMMES_A.json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https://github.com/darknigthmare/deadwall-last-enclosure/blob/f0ef5a2036d4876ae8f4d4477676da968a032d01/codex-3000/addendum-1.58/PROGRAMMES_A.json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https://github.com/darknigthmare/deadwall-last-enclosure/blob/f0ef5a2036d4876ae8f4d4477676da968a032d01/codex-3000/addendum-1.58/PROGRAMMES_A.json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https://github.com/darknigthmare/deadwall-last-enclosure/blob/f0ef5a2036d4876ae8f4d4477676da968a032d01/codex-3000/addendum-1.58/PROGRAMMES_A.json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https://github.com/darknigthmare/deadwall-last-enclosure/blob/f0ef5a2036d4876ae8f4d4477676da968a032d01/codex-3000/addendum-1.58/PROGRAMMES_A.json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https://github.com/darknigthmare/deadwall-last-enclosure/blob/f0ef5a2036d4876ae8f4d4477676da968a032d01/codex-3000/addendum-1.58/PROGRAMMES_A.json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https://github.com/darknigthmare/deadwall-last-enclosure/blob/f0ef5a2036d4876ae8f4d4477676da968a032d01/codex-3000/addendum-1.58/PROGRAMMES_A.json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https://github.com/darknigthmare/deadwall-last-enclosure/blob/f0ef5a2036d4876ae8f4d4477676da968a032d01/codex-3000/addendum-1.58/PROGRAMMES_A.json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https://github.com/darknigthmare/deadwall-last-enclosure/blob/f0ef5a2036d4876ae8f4d4477676da968a032d01/codex-3000/addendum-1.58/PROGRAMMES_A.json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https://github.com/darknigthmare/deadwall-last-enclosure/blob/f0ef5a2036d4876ae8f4d4477676da968a032d01/codex-3000/addendum-1.58/PROGRAMMES_A.json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https://github.com/darknigthmare/deadwall-last-enclosure/blob/f0ef5a2036d4876ae8f4d4477676da968a032d01/codex-3000/addendum-1.58/PROGRAMMES_A.json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https://github.com/darknigthmare/deadwall-last-enclosure/blob/f0ef5a2036d4876ae8f4d4477676da968a032d01/codex-3000/addendum-1.58/PROGRAMMES_A.json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https://github.com/darknigthmare/deadwall-last-enclosure/blob/f0ef5a2036d4876ae8f4d4477676da968a032d01/codex-3000/addendum-1.58/PROGRAMMES_A.json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https://github.com/darknigthmare/deadwall-last-enclosure/blob/f0ef5a2036d4876ae8f4d4477676da968a032d01/codex-3000/addendum-1.58/PROGRAMMES_A.json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https://github.com/darknigthmare/deadwall-last-enclosure/blob/f0ef5a2036d4876ae8f4d4477676da968a032d01/codex-3000/addendum-1.58/PROGRAMMES_A.json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https://github.com/darknigthmare/deadwall-last-enclosure/blob/f0ef5a2036d4876ae8f4d4477676da968a032d01/codex-3000/addendum-1.58/PROGRAMMES_A.json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https://github.com/darknigthmare/deadwall-last-enclosure/blob/f0ef5a2036d4876ae8f4d4477676da968a032d01/codex-3000/addendum-1.58/PROGRAMMES_A.json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https://github.com/darknigthmare/deadwall-last-enclosure/blob/f0ef5a2036d4876ae8f4d4477676da968a032d01/codex-3000/addendum-1.58/PROGRAMMES_A.json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https://github.com/darknigthmare/deadwall-last-enclosure/blob/f0ef5a2036d4876ae8f4d4477676da968a032d01/codex-3000/addendum-1.58/PROGRAMMES_A.json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https://github.com/darknigthmare/deadwall-last-enclosure/blob/f0ef5a2036d4876ae8f4d4477676da968a032d01/codex-3000/addendum-1.58/PROGRAMMES_A.json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https://github.com/darknigthmare/deadwall-last-enclosure/blob/f0ef5a2036d4876ae8f4d4477676da968a032d01/codex-3000/addendum-1.58/PROGRAMMES_A.json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https://github.com/darknigthmare/deadwall-last-enclosure/blob/f0ef5a2036d4876ae8f4d4477676da968a032d01/codex-3000/addendum-1.58/PROGRAMMES_A.json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https://github.com/darknigthmare/deadwall-last-enclosure/blob/f0ef5a2036d4876ae8f4d4477676da968a032d01/codex-3000/addendum-1.58/PROGRAMMES_A.json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https://github.com/darknigthmare/deadwall-last-enclosure/blob/f0ef5a2036d4876ae8f4d4477676da968a032d01/codex-3000/addendum-1.58/PROGRAMMES_A.json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https://github.com/darknigthmare/deadwall-last-enclosure/blob/f0ef5a2036d4876ae8f4d4477676da968a032d01/codex-3000/addendum-1.58/PROGRAMMES_A.json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https://github.com/darknigthmare/deadwall-last-enclosure/blob/f0ef5a2036d4876ae8f4d4477676da968a032d01/codex-3000/addendum-1.58/PROGRAMMES_A.json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https://github.com/darknigthmare/deadwall-last-enclosure/blob/f0ef5a2036d4876ae8f4d4477676da968a032d01/codex-3000/addendum-1.58/PROGRAMMES_A.json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https://github.com/darknigthmare/deadwall-last-enclosure/blob/f0ef5a2036d4876ae8f4d4477676da968a032d01/codex-3000/addendum-1.58/PROGRAMMES_A.json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https://github.com/darknigthmare/deadwall-last-enclosure/blob/f0ef5a2036d4876ae8f4d4477676da968a032d01/codex-3000/addendum-1.58/PROGRAMMES_A.json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https://github.com/darknigthmare/deadwall-last-enclosure/blob/f0ef5a2036d4876ae8f4d4477676da968a032d01/codex-3000/addendum-1.58/PROGRAMMES_A.json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https://github.com/darknigthmare/deadwall-last-enclosure/blob/f0ef5a2036d4876ae8f4d4477676da968a032d01/codex-3000/addendum-1.58/PROGRAMMES_A.json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https://github.com/darknigthmare/deadwall-last-enclosure/blob/f0ef5a2036d4876ae8f4d4477676da968a032d01/codex-3000/addendum-1.58/PROGRAMMES_A.json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https://github.com/darknigthmare/deadwall-last-enclosure/blob/f0ef5a2036d4876ae8f4d4477676da968a032d01/codex-3000/addendum-1.58/PROGRAMMES_A.json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https://github.com/darknigthmare/deadwall-last-enclosure/blob/f0ef5a2036d4876ae8f4d4477676da968a032d01/codex-3000/addendum-1.58/PROGRAMMES_A.json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https://github.com/darknigthmare/deadwall-last-enclosure/blob/f0ef5a2036d4876ae8f4d4477676da968a032d01/codex-3000/addendum-1.58/PROGRAMMES_A.json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https://github.com/darknigthmare/deadwall-last-enclosure/blob/f0ef5a2036d4876ae8f4d4477676da968a032d01/codex-3000/addendum-1.58/PROGRAMMES_A.json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https://github.com/darknigthmare/deadwall-last-enclosure/blob/f0ef5a2036d4876ae8f4d4477676da968a032d01/codex-3000/addendum-1.58/PROGRAMMES_A.json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https://github.com/darknigthmare/deadwall-last-enclosure/blob/f0ef5a2036d4876ae8f4d4477676da968a032d01/codex-3000/addendum-1.58/PROGRAMMES_A.json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https://github.com/darknigthmare/deadwall-last-enclosure/blob/f0ef5a2036d4876ae8f4d4477676da968a032d01/codex-3000/addendum-1.58/PROGRAMMES_A.json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https://github.com/darknigthmare/deadwall-last-enclosure/blob/f0ef5a2036d4876ae8f4d4477676da968a032d01/codex-3000/addendum-1.58/PROGRAMMES_A.json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https://github.com/darknigthmare/deadwall-last-enclosure/blob/f0ef5a2036d4876ae8f4d4477676da968a032d01/codex-3000/addendum-1.58/PROGRAMMES_A.json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https://github.com/darknigthmare/deadwall-last-enclosure/blob/f0ef5a2036d4876ae8f4d4477676da968a032d01/codex-3000/addendum-1.58/PROGRAMMES_A.json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https://github.com/darknigthmare/deadwall-last-enclosure/blob/f0ef5a2036d4876ae8f4d4477676da968a032d01/codex-3000/addendum-1.58/PROGRAMMES_A.json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https://github.com/darknigthmare/deadwall-last-enclosure/blob/f0ef5a2036d4876ae8f4d4477676da968a032d01/codex-3000/addendum-1.58/PROGRAMMES_A.json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https://github.com/darknigthmare/deadwall-last-enclosure/blob/f0ef5a2036d4876ae8f4d4477676da968a032d01/codex-3000/addendum-1.58/PROGRAMMES_A.json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https://github.com/darknigthmare/deadwall-last-enclosure/blob/f0ef5a2036d4876ae8f4d4477676da968a032d01/codex-3000/addendum-1.58/PROGRAMMES_A.json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https://github.com/darknigthmare/deadwall-last-enclosure/blob/f0ef5a2036d4876ae8f4d4477676da968a032d01/codex-3000/addendum-1.58/PROGRAMMES_A.json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https://github.com/darknigthmare/deadwall-last-enclosure/blob/f0ef5a2036d4876ae8f4d4477676da968a032d01/codex-3000/addendum-1.58/PROGRAMMES_A.json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https://github.com/darknigthmare/deadwall-last-enclosure/blob/f0ef5a2036d4876ae8f4d4477676da968a032d01/codex-3000/addendum-1.58/PROGRAMMES_A.json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https://github.com/darknigthmare/deadwall-last-enclosure/blob/f0ef5a2036d4876ae8f4d4477676da968a032d01/codex-3000/addendum-1.58/PROGRAMMES_A.json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https://github.com/darknigthmare/deadwall-last-enclosure/blob/f0ef5a2036d4876ae8f4d4477676da968a032d01/codex-3000/addendum-1.58/PROGRAMMES_A.json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https://github.com/darknigthmare/deadwall-last-enclosure/blob/f0ef5a2036d4876ae8f4d4477676da968a032d01/codex-3000/addendum-1.58/PROGRAMMES_A.json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https://github.com/darknigthmare/deadwall-last-enclosure/blob/f0ef5a2036d4876ae8f4d4477676da968a032d01/codex-3000/addendum-1.58/PROGRAMMES_A.json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https://github.com/darknigthmare/deadwall-last-enclosure/blob/f0ef5a2036d4876ae8f4d4477676da968a032d01/codex-3000/addendum-1.58/PROGRAMMES_A.json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https://github.com/darknigthmare/deadwall-last-enclosure/blob/f0ef5a2036d4876ae8f4d4477676da968a032d01/codex-3000/addendum-1.58/PROGRAMMES_A.json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https://github.com/darknigthmare/deadwall-last-enclosure/blob/f0ef5a2036d4876ae8f4d4477676da968a032d01/codex-3000/addendum-1.58/PROGRAMMES_A.json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https://github.com/darknigthmare/deadwall-last-enclosure/blob/f0ef5a2036d4876ae8f4d4477676da968a032d01/codex-3000/addendum-1.58/PROGRAMMES_A.json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https://github.com/darknigthmare/deadwall-last-enclosure/blob/f0ef5a2036d4876ae8f4d4477676da968a032d01/codex-3000/addendum-1.58/PROGRAMMES_A.json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https://github.com/darknigthmare/deadwall-last-enclosure/blob/f0ef5a2036d4876ae8f4d4477676da968a032d01/codex-3000/addendum-1.58/PROGRAMMES_A.json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https://github.com/darknigthmare/deadwall-last-enclosure/blob/f0ef5a2036d4876ae8f4d4477676da968a032d01/codex-3000/addendum-1.58/PROGRAMMES_A.json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https://github.com/darknigthmare/deadwall-last-enclosure/blob/f0ef5a2036d4876ae8f4d4477676da968a032d01/codex-3000/addendum-1.58/PROGRAMMES_A.json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https://github.com/darknigthmare/deadwall-last-enclosure/blob/f0ef5a2036d4876ae8f4d4477676da968a032d01/codex-3000/addendum-1.58/PROGRAMMES_A.json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https://github.com/darknigthmare/deadwall-last-enclosure/blob/f0ef5a2036d4876ae8f4d4477676da968a032d01/codex-3000/addendum-1.58/PROGRAMMES_A.json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https://github.com/darknigthmare/deadwall-last-enclosure/blob/f0ef5a2036d4876ae8f4d4477676da968a032d01/codex-3000/addendum-1.58/PROGRAMMES_A.json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https://github.com/darknigthmare/deadwall-last-enclosure/blob/f0ef5a2036d4876ae8f4d4477676da968a032d01/codex-3000/addendum-1.58/PROGRAMMES_A.json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https://github.com/darknigthmare/deadwall-last-enclosure/blob/f0ef5a2036d4876ae8f4d4477676da968a032d01/codex-3000/addendum-1.58/PROGRAMMES_A.json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https://github.com/darknigthmare/deadwall-last-enclosure/blob/f0ef5a2036d4876ae8f4d4477676da968a032d01/codex-3000/addendum-1.58/PROGRAMMES_A.json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https://github.com/darknigthmare/deadwall-last-enclosure/blob/f0ef5a2036d4876ae8f4d4477676da968a032d01/codex-3000/addendum-1.58/PROGRAMMES_A.json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https://github.com/darknigthmare/deadwall-last-enclosure/blob/f0ef5a2036d4876ae8f4d4477676da968a032d01/codex-3000/addendum-1.58/PROGRAMMES_A.json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https://github.com/darknigthmare/deadwall-last-enclosure/blob/f0ef5a2036d4876ae8f4d4477676da968a032d01/codex-3000/addendum-1.58/PROGRAMMES_A.json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https://github.com/darknigthmare/deadwall-last-enclosure/blob/f0ef5a2036d4876ae8f4d4477676da968a032d01/codex-3000/addendum-1.58/PROGRAMMES_A.json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https://github.com/darknigthmare/deadwall-last-enclosure/blob/f0ef5a2036d4876ae8f4d4477676da968a032d01/codex-3000/addendum-1.58/PROGRAMMES_A.json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https://github.com/darknigthmare/deadwall-last-enclosure/blob/f0ef5a2036d4876ae8f4d4477676da968a032d01/codex-3000/addendum-1.58/PROGRAMMES_A.json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https://github.com/darknigthmare/deadwall-last-enclosure/blob/f0ef5a2036d4876ae8f4d4477676da968a032d01/codex-3000/addendum-1.58/PROGRAMMES_A.json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https://github.com/darknigthmare/deadwall-last-enclosure/blob/f0ef5a2036d4876ae8f4d4477676da968a032d01/codex-3000/addendum-1.58/PROGRAMMES_A.json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https://github.com/darknigthmare/deadwall-last-enclosure/blob/f0ef5a2036d4876ae8f4d4477676da968a032d01/codex-3000/addendum-1.58/PROGRAMMES_A.json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https://github.com/darknigthmare/deadwall-last-enclosure/blob/f0ef5a2036d4876ae8f4d4477676da968a032d01/codex-3000/addendum-1.58/PROGRAMMES_A.json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https://github.com/darknigthmare/deadwall-last-enclosure/blob/f0ef5a2036d4876ae8f4d4477676da968a032d01/codex-3000/addendum-1.58/PROGRAMMES_A.json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https://github.com/darknigthmare/deadwall-last-enclosure/blob/f0ef5a2036d4876ae8f4d4477676da968a032d01/codex-3000/addendum-1.58/PROGRAMMES_A.json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https://github.com/darknigthmare/deadwall-last-enclosure/blob/f0ef5a2036d4876ae8f4d4477676da968a032d01/codex-3000/addendum-1.58/PROGRAMMES_A.json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https://github.com/darknigthmare/deadwall-last-enclosure/blob/f0ef5a2036d4876ae8f4d4477676da968a032d01/codex-3000/addendum-1.58/PROGRAMMES_A.json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https://github.com/darknigthmare/deadwall-last-enclosure/blob/f0ef5a2036d4876ae8f4d4477676da968a032d01/codex-3000/addendum-1.58/PROGRAMMES_A.json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https://github.com/darknigthmare/deadwall-last-enclosure/blob/f0ef5a2036d4876ae8f4d4477676da968a032d01/codex-3000/addendum-1.58/PROGRAMMES_A.json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https://github.com/darknigthmare/deadwall-last-enclosure/blob/f0ef5a2036d4876ae8f4d4477676da968a032d01/codex-3000/addendum-1.58/PROGRAMMES_A.json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https://github.com/darknigthmare/deadwall-last-enclosure/blob/f0ef5a2036d4876ae8f4d4477676da968a032d01/codex-3000/addendum-1.58/PROGRAMMES_A.json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https://github.com/darknigthmare/deadwall-last-enclosure/blob/f0ef5a2036d4876ae8f4d4477676da968a032d01/codex-3000/addendum-1.58/PROGRAMMES_A.json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https://github.com/darknigthmare/deadwall-last-enclosure/blob/f0ef5a2036d4876ae8f4d4477676da968a032d01/codex-3000/addendum-1.58/PROGRAMMES_A.json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https://github.com/darknigthmare/deadwall-last-enclosure/blob/f0ef5a2036d4876ae8f4d4477676da968a032d01/codex-3000/addendum-1.58/PROGRAMMES_A.json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https://github.com/darknigthmare/deadwall-last-enclosure/blob/f0ef5a2036d4876ae8f4d4477676da968a032d01/codex-3000/addendum-1.58/PROGRAMMES_A.json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https://github.com/darknigthmare/deadwall-last-enclosure/blob/f0ef5a2036d4876ae8f4d4477676da968a032d01/codex-3000/addendum-1.58/PROGRAMMES_A.json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https://github.com/darknigthmare/deadwall-last-enclosure/blob/f0ef5a2036d4876ae8f4d4477676da968a032d01/codex-3000/addendum-1.58/PROGRAMMES_A.json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https://github.com/darknigthmare/deadwall-last-enclosure/blob/f0ef5a2036d4876ae8f4d4477676da968a032d01/codex-3000/addendum-1.58/PROGRAMMES_A.json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https://github.com/darknigthmare/deadwall-last-enclosure/blob/f0ef5a2036d4876ae8f4d4477676da968a032d01/codex-3000/addendum-1.58/PROGRAMMES_A.json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https://github.com/darknigthmare/deadwall-last-enclosure/blob/f0ef5a2036d4876ae8f4d4477676da968a032d01/codex-3000/addendum-1.58/PROGRAMMES_A.json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https://github.com/darknigthmare/deadwall-last-enclosure/blob/f0ef5a2036d4876ae8f4d4477676da968a032d01/codex-3000/addendum-1.58/PROGRAMMES_A.json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https://github.com/darknigthmare/deadwall-last-enclosure/blob/f0ef5a2036d4876ae8f4d4477676da968a032d01/codex-3000/addendum-1.58/PROGRAMMES_A.json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https://github.com/darknigthmare/deadwall-last-enclosure/blob/f0ef5a2036d4876ae8f4d4477676da968a032d01/codex-3000/addendum-1.58/PROGRAMMES_A.json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https://github.com/darknigthmare/deadwall-last-enclosure/blob/f0ef5a2036d4876ae8f4d4477676da968a032d01/codex-3000/addendum-1.58/PROGRAMMES_A.json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https://github.com/darknigthmare/deadwall-last-enclosure/blob/f0ef5a2036d4876ae8f4d4477676da968a032d01/codex-3000/addendum-1.58/PROGRAMMES_A.json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https://github.com/darknigthmare/deadwall-last-enclosure/blob/f0ef5a2036d4876ae8f4d4477676da968a032d01/codex-3000/addendum-1.58/PROGRAMMES_A.json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https://github.com/darknigthmare/deadwall-last-enclosure/blob/f0ef5a2036d4876ae8f4d4477676da968a032d01/codex-3000/addendum-1.58/PROGRAMMES_A.json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https://github.com/darknigthmare/deadwall-last-enclosure/blob/f0ef5a2036d4876ae8f4d4477676da968a032d01/codex-3000/addendum-1.58/PROGRAMMES_A.json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https://github.com/darknigthmare/deadwall-last-enclosure/blob/f0ef5a2036d4876ae8f4d4477676da968a032d01/codex-3000/addendum-1.58/PROGRAMMES_A.json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https://github.com/darknigthmare/deadwall-last-enclosure/blob/f0ef5a2036d4876ae8f4d4477676da968a032d01/codex-3000/addendum-1.58/PROGRAMMES_A.json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https://github.com/darknigthmare/deadwall-last-enclosure/blob/f0ef5a2036d4876ae8f4d4477676da968a032d01/codex-3000/addendum-1.58/PROGRAMMES_A.json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https://github.com/darknigthmare/deadwall-last-enclosure/blob/f0ef5a2036d4876ae8f4d4477676da968a032d01/codex-3000/addendum-1.58/PROGRAMMES_A.json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https://github.com/darknigthmare/deadwall-last-enclosure/blob/f0ef5a2036d4876ae8f4d4477676da968a032d01/codex-3000/addendum-1.58/PROGRAMMES_A.json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https://github.com/darknigthmare/deadwall-last-enclosure/blob/f0ef5a2036d4876ae8f4d4477676da968a032d01/codex-3000/addendum-1.58/PROGRAMMES_A.json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https://github.com/darknigthmare/deadwall-last-enclosure/blob/f0ef5a2036d4876ae8f4d4477676da968a032d01/codex-3000/addendum-1.58/PROGRAMMES_A.json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https://github.com/darknigthmare/deadwall-last-enclosure/blob/f0ef5a2036d4876ae8f4d4477676da968a032d01/codex-3000/addendum-1.58/PROGRAMMES_A.json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https://github.com/darknigthmare/deadwall-last-enclosure/blob/f0ef5a2036d4876ae8f4d4477676da968a032d01/codex-3000/addendum-1.58/PROGRAMMES_A.json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https://github.com/darknigthmare/deadwall-last-enclosure/blob/f0ef5a2036d4876ae8f4d4477676da968a032d01/codex-3000/addendum-1.58/PROGRAMMES_A.json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https://github.com/darknigthmare/deadwall-last-enclosure/blob/f0ef5a2036d4876ae8f4d4477676da968a032d01/codex-3000/addendum-1.58/PROGRAMMES_A.json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https://github.com/darknigthmare/deadwall-last-enclosure/blob/f0ef5a2036d4876ae8f4d4477676da968a032d01/codex-3000/addendum-1.58/PROGRAMMES_A.json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https://github.com/darknigthmare/deadwall-last-enclosure/blob/f0ef5a2036d4876ae8f4d4477676da968a032d01/codex-3000/addendum-1.58/PROGRAMMES_A.json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https://github.com/darknigthmare/deadwall-last-enclosure/blob/f0ef5a2036d4876ae8f4d4477676da968a032d01/codex-3000/addendum-1.58/PROGRAMMES_A.json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https://github.com/darknigthmare/deadwall-last-enclosure/blob/f0ef5a2036d4876ae8f4d4477676da968a032d01/codex-3000/addendum-1.58/PROGRAMMES_A.json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https://github.com/darknigthmare/deadwall-last-enclosure/blob/f0ef5a2036d4876ae8f4d4477676da968a032d01/codex-3000/addendum-1.58/PROGRAMMES_A.json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https://github.com/darknigthmare/deadwall-last-enclosure/blob/f0ef5a2036d4876ae8f4d4477676da968a032d01/codex-3000/addendum-1.58/PROGRAMMES_A.json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https://github.com/darknigthmare/deadwall-last-enclosure/blob/f0ef5a2036d4876ae8f4d4477676da968a032d01/codex-3000/addendum-1.58/PROGRAMMES_A.json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https://github.com/darknigthmare/deadwall-last-enclosure/blob/f0ef5a2036d4876ae8f4d4477676da968a032d01/codex-3000/addendum-1.58/PROGRAMMES_A.json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https://github.com/darknigthmare/deadwall-last-enclosure/blob/f0ef5a2036d4876ae8f4d4477676da968a032d01/codex-3000/addendum-1.58/PROGRAMMES_A.json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https://github.com/darknigthmare/deadwall-last-enclosure/blob/f0ef5a2036d4876ae8f4d4477676da968a032d01/codex-3000/addendum-1.58/PROGRAMMES_A.json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https://github.com/darknigthmare/deadwall-last-enclosure/blob/f0ef5a2036d4876ae8f4d4477676da968a032d01/codex-3000/addendum-1.58/PROGRAMMES_A.json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https://github.com/darknigthmare/deadwall-last-enclosure/blob/f0ef5a2036d4876ae8f4d4477676da968a032d01/codex-3000/addendum-1.58/PROGRAMMES_A.json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https://github.com/darknigthmare/deadwall-last-enclosure/blob/f0ef5a2036d4876ae8f4d4477676da968a032d01/codex-3000/addendum-1.58/PROGRAMMES_A.json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https://github.com/darknigthmare/deadwall-last-enclosure/blob/f0ef5a2036d4876ae8f4d4477676da968a032d01/codex-3000/addendum-1.58/PROGRAMMES_A.json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https://github.com/darknigthmare/deadwall-last-enclosure/blob/f0ef5a2036d4876ae8f4d4477676da968a032d01/codex-3000/addendum-1.58/PROGRAMMES_A.json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https://github.com/darknigthmare/deadwall-last-enclosure/blob/f0ef5a2036d4876ae8f4d4477676da968a032d01/codex-3000/addendum-1.58/PROGRAMMES_A.json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https://github.com/darknigthmare/deadwall-last-enclosure/blob/f0ef5a2036d4876ae8f4d4477676da968a032d01/codex-3000/addendum-1.58/PROGRAMMES_A.json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https://github.com/darknigthmare/deadwall-last-enclosure/blob/f0ef5a2036d4876ae8f4d4477676da968a032d01/codex-3000/addendum-1.58/PROGRAMMES_A.json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https://github.com/darknigthmare/deadwall-last-enclosure/blob/f0ef5a2036d4876ae8f4d4477676da968a032d01/codex-3000/addendum-1.58/PROGRAMMES_A.json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https://github.com/darknigthmare/deadwall-last-enclosure/blob/f0ef5a2036d4876ae8f4d4477676da968a032d01/codex-3000/addendum-1.58/PROGRAMMES_A.json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https://github.com/darknigthmare/deadwall-last-enclosure/blob/f0ef5a2036d4876ae8f4d4477676da968a032d01/codex-3000/addendum-1.58/PROGRAMMES_A.json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https://github.com/darknigthmare/deadwall-last-enclosure/blob/f0ef5a2036d4876ae8f4d4477676da968a032d01/codex-3000/addendum-1.58/PROGRAMMES_A.json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https://github.com/darknigthmare/deadwall-last-enclosure/blob/f0ef5a2036d4876ae8f4d4477676da968a032d01/codex-3000/addendum-1.58/PROGRAMMES_A.json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https://github.com/darknigthmare/deadwall-last-enclosure/blob/f0ef5a2036d4876ae8f4d4477676da968a032d01/codex-3000/addendum-1.58/PROGRAMMES_A.json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https://github.com/darknigthmare/deadwall-last-enclosure/blob/f0ef5a2036d4876ae8f4d4477676da968a032d01/codex-3000/addendum-1.58/PROGRAMMES_A.json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https://github.com/darknigthmare/deadwall-last-enclosure/blob/f0ef5a2036d4876ae8f4d4477676da968a032d01/codex-3000/addendum-1.58/PROGRAMMES_A.json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https://github.com/darknigthmare/deadwall-last-enclosure/blob/f0ef5a2036d4876ae8f4d4477676da968a032d01/codex-3000/addendum-1.58/PROGRAMMES_A.json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https://github.com/darknigthmare/deadwall-last-enclosure/blob/f0ef5a2036d4876ae8f4d4477676da968a032d01/codex-3000/addendum-1.58/PROGRAMMES_A.json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https://github.com/darknigthmare/deadwall-last-enclosure/blob/f0ef5a2036d4876ae8f4d4477676da968a032d01/codex-3000/addendum-1.58/PROGRAMMES_A.json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https://github.com/darknigthmare/deadwall-last-enclosure/blob/f0ef5a2036d4876ae8f4d4477676da968a032d01/codex-3000/addendum-1.58/PROGRAMMES_A.json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https://github.com/darknigthmare/deadwall-last-enclosure/blob/f0ef5a2036d4876ae8f4d4477676da968a032d01/codex-3000/addendum-1.58/PROGRAMMES_A.json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https://github.com/darknigthmare/deadwall-last-enclosure/blob/f0ef5a2036d4876ae8f4d4477676da968a032d01/codex-3000/addendum-1.58/PROGRAMMES_A.json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https://github.com/darknigthmare/deadwall-last-enclosure/blob/f0ef5a2036d4876ae8f4d4477676da968a032d01/codex-3000/addendum-1.58/PROGRAMMES_A.json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https://github.com/darknigthmare/deadwall-last-enclosure/blob/f0ef5a2036d4876ae8f4d4477676da968a032d01/codex-3000/addendum-1.58/PROGRAMMES_A.json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https://github.com/darknigthmare/deadwall-last-enclosure/blob/f0ef5a2036d4876ae8f4d4477676da968a032d01/codex-3000/addendum-1.58/PROGRAMMES_A.json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https://github.com/darknigthmare/deadwall-last-enclosure/blob/f0ef5a2036d4876ae8f4d4477676da968a032d01/codex-3000/addendum-1.58/PROGRAMMES_A.json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https://github.com/darknigthmare/deadwall-last-enclosure/blob/f0ef5a2036d4876ae8f4d4477676da968a032d01/codex-3000/addendum-1.58/PROGRAMMES_A.json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https://github.com/darknigthmare/deadwall-last-enclosure/blob/f0ef5a2036d4876ae8f4d4477676da968a032d01/codex-3000/addendum-1.58/PROGRAMMES_A.json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https://github.com/darknigthmare/deadwall-last-enclosure/blob/f0ef5a2036d4876ae8f4d4477676da968a032d01/codex-3000/addendum-1.58/PROGRAMMES_A.json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https://github.com/darknigthmare/deadwall-last-enclosure/blob/f0ef5a2036d4876ae8f4d4477676da968a032d01/codex-3000/addendum-1.58/PROGRAMMES_A.json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https://github.com/darknigthmare/deadwall-last-enclosure/blob/f0ef5a2036d4876ae8f4d4477676da968a032d01/codex-3000/addendum-1.58/PROGRAMMES_A.json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https://github.com/darknigthmare/deadwall-last-enclosure/blob/f0ef5a2036d4876ae8f4d4477676da968a032d01/codex-3000/addendum-1.58/PROGRAMMES_A.json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https://github.com/darknigthmare/deadwall-last-enclosure/blob/f0ef5a2036d4876ae8f4d4477676da968a032d01/codex-3000/addendum-1.58/PROGRAMMES_A.json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https://github.com/darknigthmare/deadwall-last-enclosure/blob/f0ef5a2036d4876ae8f4d4477676da968a032d01/codex-3000/addendum-1.58/PROGRAMMES_A.json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https://github.com/darknigthmare/deadwall-last-enclosure/blob/f0ef5a2036d4876ae8f4d4477676da968a032d01/codex-3000/addendum-1.58/PROGRAMMES_A.json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https://github.com/darknigthmare/deadwall-last-enclosure/blob/f0ef5a2036d4876ae8f4d4477676da968a032d01/codex-3000/addendum-1.58/PROGRAMMES_A.json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https://github.com/darknigthmare/deadwall-last-enclosure/blob/f0ef5a2036d4876ae8f4d4477676da968a032d01/codex-3000/addendum-1.58/PROGRAMMES_A.json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https://github.com/darknigthmare/deadwall-last-enclosure/blob/f0ef5a2036d4876ae8f4d4477676da968a032d01/codex-3000/addendum-1.58/PROGRAMMES_A.json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https://github.com/darknigthmare/deadwall-last-enclosure/blob/f0ef5a2036d4876ae8f4d4477676da968a032d01/codex-3000/addendum-1.58/PROGRAMMES_A.json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https://github.com/darknigthmare/deadwall-last-enclosure/blob/f0ef5a2036d4876ae8f4d4477676da968a032d01/codex-3000/addendum-1.58/PROGRAMMES_A.json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https://github.com/darknigthmare/deadwall-last-enclosure/blob/f0ef5a2036d4876ae8f4d4477676da968a032d01/codex-3000/addendum-1.58/PROGRAMMES_A.json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https://github.com/darknigthmare/deadwall-last-enclosure/blob/f0ef5a2036d4876ae8f4d4477676da968a032d01/codex-3000/addendum-1.58/PROGRAMMES_A.json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https://github.com/darknigthmare/deadwall-last-enclosure/blob/f0ef5a2036d4876ae8f4d4477676da968a032d01/codex-3000/addendum-1.58/PROGRAMMES_A.json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https://github.com/darknigthmare/deadwall-last-enclosure/blob/f0ef5a2036d4876ae8f4d4477676da968a032d01/codex-3000/addendum-1.58/PROGRAMMES_A.json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https://github.com/darknigthmare/deadwall-last-enclosure/blob/f0ef5a2036d4876ae8f4d4477676da968a032d01/codex-3000/addendum-1.58/PROGRAMMES_A.json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https://github.com/darknigthmare/deadwall-last-enclosure/blob/f0ef5a2036d4876ae8f4d4477676da968a032d01/codex-3000/addendum-1.58/PROGRAMMES_A.json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https://github.com/darknigthmare/deadwall-last-enclosure/blob/f0ef5a2036d4876ae8f4d4477676da968a032d01/codex-3000/addendum-1.58/PROGRAMMES_A.json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https://github.com/darknigthmare/deadwall-last-enclosure/blob/f0ef5a2036d4876ae8f4d4477676da968a032d01/codex-3000/addendum-1.58/PROGRAMMES_A.json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https://github.com/darknigthmare/deadwall-last-enclosure/blob/f0ef5a2036d4876ae8f4d4477676da968a032d01/codex-3000/addendum-1.58/PROGRAMMES_A.json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https://github.com/darknigthmare/deadwall-last-enclosure/blob/f0ef5a2036d4876ae8f4d4477676da968a032d01/codex-3000/addendum-1.58/PROGRAMMES_A.json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https://github.com/darknigthmare/deadwall-last-enclosure/blob/f0ef5a2036d4876ae8f4d4477676da968a032d01/codex-3000/addendum-1.58/PROGRAMMES_A.json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https://github.com/darknigthmare/deadwall-last-enclosure/blob/f0ef5a2036d4876ae8f4d4477676da968a032d01/codex-3000/addendum-1.58/PROGRAMMES_A.json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https://github.com/darknigthmare/deadwall-last-enclosure/blob/f0ef5a2036d4876ae8f4d4477676da968a032d01/codex-3000/addendum-1.58/PROGRAMMES_A.json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https://github.com/darknigthmare/deadwall-last-enclosure/blob/f0ef5a2036d4876ae8f4d4477676da968a032d01/codex-3000/addendum-1.58/PROGRAMMES_A.json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https://github.com/darknigthmare/deadwall-last-enclosure/blob/f0ef5a2036d4876ae8f4d4477676da968a032d01/codex-3000/addendum-1.58/PROGRAMMES_A.json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https://github.com/darknigthmare/deadwall-last-enclosure/blob/f0ef5a2036d4876ae8f4d4477676da968a032d01/codex-3000/addendum-1.58/PROGRAMMES_A.json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https://github.com/darknigthmare/deadwall-last-enclosure/blob/f0ef5a2036d4876ae8f4d4477676da968a032d01/codex-3000/addendum-1.58/PROGRAMMES_A.json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https://github.com/darknigthmare/deadwall-last-enclosure/blob/f0ef5a2036d4876ae8f4d4477676da968a032d01/codex-3000/addendum-1.58/PROGRAMMES_A.json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https://github.com/darknigthmare/deadwall-last-enclosure/blob/f0ef5a2036d4876ae8f4d4477676da968a032d01/codex-3000/addendum-1.58/PROGRAMMES_A.json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https://github.com/darknigthmare/deadwall-last-enclosure/blob/f0ef5a2036d4876ae8f4d4477676da968a032d01/codex-3000/addendum-1.58/PROGRAMMES_A.json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https://github.com/darknigthmare/deadwall-last-enclosure/blob/f0ef5a2036d4876ae8f4d4477676da968a032d01/codex-3000/addendum-1.58/PROGRAMMES_A.json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https://github.com/darknigthmare/deadwall-last-enclosure/blob/f0ef5a2036d4876ae8f4d4477676da968a032d01/codex-3000/addendum-1.58/PROGRAMMES_A.json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https://github.com/darknigthmare/deadwall-last-enclosure/blob/f0ef5a2036d4876ae8f4d4477676da968a032d01/codex-3000/addendum-1.58/PROGRAMMES_A.json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https://github.com/darknigthmare/deadwall-last-enclosure/blob/f0ef5a2036d4876ae8f4d4477676da968a032d01/codex-3000/addendum-1.58/PROGRAMMES_A.json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https://github.com/darknigthmare/deadwall-last-enclosure/blob/f0ef5a2036d4876ae8f4d4477676da968a032d01/codex-3000/addendum-1.58/PROGRAMMES_A.json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https://github.com/darknigthmare/deadwall-last-enclosure/blob/f0ef5a2036d4876ae8f4d4477676da968a032d01/codex-3000/addendum-1.58/PROGRAMMES_A.json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https://github.com/darknigthmare/deadwall-last-enclosure/blob/f0ef5a2036d4876ae8f4d4477676da968a032d01/codex-3000/addendum-1.58/PROGRAMMES_A.json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https://github.com/darknigthmare/deadwall-last-enclosure/blob/f0ef5a2036d4876ae8f4d4477676da968a032d01/codex-3000/addendum-1.58/PROGRAMMES_A.json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https://github.com/darknigthmare/deadwall-last-enclosure/blob/f0ef5a2036d4876ae8f4d4477676da968a032d01/codex-3000/addendum-1.58/PROGRAMMES_A.json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https://github.com/darknigthmare/deadwall-last-enclosure/blob/f0ef5a2036d4876ae8f4d4477676da968a032d01/codex-3000/addendum-1.58/PROGRAMMES_A.json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https://github.com/darknigthmare/deadwall-last-enclosure/blob/f0ef5a2036d4876ae8f4d4477676da968a032d01/codex-3000/addendum-1.58/PROGRAMMES_A.json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https://github.com/darknigthmare/deadwall-last-enclosure/blob/f0ef5a2036d4876ae8f4d4477676da968a032d01/codex-3000/addendum-1.58/PROGRAMMES_A.json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https://github.com/darknigthmare/deadwall-last-enclosure/blob/f0ef5a2036d4876ae8f4d4477676da968a032d01/codex-3000/addendum-1.58/PROGRAMMES_A.json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https://github.com/darknigthmare/deadwall-last-enclosure/blob/f0ef5a2036d4876ae8f4d4477676da968a032d01/codex-3000/addendum-1.58/PROGRAMMES_A.json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https://github.com/darknigthmare/deadwall-last-enclosure/blob/f0ef5a2036d4876ae8f4d4477676da968a032d01/codex-3000/addendum-1.58/PROGRAMMES_A.json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https://github.com/darknigthmare/deadwall-last-enclosure/blob/f0ef5a2036d4876ae8f4d4477676da968a032d01/codex-3000/addendum-1.58/PROGRAMMES_A.json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https://github.com/darknigthmare/deadwall-last-enclosure/blob/f0ef5a2036d4876ae8f4d4477676da968a032d01/codex-3000/addendum-1.58/PROGRAMMES_A.json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https://github.com/darknigthmare/deadwall-last-enclosure/blob/f0ef5a2036d4876ae8f4d4477676da968a032d01/codex-3000/addendum-1.58/PROGRAMMES_A.json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https://github.com/darknigthmare/deadwall-last-enclosure/blob/f0ef5a2036d4876ae8f4d4477676da968a032d01/codex-3000/addendum-1.58/PROGRAMMES_A.json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https://github.com/darknigthmare/deadwall-last-enclosure/blob/f0ef5a2036d4876ae8f4d4477676da968a032d01/codex-3000/addendum-1.58/PROGRAMMES_A.json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https://github.com/darknigthmare/deadwall-last-enclosure/blob/f0ef5a2036d4876ae8f4d4477676da968a032d01/codex-3000/addendum-1.58/PROGRAMMES_A.json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https://github.com/darknigthmare/deadwall-last-enclosure/blob/f0ef5a2036d4876ae8f4d4477676da968a032d01/codex-3000/addendum-1.58/PROGRAMMES_A.json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https://github.com/darknigthmare/deadwall-last-enclosure/blob/f0ef5a2036d4876ae8f4d4477676da968a032d01/codex-3000/addendum-1.58/PROGRAMMES_A.json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https://github.com/darknigthmare/deadwall-last-enclosure/blob/f0ef5a2036d4876ae8f4d4477676da968a032d01/codex-3000/addendum-1.58/PROGRAMMES_A.json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https://github.com/darknigthmare/deadwall-last-enclosure/blob/f0ef5a2036d4876ae8f4d4477676da968a032d01/codex-3000/addendum-1.58/PROGRAMMES_A.json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https://github.com/darknigthmare/deadwall-last-enclosure/blob/f0ef5a2036d4876ae8f4d4477676da968a032d01/codex-3000/addendum-1.58/PROGRAMMES_A.json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https://github.com/darknigthmare/deadwall-last-enclosure/blob/f0ef5a2036d4876ae8f4d4477676da968a032d01/codex-3000/addendum-1.58/PROGRAMMES_A.json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https://github.com/darknigthmare/deadwall-last-enclosure/blob/f0ef5a2036d4876ae8f4d4477676da968a032d01/codex-3000/addendum-1.58/PROGRAMMES_A.json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https://github.com/darknigthmare/deadwall-last-enclosure/blob/f0ef5a2036d4876ae8f4d4477676da968a032d01/codex-3000/addendum-1.58/PROGRAMMES_A.json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https://github.com/darknigthmare/deadwall-last-enclosure/blob/f0ef5a2036d4876ae8f4d4477676da968a032d01/codex-3000/addendum-1.58/PROGRAMMES_A.json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https://github.com/darknigthmare/deadwall-last-enclosure/blob/f0ef5a2036d4876ae8f4d4477676da968a032d01/codex-3000/addendum-1.58/PROGRAMMES_A.json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https://github.com/darknigthmare/deadwall-last-enclosure/blob/f0ef5a2036d4876ae8f4d4477676da968a032d01/codex-3000/addendum-1.58/PROGRAMMES_A.json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https://github.com/darknigthmare/deadwall-last-enclosure/blob/f0ef5a2036d4876ae8f4d4477676da968a032d01/codex-3000/addendum-1.58/PROGRAMMES_A.json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https://github.com/darknigthmare/deadwall-last-enclosure/blob/f0ef5a2036d4876ae8f4d4477676da968a032d01/codex-3000/addendum-1.58/PROGRAMMES_A.json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https://github.com/darknigthmare/deadwall-last-enclosure/blob/f0ef5a2036d4876ae8f4d4477676da968a032d01/codex-3000/addendum-1.58/PROGRAMMES_A.json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https://github.com/darknigthmare/deadwall-last-enclosure/blob/f0ef5a2036d4876ae8f4d4477676da968a032d01/codex-3000/addendum-1.58/PROGRAMMES_A.json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https://github.com/darknigthmare/deadwall-last-enclosure/blob/f0ef5a2036d4876ae8f4d4477676da968a032d01/codex-3000/addendum-1.58/PROGRAMMES_A.json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https://github.com/darknigthmare/deadwall-last-enclosure/blob/f0ef5a2036d4876ae8f4d4477676da968a032d01/codex-3000/addendum-1.58/PROGRAMMES_A.json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https://github.com/darknigthmare/deadwall-last-enclosure/blob/f0ef5a2036d4876ae8f4d4477676da968a032d01/codex-3000/addendum-1.58/PROGRAMMES_A.json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https://github.com/darknigthmare/deadwall-last-enclosure/blob/f0ef5a2036d4876ae8f4d4477676da968a032d01/codex-3000/addendum-1.58/PROGRAMMES_A.json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https://github.com/darknigthmare/deadwall-last-enclosure/blob/f0ef5a2036d4876ae8f4d4477676da968a032d01/codex-3000/addendum-1.58/PROGRAMMES_A.json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https://github.com/darknigthmare/deadwall-last-enclosure/blob/f0ef5a2036d4876ae8f4d4477676da968a032d01/codex-3000/addendum-1.58/PROGRAMMES_A.json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https://github.com/darknigthmare/deadwall-last-enclosure/blob/f0ef5a2036d4876ae8f4d4477676da968a032d01/codex-3000/addendum-1.58/PROGRAMMES_A.json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https://github.com/darknigthmare/deadwall-last-enclosure/blob/f0ef5a2036d4876ae8f4d4477676da968a032d01/codex-3000/addendum-1.58/PROGRAMMES_A.json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https://github.com/darknigthmare/deadwall-last-enclosure/blob/f0ef5a2036d4876ae8f4d4477676da968a032d01/codex-3000/addendum-1.58/PROGRAMMES_A.json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https://github.com/darknigthmare/deadwall-last-enclosure/blob/f0ef5a2036d4876ae8f4d4477676da968a032d01/codex-3000/addendum-1.58/PROGRAMMES_A.json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https://github.com/darknigthmare/deadwall-last-enclosure/blob/f0ef5a2036d4876ae8f4d4477676da968a032d01/codex-3000/addendum-1.58/PROGRAMMES_A.json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https://github.com/darknigthmare/deadwall-last-enclosure/blob/f0ef5a2036d4876ae8f4d4477676da968a032d01/codex-3000/addendum-1.58/PROGRAMMES_A.json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https://github.com/darknigthmare/deadwall-last-enclosure/blob/f0ef5a2036d4876ae8f4d4477676da968a032d01/codex-3000/addendum-1.58/PROGRAMMES_A.json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https://github.com/darknigthmare/deadwall-last-enclosure/blob/f0ef5a2036d4876ae8f4d4477676da968a032d01/codex-3000/addendum-1.58/PROGRAMMES_A.json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https://github.com/darknigthmare/deadwall-last-enclosure/blob/f0ef5a2036d4876ae8f4d4477676da968a032d01/codex-3000/addendum-1.58/PROGRAMMES_A.json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https://github.com/darknigthmare/deadwall-last-enclosure/blob/f0ef5a2036d4876ae8f4d4477676da968a032d01/codex-3000/addendum-1.58/PROGRAMMES_A.json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https://github.com/darknigthmare/deadwall-last-enclosure/blob/f0ef5a2036d4876ae8f4d4477676da968a032d01/codex-3000/addendum-1.58/PROGRAMMES_A.json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https://github.com/darknigthmare/deadwall-last-enclosure/blob/f0ef5a2036d4876ae8f4d4477676da968a032d01/codex-3000/addendum-1.58/PROGRAMMES_A.json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https://github.com/darknigthmare/deadwall-last-enclosure/blob/f0ef5a2036d4876ae8f4d4477676da968a032d01/codex-3000/addendum-1.58/PROGRAMMES_A.json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https://github.com/darknigthmare/deadwall-last-enclosure/blob/f0ef5a2036d4876ae8f4d4477676da968a032d01/codex-3000/addendum-1.58/PROGRAMMES_A.json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https://github.com/darknigthmare/deadwall-last-enclosure/blob/f0ef5a2036d4876ae8f4d4477676da968a032d01/codex-3000/addendum-1.58/PROGRAMMES_A.json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https://github.com/darknigthmare/deadwall-last-enclosure/blob/f0ef5a2036d4876ae8f4d4477676da968a032d01/codex-3000/addendum-1.58/PROGRAMMES_A.json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https://github.com/darknigthmare/deadwall-last-enclosure/blob/f0ef5a2036d4876ae8f4d4477676da968a032d01/codex-3000/addendum-1.58/PROGRAMMES_A.json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https://github.com/darknigthmare/deadwall-last-enclosure/blob/f0ef5a2036d4876ae8f4d4477676da968a032d01/codex-3000/addendum-1.58/PROGRAMMES_A.json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https://github.com/darknigthmare/deadwall-last-enclosure/blob/f0ef5a2036d4876ae8f4d4477676da968a032d01/codex-3000/addendum-1.58/PROGRAMMES_A.json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https://github.com/darknigthmare/deadwall-last-enclosure/blob/f0ef5a2036d4876ae8f4d4477676da968a032d01/codex-3000/addendum-1.58/PROGRAMMES_A.json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https://github.com/darknigthmare/deadwall-last-enclosure/blob/f0ef5a2036d4876ae8f4d4477676da968a032d01/codex-3000/addendum-1.58/PROGRAMMES_B.json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https://github.com/darknigthmare/deadwall-last-enclosure/blob/f0ef5a2036d4876ae8f4d4477676da968a032d01/codex-3000/addendum-1.58/PROGRAMMES_B.json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https://github.com/darknigthmare/deadwall-last-enclosure/blob/f0ef5a2036d4876ae8f4d4477676da968a032d01/codex-3000/addendum-1.58/PROGRAMMES_B.json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https://github.com/darknigthmare/deadwall-last-enclosure/blob/f0ef5a2036d4876ae8f4d4477676da968a032d01/codex-3000/addendum-1.58/PROGRAMMES_B.json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https://github.com/darknigthmare/deadwall-last-enclosure/blob/f0ef5a2036d4876ae8f4d4477676da968a032d01/codex-3000/addendum-1.58/PROGRAMMES_B.json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https://github.com/darknigthmare/deadwall-last-enclosure/blob/f0ef5a2036d4876ae8f4d4477676da968a032d01/codex-3000/addendum-1.58/PROGRAMMES_B.json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https://github.com/darknigthmare/deadwall-last-enclosure/blob/f0ef5a2036d4876ae8f4d4477676da968a032d01/codex-3000/addendum-1.58/PROGRAMMES_B.json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https://github.com/darknigthmare/deadwall-last-enclosure/blob/f0ef5a2036d4876ae8f4d4477676da968a032d01/codex-3000/addendum-1.58/PROGRAMMES_B.json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https://github.com/darknigthmare/deadwall-last-enclosure/blob/f0ef5a2036d4876ae8f4d4477676da968a032d01/codex-3000/addendum-1.58/PROGRAMMES_B.json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https://github.com/darknigthmare/deadwall-last-enclosure/blob/f0ef5a2036d4876ae8f4d4477676da968a032d01/codex-3000/addendum-1.58/PROGRAMMES_B.json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https://github.com/darknigthmare/deadwall-last-enclosure/blob/f0ef5a2036d4876ae8f4d4477676da968a032d01/codex-3000/addendum-1.58/PROGRAMMES_B.json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https://github.com/darknigthmare/deadwall-last-enclosure/blob/f0ef5a2036d4876ae8f4d4477676da968a032d01/codex-3000/addendum-1.58/PROGRAMMES_B.json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https://github.com/darknigthmare/deadwall-last-enclosure/blob/f0ef5a2036d4876ae8f4d4477676da968a032d01/codex-3000/addendum-1.58/PROGRAMMES_B.json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https://github.com/darknigthmare/deadwall-last-enclosure/blob/f0ef5a2036d4876ae8f4d4477676da968a032d01/codex-3000/addendum-1.58/PROGRAMMES_B.json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https://github.com/darknigthmare/deadwall-last-enclosure/blob/f0ef5a2036d4876ae8f4d4477676da968a032d01/codex-3000/addendum-1.58/PROGRAMMES_B.json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https://github.com/darknigthmare/deadwall-last-enclosure/blob/f0ef5a2036d4876ae8f4d4477676da968a032d01/codex-3000/addendum-1.58/PROGRAMMES_B.json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https://github.com/darknigthmare/deadwall-last-enclosure/blob/f0ef5a2036d4876ae8f4d4477676da968a032d01/codex-3000/addendum-1.58/PROGRAMMES_B.json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https://github.com/darknigthmare/deadwall-last-enclosure/blob/f0ef5a2036d4876ae8f4d4477676da968a032d01/codex-3000/addendum-1.58/PROGRAMMES_B.json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https://github.com/darknigthmare/deadwall-last-enclosure/blob/f0ef5a2036d4876ae8f4d4477676da968a032d01/codex-3000/addendum-1.58/PROGRAMMES_B.json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https://github.com/darknigthmare/deadwall-last-enclosure/blob/f0ef5a2036d4876ae8f4d4477676da968a032d01/codex-3000/addendum-1.58/PROGRAMMES_B.json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https://github.com/darknigthmare/deadwall-last-enclosure/blob/f0ef5a2036d4876ae8f4d4477676da968a032d01/codex-3000/addendum-1.58/PROGRAMMES_B.json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https://github.com/darknigthmare/deadwall-last-enclosure/blob/f0ef5a2036d4876ae8f4d4477676da968a032d01/codex-3000/addendum-1.58/PROGRAMMES_B.json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https://github.com/darknigthmare/deadwall-last-enclosure/blob/f0ef5a2036d4876ae8f4d4477676da968a032d01/codex-3000/addendum-1.58/PROGRAMMES_B.json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https://github.com/darknigthmare/deadwall-last-enclosure/blob/f0ef5a2036d4876ae8f4d4477676da968a032d01/codex-3000/addendum-1.58/PROGRAMMES_B.json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https://github.com/darknigthmare/deadwall-last-enclosure/blob/f0ef5a2036d4876ae8f4d4477676da968a032d01/codex-3000/addendum-1.58/PROGRAMMES_B.json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https://github.com/darknigthmare/deadwall-last-enclosure/blob/f0ef5a2036d4876ae8f4d4477676da968a032d01/codex-3000/addendum-1.58/PROGRAMMES_B.json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https://github.com/darknigthmare/deadwall-last-enclosure/blob/f0ef5a2036d4876ae8f4d4477676da968a032d01/codex-3000/addendum-1.58/PROGRAMMES_B.json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https://github.com/darknigthmare/deadwall-last-enclosure/blob/f0ef5a2036d4876ae8f4d4477676da968a032d01/codex-3000/addendum-1.58/PROGRAMMES_B.json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https://github.com/darknigthmare/deadwall-last-enclosure/blob/f0ef5a2036d4876ae8f4d4477676da968a032d01/codex-3000/addendum-1.58/PROGRAMMES_B.json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https://github.com/darknigthmare/deadwall-last-enclosure/blob/f0ef5a2036d4876ae8f4d4477676da968a032d01/codex-3000/addendum-1.58/PROGRAMMES_B.json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https://github.com/darknigthmare/deadwall-last-enclosure/blob/f0ef5a2036d4876ae8f4d4477676da968a032d01/codex-3000/addendum-1.58/PROGRAMMES_B.json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https://github.com/darknigthmare/deadwall-last-enclosure/blob/f0ef5a2036d4876ae8f4d4477676da968a032d01/codex-3000/addendum-1.58/PROGRAMMES_B.json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https://github.com/darknigthmare/deadwall-last-enclosure/blob/f0ef5a2036d4876ae8f4d4477676da968a032d01/codex-3000/addendum-1.58/PROGRAMMES_B.json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https://github.com/darknigthmare/deadwall-last-enclosure/blob/f0ef5a2036d4876ae8f4d4477676da968a032d01/codex-3000/addendum-1.58/PROGRAMMES_B.json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https://github.com/darknigthmare/deadwall-last-enclosure/blob/f0ef5a2036d4876ae8f4d4477676da968a032d01/codex-3000/addendum-1.58/PROGRAMMES_B.json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https://github.com/darknigthmare/deadwall-last-enclosure/blob/f0ef5a2036d4876ae8f4d4477676da968a032d01/codex-3000/addendum-1.58/PROGRAMMES_B.json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https://github.com/darknigthmare/deadwall-last-enclosure/blob/f0ef5a2036d4876ae8f4d4477676da968a032d01/codex-3000/addendum-1.58/PROGRAMMES_B.json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https://github.com/darknigthmare/deadwall-last-enclosure/blob/f0ef5a2036d4876ae8f4d4477676da968a032d01/codex-3000/addendum-1.58/PROGRAMMES_B.json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https://github.com/darknigthmare/deadwall-last-enclosure/blob/f0ef5a2036d4876ae8f4d4477676da968a032d01/codex-3000/addendum-1.58/PROGRAMMES_B.json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https://github.com/darknigthmare/deadwall-last-enclosure/blob/f0ef5a2036d4876ae8f4d4477676da968a032d01/codex-3000/addendum-1.58/PROGRAMMES_B.json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https://github.com/darknigthmare/deadwall-last-enclosure/blob/f0ef5a2036d4876ae8f4d4477676da968a032d01/codex-3000/addendum-1.58/PROGRAMMES_B.json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https://github.com/darknigthmare/deadwall-last-enclosure/blob/f0ef5a2036d4876ae8f4d4477676da968a032d01/codex-3000/addendum-1.58/PROGRAMMES_B.json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https://github.com/darknigthmare/deadwall-last-enclosure/blob/f0ef5a2036d4876ae8f4d4477676da968a032d01/codex-3000/addendum-1.58/PROGRAMMES_B.json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https://github.com/darknigthmare/deadwall-last-enclosure/blob/f0ef5a2036d4876ae8f4d4477676da968a032d01/codex-3000/addendum-1.58/PROGRAMMES_B.json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https://github.com/darknigthmare/deadwall-last-enclosure/blob/f0ef5a2036d4876ae8f4d4477676da968a032d01/codex-3000/addendum-1.58/PROGRAMMES_B.json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https://github.com/darknigthmare/deadwall-last-enclosure/blob/f0ef5a2036d4876ae8f4d4477676da968a032d01/codex-3000/addendum-1.58/PROGRAMMES_B.json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https://github.com/darknigthmare/deadwall-last-enclosure/blob/f0ef5a2036d4876ae8f4d4477676da968a032d01/codex-3000/addendum-1.58/PROGRAMMES_B.json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https://github.com/darknigthmare/deadwall-last-enclosure/blob/f0ef5a2036d4876ae8f4d4477676da968a032d01/codex-3000/addendum-1.58/PROGRAMMES_B.json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https://github.com/darknigthmare/deadwall-last-enclosure/blob/f0ef5a2036d4876ae8f4d4477676da968a032d01/codex-3000/addendum-1.58/PROGRAMMES_B.json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https://github.com/darknigthmare/deadwall-last-enclosure/blob/f0ef5a2036d4876ae8f4d4477676da968a032d01/codex-3000/addendum-1.58/PROGRAMMES_B.json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https://github.com/darknigthmare/deadwall-last-enclosure/blob/f0ef5a2036d4876ae8f4d4477676da968a032d01/codex-3000/addendum-1.58/PROGRAMMES_B.json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https://github.com/darknigthmare/deadwall-last-enclosure/blob/f0ef5a2036d4876ae8f4d4477676da968a032d01/codex-3000/addendum-1.58/PROGRAMMES_B.json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https://github.com/darknigthmare/deadwall-last-enclosure/blob/f0ef5a2036d4876ae8f4d4477676da968a032d01/codex-3000/addendum-1.58/PROGRAMMES_B.json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https://github.com/darknigthmare/deadwall-last-enclosure/blob/f0ef5a2036d4876ae8f4d4477676da968a032d01/codex-3000/addendum-1.58/PROGRAMMES_B.json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https://github.com/darknigthmare/deadwall-last-enclosure/blob/f0ef5a2036d4876ae8f4d4477676da968a032d01/codex-3000/addendum-1.58/PROGRAMMES_B.json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https://github.com/darknigthmare/deadwall-last-enclosure/blob/f0ef5a2036d4876ae8f4d4477676da968a032d01/codex-3000/addendum-1.58/PROGRAMMES_B.json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https://github.com/darknigthmare/deadwall-last-enclosure/blob/f0ef5a2036d4876ae8f4d4477676da968a032d01/codex-3000/addendum-1.58/PROGRAMMES_B.json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https://github.com/darknigthmare/deadwall-last-enclosure/blob/f0ef5a2036d4876ae8f4d4477676da968a032d01/codex-3000/addendum-1.58/PROGRAMMES_B.json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https://github.com/darknigthmare/deadwall-last-enclosure/blob/f0ef5a2036d4876ae8f4d4477676da968a032d01/codex-3000/addendum-1.58/PROGRAMMES_B.json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https://github.com/darknigthmare/deadwall-last-enclosure/blob/f0ef5a2036d4876ae8f4d4477676da968a032d01/codex-3000/addendum-1.58/PROGRAMMES_B.json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https://github.com/darknigthmare/deadwall-last-enclosure/blob/f0ef5a2036d4876ae8f4d4477676da968a032d01/codex-3000/addendum-1.58/PROGRAMMES_B.json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https://github.com/darknigthmare/deadwall-last-enclosure/blob/f0ef5a2036d4876ae8f4d4477676da968a032d01/codex-3000/addendum-1.58/PROGRAMMES_B.json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https://github.com/darknigthmare/deadwall-last-enclosure/blob/f0ef5a2036d4876ae8f4d4477676da968a032d01/codex-3000/addendum-1.58/PROGRAMMES_B.json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https://github.com/darknigthmare/deadwall-last-enclosure/blob/f0ef5a2036d4876ae8f4d4477676da968a032d01/codex-3000/addendum-1.58/PROGRAMMES_B.json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https://github.com/darknigthmare/deadwall-last-enclosure/blob/f0ef5a2036d4876ae8f4d4477676da968a032d01/codex-3000/addendum-1.58/PROGRAMMES_B.json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https://github.com/darknigthmare/deadwall-last-enclosure/blob/f0ef5a2036d4876ae8f4d4477676da968a032d01/codex-3000/addendum-1.58/PROGRAMMES_B.json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https://github.com/darknigthmare/deadwall-last-enclosure/blob/f0ef5a2036d4876ae8f4d4477676da968a032d01/codex-3000/addendum-1.58/PROGRAMMES_B.json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https://github.com/darknigthmare/deadwall-last-enclosure/blob/f0ef5a2036d4876ae8f4d4477676da968a032d01/codex-3000/addendum-1.58/PROGRAMMES_B.json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https://github.com/darknigthmare/deadwall-last-enclosure/blob/f0ef5a2036d4876ae8f4d4477676da968a032d01/codex-3000/addendum-1.58/PROGRAMMES_B.json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https://github.com/darknigthmare/deadwall-last-enclosure/blob/f0ef5a2036d4876ae8f4d4477676da968a032d01/codex-3000/addendum-1.58/PROGRAMMES_B.json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https://github.com/darknigthmare/deadwall-last-enclosure/blob/f0ef5a2036d4876ae8f4d4477676da968a032d01/codex-3000/addendum-1.58/PROGRAMMES_B.json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https://github.com/darknigthmare/deadwall-last-enclosure/blob/f0ef5a2036d4876ae8f4d4477676da968a032d01/codex-3000/addendum-1.58/PROGRAMMES_B.json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https://github.com/darknigthmare/deadwall-last-enclosure/blob/f0ef5a2036d4876ae8f4d4477676da968a032d01/codex-3000/addendum-1.58/PROGRAMMES_B.json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https://github.com/darknigthmare/deadwall-last-enclosure/blob/f0ef5a2036d4876ae8f4d4477676da968a032d01/codex-3000/addendum-1.58/PROGRAMMES_B.json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https://github.com/darknigthmare/deadwall-last-enclosure/blob/f0ef5a2036d4876ae8f4d4477676da968a032d01/codex-3000/addendum-1.58/PROGRAMMES_B.json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https://github.com/darknigthmare/deadwall-last-enclosure/blob/f0ef5a2036d4876ae8f4d4477676da968a032d01/codex-3000/addendum-1.58/PROGRAMMES_B.json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https://github.com/darknigthmare/deadwall-last-enclosure/blob/f0ef5a2036d4876ae8f4d4477676da968a032d01/codex-3000/addendum-1.58/PROGRAMMES_B.json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https://github.com/darknigthmare/deadwall-last-enclosure/blob/f0ef5a2036d4876ae8f4d4477676da968a032d01/codex-3000/addendum-1.58/PROGRAMMES_B.json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https://github.com/darknigthmare/deadwall-last-enclosure/blob/f0ef5a2036d4876ae8f4d4477676da968a032d01/codex-3000/addendum-1.58/PROGRAMMES_B.json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https://github.com/darknigthmare/deadwall-last-enclosure/blob/f0ef5a2036d4876ae8f4d4477676da968a032d01/codex-3000/addendum-1.58/PROGRAMMES_B.json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https://github.com/darknigthmare/deadwall-last-enclosure/blob/f0ef5a2036d4876ae8f4d4477676da968a032d01/codex-3000/addendum-1.58/PROGRAMMES_B.json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https://github.com/darknigthmare/deadwall-last-enclosure/blob/f0ef5a2036d4876ae8f4d4477676da968a032d01/codex-3000/addendum-1.58/PROGRAMMES_B.json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https://github.com/darknigthmare/deadwall-last-enclosure/blob/f0ef5a2036d4876ae8f4d4477676da968a032d01/codex-3000/addendum-1.58/PROGRAMMES_B.json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https://github.com/darknigthmare/deadwall-last-enclosure/blob/f0ef5a2036d4876ae8f4d4477676da968a032d01/codex-3000/addendum-1.58/PROGRAMMES_B.json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https://github.com/darknigthmare/deadwall-last-enclosure/blob/f0ef5a2036d4876ae8f4d4477676da968a032d01/codex-3000/addendum-1.58/PROGRAMMES_B.json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https://github.com/darknigthmare/deadwall-last-enclosure/blob/f0ef5a2036d4876ae8f4d4477676da968a032d01/codex-3000/addendum-1.58/PROGRAMMES_B.json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https://github.com/darknigthmare/deadwall-last-enclosure/blob/f0ef5a2036d4876ae8f4d4477676da968a032d01/codex-3000/addendum-1.58/PROGRAMMES_B.json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https://github.com/darknigthmare/deadwall-last-enclosure/blob/f0ef5a2036d4876ae8f4d4477676da968a032d01/codex-3000/addendum-1.58/PROGRAMMES_B.json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https://github.com/darknigthmare/deadwall-last-enclosure/blob/f0ef5a2036d4876ae8f4d4477676da968a032d01/codex-3000/addendum-1.58/PROGRAMMES_B.json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https://github.com/darknigthmare/deadwall-last-enclosure/blob/f0ef5a2036d4876ae8f4d4477676da968a032d01/codex-3000/addendum-1.58/PROGRAMMES_B.json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https://github.com/darknigthmare/deadwall-last-enclosure/blob/f0ef5a2036d4876ae8f4d4477676da968a032d01/codex-3000/addendum-1.58/PROGRAMMES_B.json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https://github.com/darknigthmare/deadwall-last-enclosure/blob/f0ef5a2036d4876ae8f4d4477676da968a032d01/codex-3000/addendum-1.58/PROGRAMMES_B.json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https://github.com/darknigthmare/deadwall-last-enclosure/blob/f0ef5a2036d4876ae8f4d4477676da968a032d01/codex-3000/addendum-1.58/PROGRAMMES_B.json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https://github.com/darknigthmare/deadwall-last-enclosure/blob/f0ef5a2036d4876ae8f4d4477676da968a032d01/codex-3000/addendum-1.58/PROGRAMMES_B.json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https://github.com/darknigthmare/deadwall-last-enclosure/blob/f0ef5a2036d4876ae8f4d4477676da968a032d01/codex-3000/addendum-1.58/PROGRAMMES_B.json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https://github.com/darknigthmare/deadwall-last-enclosure/blob/f0ef5a2036d4876ae8f4d4477676da968a032d01/codex-3000/addendum-1.58/PROGRAMMES_B.json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https://github.com/darknigthmare/deadwall-last-enclosure/blob/f0ef5a2036d4876ae8f4d4477676da968a032d01/codex-3000/addendum-1.58/PROGRAMMES_B.json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https://github.com/darknigthmare/deadwall-last-enclosure/blob/f0ef5a2036d4876ae8f4d4477676da968a032d01/codex-3000/addendum-1.58/PROGRAMMES_B.json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https://github.com/darknigthmare/deadwall-last-enclosure/blob/f0ef5a2036d4876ae8f4d4477676da968a032d01/codex-3000/addendum-1.58/PROGRAMMES_B.json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https://github.com/darknigthmare/deadwall-last-enclosure/blob/f0ef5a2036d4876ae8f4d4477676da968a032d01/codex-3000/addendum-1.58/PROGRAMMES_B.json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https://github.com/darknigthmare/deadwall-last-enclosure/blob/f0ef5a2036d4876ae8f4d4477676da968a032d01/codex-3000/addendum-1.58/PROGRAMMES_B.json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https://github.com/darknigthmare/deadwall-last-enclosure/blob/f0ef5a2036d4876ae8f4d4477676da968a032d01/codex-3000/addendum-1.58/PROGRAMMES_B.json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https://github.com/darknigthmare/deadwall-last-enclosure/blob/f0ef5a2036d4876ae8f4d4477676da968a032d01/codex-3000/addendum-1.58/PROGRAMMES_B.json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https://github.com/darknigthmare/deadwall-last-enclosure/blob/f0ef5a2036d4876ae8f4d4477676da968a032d01/codex-3000/addendum-1.58/PROGRAMMES_B.json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https://github.com/darknigthmare/deadwall-last-enclosure/blob/f0ef5a2036d4876ae8f4d4477676da968a032d01/codex-3000/addendum-1.58/PROGRAMMES_B.json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https://github.com/darknigthmare/deadwall-last-enclosure/blob/f0ef5a2036d4876ae8f4d4477676da968a032d01/codex-3000/addendum-1.58/PROGRAMMES_B.json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https://github.com/darknigthmare/deadwall-last-enclosure/blob/f0ef5a2036d4876ae8f4d4477676da968a032d01/codex-3000/addendum-1.58/PROGRAMMES_B.json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https://github.com/darknigthmare/deadwall-last-enclosure/blob/f0ef5a2036d4876ae8f4d4477676da968a032d01/codex-3000/addendum-1.58/PROGRAMMES_B.json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https://github.com/darknigthmare/deadwall-last-enclosure/blob/f0ef5a2036d4876ae8f4d4477676da968a032d01/codex-3000/addendum-1.58/PROGRAMMES_B.json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https://github.com/darknigthmare/deadwall-last-enclosure/blob/f0ef5a2036d4876ae8f4d4477676da968a032d01/codex-3000/addendum-1.58/PROGRAMMES_B.json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https://github.com/darknigthmare/deadwall-last-enclosure/blob/f0ef5a2036d4876ae8f4d4477676da968a032d01/codex-3000/addendum-1.58/PROGRAMMES_B.json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https://github.com/darknigthmare/deadwall-last-enclosure/blob/f0ef5a2036d4876ae8f4d4477676da968a032d01/codex-3000/addendum-1.58/PROGRAMMES_B.json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https://github.com/darknigthmare/deadwall-last-enclosure/blob/f0ef5a2036d4876ae8f4d4477676da968a032d01/codex-3000/addendum-1.58/PROGRAMMES_B.json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https://github.com/darknigthmare/deadwall-last-enclosure/blob/f0ef5a2036d4876ae8f4d4477676da968a032d01/codex-3000/addendum-1.58/PROGRAMMES_B.json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https://github.com/darknigthmare/deadwall-last-enclosure/blob/f0ef5a2036d4876ae8f4d4477676da968a032d01/codex-3000/addendum-1.58/PROGRAMMES_B.json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https://github.com/darknigthmare/deadwall-last-enclosure/blob/f0ef5a2036d4876ae8f4d4477676da968a032d01/codex-3000/addendum-1.58/PROGRAMMES_B.json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https://github.com/darknigthmare/deadwall-last-enclosure/blob/f0ef5a2036d4876ae8f4d4477676da968a032d01/codex-3000/addendum-1.58/PROGRAMMES_B.json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https://github.com/darknigthmare/deadwall-last-enclosure/blob/f0ef5a2036d4876ae8f4d4477676da968a032d01/codex-3000/addendum-1.58/PROGRAMMES_B.json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https://github.com/darknigthmare/deadwall-last-enclosure/blob/f0ef5a2036d4876ae8f4d4477676da968a032d01/codex-3000/addendum-1.58/PROGRAMMES_B.json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https://github.com/darknigthmare/deadwall-last-enclosure/blob/f0ef5a2036d4876ae8f4d4477676da968a032d01/codex-3000/addendum-1.58/PROGRAMMES_B.json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https://github.com/darknigthmare/deadwall-last-enclosure/blob/f0ef5a2036d4876ae8f4d4477676da968a032d01/codex-3000/addendum-1.58/PROGRAMMES_B.json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https://github.com/darknigthmare/deadwall-last-enclosure/blob/f0ef5a2036d4876ae8f4d4477676da968a032d01/codex-3000/addendum-1.58/PROGRAMMES_B.json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https://github.com/darknigthmare/deadwall-last-enclosure/blob/f0ef5a2036d4876ae8f4d4477676da968a032d01/codex-3000/addendum-1.58/PROGRAMMES_B.json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https://github.com/darknigthmare/deadwall-last-enclosure/blob/f0ef5a2036d4876ae8f4d4477676da968a032d01/codex-3000/addendum-1.58/PROGRAMMES_B.json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https://github.com/darknigthmare/deadwall-last-enclosure/blob/f0ef5a2036d4876ae8f4d4477676da968a032d01/codex-3000/addendum-1.58/PROGRAMMES_B.json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https://github.com/darknigthmare/deadwall-last-enclosure/blob/f0ef5a2036d4876ae8f4d4477676da968a032d01/codex-3000/addendum-1.58/PROGRAMMES_B.json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https://github.com/darknigthmare/deadwall-last-enclosure/blob/f0ef5a2036d4876ae8f4d4477676da968a032d01/codex-3000/addendum-1.58/PROGRAMMES_B.json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https://github.com/darknigthmare/deadwall-last-enclosure/blob/f0ef5a2036d4876ae8f4d4477676da968a032d01/codex-3000/addendum-1.58/PROGRAMMES_B.json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https://github.com/darknigthmare/deadwall-last-enclosure/blob/f0ef5a2036d4876ae8f4d4477676da968a032d01/codex-3000/addendum-1.58/PROGRAMMES_B.json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https://github.com/darknigthmare/deadwall-last-enclosure/blob/f0ef5a2036d4876ae8f4d4477676da968a032d01/codex-3000/addendum-1.58/PROGRAMMES_B.json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https://github.com/darknigthmare/deadwall-last-enclosure/blob/f0ef5a2036d4876ae8f4d4477676da968a032d01/codex-3000/addendum-1.58/PROGRAMMES_B.json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https://github.com/darknigthmare/deadwall-last-enclosure/blob/f0ef5a2036d4876ae8f4d4477676da968a032d01/codex-3000/addendum-1.58/PROGRAMMES_B.json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https://github.com/darknigthmare/deadwall-last-enclosure/blob/f0ef5a2036d4876ae8f4d4477676da968a032d01/codex-3000/addendum-1.58/PROGRAMMES_B.json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https://github.com/darknigthmare/deadwall-last-enclosure/blob/f0ef5a2036d4876ae8f4d4477676da968a032d01/codex-3000/addendum-1.58/PROGRAMMES_B.json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https://github.com/darknigthmare/deadwall-last-enclosure/blob/f0ef5a2036d4876ae8f4d4477676da968a032d01/codex-3000/addendum-1.58/PROGRAMMES_B.json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https://github.com/darknigthmare/deadwall-last-enclosure/blob/f0ef5a2036d4876ae8f4d4477676da968a032d01/codex-3000/addendum-1.58/PROGRAMMES_B.json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https://github.com/darknigthmare/deadwall-last-enclosure/blob/f0ef5a2036d4876ae8f4d4477676da968a032d01/codex-3000/addendum-1.58/PROGRAMMES_B.json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https://github.com/darknigthmare/deadwall-last-enclosure/blob/f0ef5a2036d4876ae8f4d4477676da968a032d01/codex-3000/addendum-1.58/PROGRAMMES_B.json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https://github.com/darknigthmare/deadwall-last-enclosure/blob/f0ef5a2036d4876ae8f4d4477676da968a032d01/codex-3000/addendum-1.58/PROGRAMMES_B.json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https://github.com/darknigthmare/deadwall-last-enclosure/blob/f0ef5a2036d4876ae8f4d4477676da968a032d01/codex-3000/addendum-1.58/PROGRAMMES_B.json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https://github.com/darknigthmare/deadwall-last-enclosure/blob/f0ef5a2036d4876ae8f4d4477676da968a032d01/codex-3000/addendum-1.58/PROGRAMMES_B.json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https://github.com/darknigthmare/deadwall-last-enclosure/blob/f0ef5a2036d4876ae8f4d4477676da968a032d01/codex-3000/addendum-1.58/PROGRAMMES_B.json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https://github.com/darknigthmare/deadwall-last-enclosure/blob/f0ef5a2036d4876ae8f4d4477676da968a032d01/codex-3000/addendum-1.58/PROGRAMMES_B.json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https://github.com/darknigthmare/deadwall-last-enclosure/blob/f0ef5a2036d4876ae8f4d4477676da968a032d01/codex-3000/addendum-1.58/PROGRAMMES_B.json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https://github.com/darknigthmare/deadwall-last-enclosure/blob/f0ef5a2036d4876ae8f4d4477676da968a032d01/codex-3000/addendum-1.58/PROGRAMMES_B.json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https://github.com/darknigthmare/deadwall-last-enclosure/blob/f0ef5a2036d4876ae8f4d4477676da968a032d01/codex-3000/addendum-1.58/PROGRAMMES_B.json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https://github.com/darknigthmare/deadwall-last-enclosure/blob/f0ef5a2036d4876ae8f4d4477676da968a032d01/codex-3000/addendum-1.58/PROGRAMMES_B.json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https://github.com/darknigthmare/deadwall-last-enclosure/blob/f0ef5a2036d4876ae8f4d4477676da968a032d01/codex-3000/addendum-1.58/PROGRAMMES_B.json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https://github.com/darknigthmare/deadwall-last-enclosure/blob/f0ef5a2036d4876ae8f4d4477676da968a032d01/codex-3000/addendum-1.58/PROGRAMMES_B.json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https://github.com/darknigthmare/deadwall-last-enclosure/blob/f0ef5a2036d4876ae8f4d4477676da968a032d01/codex-3000/addendum-1.58/PROGRAMMES_B.json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https://github.com/darknigthmare/deadwall-last-enclosure/blob/f0ef5a2036d4876ae8f4d4477676da968a032d01/codex-3000/addendum-1.58/PROGRAMMES_B.json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https://github.com/darknigthmare/deadwall-last-enclosure/blob/f0ef5a2036d4876ae8f4d4477676da968a032d01/codex-3000/addendum-1.58/PROGRAMMES_B.json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https://github.com/darknigthmare/deadwall-last-enclosure/blob/f0ef5a2036d4876ae8f4d4477676da968a032d01/codex-3000/addendum-1.58/PROGRAMMES_B.json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https://github.com/darknigthmare/deadwall-last-enclosure/blob/f0ef5a2036d4876ae8f4d4477676da968a032d01/codex-3000/addendum-1.58/PROGRAMMES_B.json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https://github.com/darknigthmare/deadwall-last-enclosure/blob/f0ef5a2036d4876ae8f4d4477676da968a032d01/codex-3000/addendum-1.58/PROGRAMMES_B.json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https://github.com/darknigthmare/deadwall-last-enclosure/blob/f0ef5a2036d4876ae8f4d4477676da968a032d01/codex-3000/addendum-1.58/PROGRAMMES_B.json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https://github.com/darknigthmare/deadwall-last-enclosure/blob/f0ef5a2036d4876ae8f4d4477676da968a032d01/codex-3000/addendum-1.58/PROGRAMMES_B.json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https://github.com/darknigthmare/deadwall-last-enclosure/blob/f0ef5a2036d4876ae8f4d4477676da968a032d01/codex-3000/addendum-1.58/PROGRAMMES_B.json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https://github.com/darknigthmare/deadwall-last-enclosure/blob/f0ef5a2036d4876ae8f4d4477676da968a032d01/codex-3000/addendum-1.58/PROGRAMMES_B.json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https://github.com/darknigthmare/deadwall-last-enclosure/blob/f0ef5a2036d4876ae8f4d4477676da968a032d01/codex-3000/addendum-1.58/PROGRAMMES_B.json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https://github.com/darknigthmare/deadwall-last-enclosure/blob/f0ef5a2036d4876ae8f4d4477676da968a032d01/codex-3000/addendum-1.58/PROGRAMMES_B.json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https://github.com/darknigthmare/deadwall-last-enclosure/blob/f0ef5a2036d4876ae8f4d4477676da968a032d01/codex-3000/addendum-1.58/PROGRAMMES_B.json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https://github.com/darknigthmare/deadwall-last-enclosure/blob/f0ef5a2036d4876ae8f4d4477676da968a032d01/codex-3000/addendum-1.58/PROGRAMMES_B.json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https://github.com/darknigthmare/deadwall-last-enclosure/blob/f0ef5a2036d4876ae8f4d4477676da968a032d01/codex-3000/addendum-1.58/PROGRAMMES_B.json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https://github.com/darknigthmare/deadwall-last-enclosure/blob/f0ef5a2036d4876ae8f4d4477676da968a032d01/codex-3000/addendum-1.58/PROGRAMMES_B.json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https://github.com/darknigthmare/deadwall-last-enclosure/blob/f0ef5a2036d4876ae8f4d4477676da968a032d01/codex-3000/addendum-1.58/PROGRAMMES_B.json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https://github.com/darknigthmare/deadwall-last-enclosure/blob/f0ef5a2036d4876ae8f4d4477676da968a032d01/codex-3000/addendum-1.58/PROGRAMMES_B.json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https://github.com/darknigthmare/deadwall-last-enclosure/blob/f0ef5a2036d4876ae8f4d4477676da968a032d01/codex-3000/addendum-1.58/PROGRAMMES_B.json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https://github.com/darknigthmare/deadwall-last-enclosure/blob/f0ef5a2036d4876ae8f4d4477676da968a032d01/codex-3000/addendum-1.58/PROGRAMMES_B.json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https://github.com/darknigthmare/deadwall-last-enclosure/blob/f0ef5a2036d4876ae8f4d4477676da968a032d01/codex-3000/addendum-1.58/PROGRAMMES_B.json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https://github.com/darknigthmare/deadwall-last-enclosure/blob/f0ef5a2036d4876ae8f4d4477676da968a032d01/codex-3000/addendum-1.58/PROGRAMMES_B.json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https://github.com/darknigthmare/deadwall-last-enclosure/blob/f0ef5a2036d4876ae8f4d4477676da968a032d01/codex-3000/addendum-1.58/PROGRAMMES_B.json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https://github.com/darknigthmare/deadwall-last-enclosure/blob/f0ef5a2036d4876ae8f4d4477676da968a032d01/codex-3000/addendum-1.58/PROGRAMMES_B.json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https://github.com/darknigthmare/deadwall-last-enclosure/blob/f0ef5a2036d4876ae8f4d4477676da968a032d01/codex-3000/addendum-1.58/PROGRAMMES_B.json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https://github.com/darknigthmare/deadwall-last-enclosure/blob/f0ef5a2036d4876ae8f4d4477676da968a032d01/codex-3000/addendum-1.58/PROGRAMMES_B.json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https://github.com/darknigthmare/deadwall-last-enclosure/blob/f0ef5a2036d4876ae8f4d4477676da968a032d01/codex-3000/addendum-1.58/PROGRAMMES_B.json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https://github.com/darknigthmare/deadwall-last-enclosure/blob/f0ef5a2036d4876ae8f4d4477676da968a032d01/codex-3000/addendum-1.58/PROGRAMMES_B.json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https://github.com/darknigthmare/deadwall-last-enclosure/blob/f0ef5a2036d4876ae8f4d4477676da968a032d01/codex-3000/addendum-1.58/PROGRAMMES_B.json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https://github.com/darknigthmare/deadwall-last-enclosure/blob/f0ef5a2036d4876ae8f4d4477676da968a032d01/codex-3000/addendum-1.58/PROGRAMMES_B.json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https://github.com/darknigthmare/deadwall-last-enclosure/blob/f0ef5a2036d4876ae8f4d4477676da968a032d01/codex-3000/addendum-1.58/PROGRAMMES_B.json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https://github.com/darknigthmare/deadwall-last-enclosure/blob/f0ef5a2036d4876ae8f4d4477676da968a032d01/codex-3000/addendum-1.58/PROGRAMMES_B.json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https://github.com/darknigthmare/deadwall-last-enclosure/blob/f0ef5a2036d4876ae8f4d4477676da968a032d01/codex-3000/addendum-1.58/PROGRAMMES_B.json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https://github.com/darknigthmare/deadwall-last-enclosure/blob/f0ef5a2036d4876ae8f4d4477676da968a032d01/codex-3000/addendum-1.58/PROGRAMMES_B.json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https://github.com/darknigthmare/deadwall-last-enclosure/blob/f0ef5a2036d4876ae8f4d4477676da968a032d01/codex-3000/addendum-1.58/PROGRAMMES_B.json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https://github.com/darknigthmare/deadwall-last-enclosure/blob/f0ef5a2036d4876ae8f4d4477676da968a032d01/codex-3000/addendum-1.58/PROGRAMMES_B.json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https://github.com/darknigthmare/deadwall-last-enclosure/blob/f0ef5a2036d4876ae8f4d4477676da968a032d01/codex-3000/addendum-1.58/PROGRAMMES_B.json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https://github.com/darknigthmare/deadwall-last-enclosure/blob/f0ef5a2036d4876ae8f4d4477676da968a032d01/codex-3000/addendum-1.58/PROGRAMMES_B.json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https://github.com/darknigthmare/deadwall-last-enclosure/blob/f0ef5a2036d4876ae8f4d4477676da968a032d01/codex-3000/addendum-1.58/PROGRAMMES_B.json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https://github.com/darknigthmare/deadwall-last-enclosure/blob/f0ef5a2036d4876ae8f4d4477676da968a032d01/codex-3000/addendum-1.58/PROGRAMMES_B.json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https://github.com/darknigthmare/deadwall-last-enclosure/blob/f0ef5a2036d4876ae8f4d4477676da968a032d01/codex-3000/addendum-1.58/PROGRAMMES_B.json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https://github.com/darknigthmare/deadwall-last-enclosure/blob/f0ef5a2036d4876ae8f4d4477676da968a032d01/codex-3000/addendum-1.58/PROGRAMMES_B.json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https://github.com/darknigthmare/deadwall-last-enclosure/blob/f0ef5a2036d4876ae8f4d4477676da968a032d01/codex-3000/addendum-1.58/PROGRAMMES_B.json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https://github.com/darknigthmare/deadwall-last-enclosure/blob/f0ef5a2036d4876ae8f4d4477676da968a032d01/codex-3000/addendum-1.58/PROGRAMMES_B.json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https://github.com/darknigthmare/deadwall-last-enclosure/blob/f0ef5a2036d4876ae8f4d4477676da968a032d01/codex-3000/addendum-1.58/PROGRAMMES_B.json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https://github.com/darknigthmare/deadwall-last-enclosure/blob/f0ef5a2036d4876ae8f4d4477676da968a032d01/codex-3000/addendum-1.58/PROGRAMMES_B.json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https://github.com/darknigthmare/deadwall-last-enclosure/blob/f0ef5a2036d4876ae8f4d4477676da968a032d01/codex-3000/addendum-1.58/PROGRAMMES_B.json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https://github.com/darknigthmare/deadwall-last-enclosure/blob/f0ef5a2036d4876ae8f4d4477676da968a032d01/codex-3000/addendum-1.58/PROGRAMMES_B.json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https://github.com/darknigthmare/deadwall-last-enclosure/blob/f0ef5a2036d4876ae8f4d4477676da968a032d01/codex-3000/addendum-1.58/PROGRAMMES_B.json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https://github.com/darknigthmare/deadwall-last-enclosure/blob/f0ef5a2036d4876ae8f4d4477676da968a032d01/codex-3000/addendum-1.58/PROGRAMMES_B.json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https://github.com/darknigthmare/deadwall-last-enclosure/blob/f0ef5a2036d4876ae8f4d4477676da968a032d01/codex-3000/addendum-1.58/PROGRAMMES_B.json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https://github.com/darknigthmare/deadwall-last-enclosure/blob/f0ef5a2036d4876ae8f4d4477676da968a032d01/codex-3000/addendum-1.58/PROGRAMMES_B.json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https://github.com/darknigthmare/deadwall-last-enclosure/blob/f0ef5a2036d4876ae8f4d4477676da968a032d01/codex-3000/addendum-1.58/PROGRAMMES_B.json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https://github.com/darknigthmare/deadwall-last-enclosure/blob/f0ef5a2036d4876ae8f4d4477676da968a032d01/codex-3000/addendum-1.58/PROGRAMMES_B.json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https://github.com/darknigthmare/deadwall-last-enclosure/blob/f0ef5a2036d4876ae8f4d4477676da968a032d01/codex-3000/addendum-1.58/PROGRAMMES_B.json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https://github.com/darknigthmare/deadwall-last-enclosure/blob/f0ef5a2036d4876ae8f4d4477676da968a032d01/codex-3000/addendum-1.58/PROGRAMMES_B.json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https://github.com/darknigthmare/deadwall-last-enclosure/blob/f0ef5a2036d4876ae8f4d4477676da968a032d01/codex-3000/addendum-1.58/PROGRAMMES_B.json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https://github.com/darknigthmare/deadwall-last-enclosure/blob/f0ef5a2036d4876ae8f4d4477676da968a032d01/codex-3000/addendum-1.58/PROGRAMMES_B.json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https://github.com/darknigthmare/deadwall-last-enclosure/blob/f0ef5a2036d4876ae8f4d4477676da968a032d01/codex-3000/addendum-1.58/PROGRAMMES_B.json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https://github.com/darknigthmare/deadwall-last-enclosure/blob/f0ef5a2036d4876ae8f4d4477676da968a032d01/codex-3000/addendum-1.58/PROGRAMMES_B.json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https://github.com/darknigthmare/deadwall-last-enclosure/blob/f0ef5a2036d4876ae8f4d4477676da968a032d01/codex-3000/addendum-1.58/PROGRAMMES_B.json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https://github.com/darknigthmare/deadwall-last-enclosure/blob/f0ef5a2036d4876ae8f4d4477676da968a032d01/codex-3000/addendum-1.58/PROGRAMMES_B.json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https://github.com/darknigthmare/deadwall-last-enclosure/blob/f0ef5a2036d4876ae8f4d4477676da968a032d01/codex-3000/addendum-1.58/PROGRAMMES_B.json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https://github.com/darknigthmare/deadwall-last-enclosure/blob/f0ef5a2036d4876ae8f4d4477676da968a032d01/codex-3000/addendum-1.58/PROGRAMMES_B.json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https://github.com/darknigthmare/deadwall-last-enclosure/blob/f0ef5a2036d4876ae8f4d4477676da968a032d01/codex-3000/addendum-1.58/PROGRAMMES_B.json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https://github.com/darknigthmare/deadwall-last-enclosure/blob/f0ef5a2036d4876ae8f4d4477676da968a032d01/codex-3000/addendum-1.58/PROGRAMMES_B.json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https://github.com/darknigthmare/deadwall-last-enclosure/blob/f0ef5a2036d4876ae8f4d4477676da968a032d01/codex-3000/addendum-1.58/PROGRAMMES_B.json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https://github.com/darknigthmare/deadwall-last-enclosure/blob/f0ef5a2036d4876ae8f4d4477676da968a032d01/codex-3000/addendum-1.58/PROGRAMMES_B.json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https://github.com/darknigthmare/deadwall-last-enclosure/blob/f0ef5a2036d4876ae8f4d4477676da968a032d01/codex-3000/addendum-1.58/PROGRAMMES_B.json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https://github.com/darknigthmare/deadwall-last-enclosure/blob/f0ef5a2036d4876ae8f4d4477676da968a032d01/codex-3000/addendum-1.58/PROGRAMMES_B.json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https://github.com/darknigthmare/deadwall-last-enclosure/blob/f0ef5a2036d4876ae8f4d4477676da968a032d01/codex-3000/addendum-1.58/PROGRAMMES_B.json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https://github.com/darknigthmare/deadwall-last-enclosure/blob/f0ef5a2036d4876ae8f4d4477676da968a032d01/codex-3000/addendum-1.58/PROGRAMMES_B.json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https://github.com/darknigthmare/deadwall-last-enclosure/blob/f0ef5a2036d4876ae8f4d4477676da968a032d01/codex-3000/addendum-1.58/PROGRAMMES_B.json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https://github.com/darknigthmare/deadwall-last-enclosure/blob/f0ef5a2036d4876ae8f4d4477676da968a032d01/codex-3000/addendum-1.58/PROGRAMMES_B.json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https://github.com/darknigthmare/deadwall-last-enclosure/blob/f0ef5a2036d4876ae8f4d4477676da968a032d01/codex-3000/addendum-1.58/PROGRAMMES_B.json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https://github.com/darknigthmare/deadwall-last-enclosure/blob/f0ef5a2036d4876ae8f4d4477676da968a032d01/codex-3000/addendum-1.58/PROGRAMMES_B.json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https://github.com/darknigthmare/deadwall-last-enclosure/blob/f0ef5a2036d4876ae8f4d4477676da968a032d01/codex-3000/addendum-1.58/PROGRAMMES_B.json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https://github.com/darknigthmare/deadwall-last-enclosure/blob/f0ef5a2036d4876ae8f4d4477676da968a032d01/codex-3000/addendum-1.58/PROGRAMMES_B.json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https://github.com/darknigthmare/deadwall-last-enclosure/blob/f0ef5a2036d4876ae8f4d4477676da968a032d01/codex-3000/addendum-1.58/PROGRAMMES_B.json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https://github.com/darknigthmare/deadwall-last-enclosure/blob/f0ef5a2036d4876ae8f4d4477676da968a032d01/codex-3000/addendum-1.58/PROGRAMMES_B.json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https://github.com/darknigthmare/deadwall-last-enclosure/blob/f0ef5a2036d4876ae8f4d4477676da968a032d01/codex-3000/addendum-1.58/PROGRAMMES_B.json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https://github.com/darknigthmare/deadwall-last-enclosure/blob/f0ef5a2036d4876ae8f4d4477676da968a032d01/codex-3000/addendum-1.58/PROGRAMMES_B.json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https://github.com/darknigthmare/deadwall-last-enclosure/blob/f0ef5a2036d4876ae8f4d4477676da968a032d01/codex-3000/addendum-1.58/PROGRAMMES_B.json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https://github.com/darknigthmare/deadwall-last-enclosure/blob/f0ef5a2036d4876ae8f4d4477676da968a032d01/codex-3000/addendum-1.58/PROGRAMMES_B.json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https://github.com/darknigthmare/deadwall-last-enclosure/blob/f0ef5a2036d4876ae8f4d4477676da968a032d01/codex-3000/addendum-1.58/PROGRAMMES_B.json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https://github.com/darknigthmare/deadwall-last-enclosure/blob/f0ef5a2036d4876ae8f4d4477676da968a032d01/codex-3000/addendum-1.58/PROGRAMMES_B.json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https://github.com/darknigthmare/deadwall-last-enclosure/blob/f0ef5a2036d4876ae8f4d4477676da968a032d01/codex-3000/addendum-1.58/PROGRAMMES_B.json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https://github.com/darknigthmare/deadwall-last-enclosure/blob/f0ef5a2036d4876ae8f4d4477676da968a032d01/codex-3000/addendum-1.58/PROGRAMMES_B.json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https://github.com/darknigthmare/deadwall-last-enclosure/blob/f0ef5a2036d4876ae8f4d4477676da968a032d01/codex-3000/addendum-1.58/PROGRAMMES_B.json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https://github.com/darknigthmare/deadwall-last-enclosure/blob/f0ef5a2036d4876ae8f4d4477676da968a032d01/codex-3000/addendum-1.58/PROGRAMMES_B.json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https://github.com/darknigthmare/deadwall-last-enclosure/blob/f0ef5a2036d4876ae8f4d4477676da968a032d01/codex-3000/addendum-1.58/PROGRAMMES_B.json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https://github.com/darknigthmare/deadwall-last-enclosure/blob/f0ef5a2036d4876ae8f4d4477676da968a032d01/codex-3000/addendum-1.58/PROGRAMMES_B.json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https://github.com/darknigthmare/deadwall-last-enclosure/blob/f0ef5a2036d4876ae8f4d4477676da968a032d01/codex-3000/addendum-1.58/PROGRAMMES_B.json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https://github.com/darknigthmare/deadwall-last-enclosure/blob/f0ef5a2036d4876ae8f4d4477676da968a032d01/codex-3000/addendum-1.58/PROGRAMMES_B.json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https://github.com/darknigthmare/deadwall-last-enclosure/blob/f0ef5a2036d4876ae8f4d4477676da968a032d01/codex-3000/addendum-1.58/PROGRAMMES_B.json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https://github.com/darknigthmare/deadwall-last-enclosure/blob/f0ef5a2036d4876ae8f4d4477676da968a032d01/codex-3000/addendum-1.58/PROGRAMMES_B.json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https://github.com/darknigthmare/deadwall-last-enclosure/blob/f0ef5a2036d4876ae8f4d4477676da968a032d01/codex-3000/addendum-1.58/PROGRAMMES_B.json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https://github.com/darknigthmare/deadwall-last-enclosure/blob/f0ef5a2036d4876ae8f4d4477676da968a032d01/codex-3000/addendum-1.58/PROGRAMMES_B.json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https://github.com/darknigthmare/deadwall-last-enclosure/blob/f0ef5a2036d4876ae8f4d4477676da968a032d01/codex-3000/addendum-1.58/PROGRAMMES_B.json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https://github.com/darknigthmare/deadwall-last-enclosure/blob/f0ef5a2036d4876ae8f4d4477676da968a032d01/codex-3000/addendum-1.58/PROGRAMMES_B.json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https://github.com/darknigthmare/deadwall-last-enclosure/blob/f0ef5a2036d4876ae8f4d4477676da968a032d01/codex-3000/addendum-1.58/PROGRAMMES_B.json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https://github.com/darknigthmare/deadwall-last-enclosure/blob/f0ef5a2036d4876ae8f4d4477676da968a032d01/codex-3000/addendum-1.58/PROGRAMMES_C.json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https://github.com/darknigthmare/deadwall-last-enclosure/blob/f0ef5a2036d4876ae8f4d4477676da968a032d01/codex-3000/addendum-1.58/PROGRAMMES_C.json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https://github.com/darknigthmare/deadwall-last-enclosure/blob/f0ef5a2036d4876ae8f4d4477676da968a032d01/codex-3000/addendum-1.58/PROGRAMMES_C.json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https://github.com/darknigthmare/deadwall-last-enclosure/blob/f0ef5a2036d4876ae8f4d4477676da968a032d01/codex-3000/addendum-1.58/PROGRAMMES_C.json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https://github.com/darknigthmare/deadwall-last-enclosure/blob/f0ef5a2036d4876ae8f4d4477676da968a032d01/codex-3000/addendum-1.58/PROGRAMMES_C.json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https://github.com/darknigthmare/deadwall-last-enclosure/blob/f0ef5a2036d4876ae8f4d4477676da968a032d01/codex-3000/addendum-1.58/PROGRAMMES_C.json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https://github.com/darknigthmare/deadwall-last-enclosure/blob/f0ef5a2036d4876ae8f4d4477676da968a032d01/codex-3000/addendum-1.58/PROGRAMMES_C.json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https://github.com/darknigthmare/deadwall-last-enclosure/blob/f0ef5a2036d4876ae8f4d4477676da968a032d01/codex-3000/addendum-1.58/PROGRAMMES_C.json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https://github.com/darknigthmare/deadwall-last-enclosure/blob/f0ef5a2036d4876ae8f4d4477676da968a032d01/codex-3000/addendum-1.58/PROGRAMMES_C.json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https://github.com/darknigthmare/deadwall-last-enclosure/blob/f0ef5a2036d4876ae8f4d4477676da968a032d01/codex-3000/addendum-1.58/PROGRAMMES_C.json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https://github.com/darknigthmare/deadwall-last-enclosure/blob/f0ef5a2036d4876ae8f4d4477676da968a032d01/codex-3000/addendum-1.58/PROGRAMMES_C.json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https://github.com/darknigthmare/deadwall-last-enclosure/blob/f0ef5a2036d4876ae8f4d4477676da968a032d01/codex-3000/addendum-1.58/PROGRAMMES_C.json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https://github.com/darknigthmare/deadwall-last-enclosure/blob/f0ef5a2036d4876ae8f4d4477676da968a032d01/codex-3000/addendum-1.58/PROGRAMMES_C.json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https://github.com/darknigthmare/deadwall-last-enclosure/blob/f0ef5a2036d4876ae8f4d4477676da968a032d01/codex-3000/addendum-1.58/PROGRAMMES_C.json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https://github.com/darknigthmare/deadwall-last-enclosure/blob/f0ef5a2036d4876ae8f4d4477676da968a032d01/codex-3000/addendum-1.58/PROGRAMMES_C.json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https://github.com/darknigthmare/deadwall-last-enclosure/blob/f0ef5a2036d4876ae8f4d4477676da968a032d01/codex-3000/addendum-1.58/PROGRAMMES_C.json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https://github.com/darknigthmare/deadwall-last-enclosure/blob/f0ef5a2036d4876ae8f4d4477676da968a032d01/codex-3000/addendum-1.58/PROGRAMMES_C.json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https://github.com/darknigthmare/deadwall-last-enclosure/blob/f0ef5a2036d4876ae8f4d4477676da968a032d01/codex-3000/addendum-1.58/PROGRAMMES_C.json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https://github.com/darknigthmare/deadwall-last-enclosure/blob/f0ef5a2036d4876ae8f4d4477676da968a032d01/codex-3000/addendum-1.58/PROGRAMMES_C.json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https://github.com/darknigthmare/deadwall-last-enclosure/blob/f0ef5a2036d4876ae8f4d4477676da968a032d01/codex-3000/addendum-1.58/PROGRAMMES_C.json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https://github.com/darknigthmare/deadwall-last-enclosure/blob/f0ef5a2036d4876ae8f4d4477676da968a032d01/codex-3000/addendum-1.58/PROGRAMMES_C.json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https://github.com/darknigthmare/deadwall-last-enclosure/blob/f0ef5a2036d4876ae8f4d4477676da968a032d01/codex-3000/addendum-1.58/PROGRAMMES_C.json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https://github.com/darknigthmare/deadwall-last-enclosure/blob/f0ef5a2036d4876ae8f4d4477676da968a032d01/codex-3000/addendum-1.58/PROGRAMMES_C.json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https://github.com/darknigthmare/deadwall-last-enclosure/blob/f0ef5a2036d4876ae8f4d4477676da968a032d01/codex-3000/addendum-1.58/PROGRAMMES_C.json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https://github.com/darknigthmare/deadwall-last-enclosure/blob/f0ef5a2036d4876ae8f4d4477676da968a032d01/codex-3000/addendum-1.58/PROGRAMMES_C.json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https://github.com/darknigthmare/deadwall-last-enclosure/blob/f0ef5a2036d4876ae8f4d4477676da968a032d01/codex-3000/addendum-1.58/PROGRAMMES_C.json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https://github.com/darknigthmare/deadwall-last-enclosure/blob/f0ef5a2036d4876ae8f4d4477676da968a032d01/codex-3000/addendum-1.58/PROGRAMMES_C.json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https://github.com/darknigthmare/deadwall-last-enclosure/blob/f0ef5a2036d4876ae8f4d4477676da968a032d01/codex-3000/addendum-1.58/PROGRAMMES_C.json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https://github.com/darknigthmare/deadwall-last-enclosure/blob/f0ef5a2036d4876ae8f4d4477676da968a032d01/codex-3000/addendum-1.58/PROGRAMMES_C.json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https://github.com/darknigthmare/deadwall-last-enclosure/blob/f0ef5a2036d4876ae8f4d4477676da968a032d01/codex-3000/addendum-1.58/PROGRAMMES_C.json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https://github.com/darknigthmare/deadwall-last-enclosure/blob/f0ef5a2036d4876ae8f4d4477676da968a032d01/codex-3000/addendum-1.58/PROGRAMMES_C.json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https://github.com/darknigthmare/deadwall-last-enclosure/blob/f0ef5a2036d4876ae8f4d4477676da968a032d01/codex-3000/addendum-1.58/PROGRAMMES_C.json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https://github.com/darknigthmare/deadwall-last-enclosure/blob/f0ef5a2036d4876ae8f4d4477676da968a032d01/codex-3000/addendum-1.58/PROGRAMMES_C.json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https://github.com/darknigthmare/deadwall-last-enclosure/blob/f0ef5a2036d4876ae8f4d4477676da968a032d01/codex-3000/addendum-1.58/PROGRAMMES_C.json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https://github.com/darknigthmare/deadwall-last-enclosure/blob/f0ef5a2036d4876ae8f4d4477676da968a032d01/codex-3000/addendum-1.58/PROGRAMMES_C.json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https://github.com/darknigthmare/deadwall-last-enclosure/blob/f0ef5a2036d4876ae8f4d4477676da968a032d01/codex-3000/addendum-1.58/PROGRAMMES_C.json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https://github.com/darknigthmare/deadwall-last-enclosure/blob/f0ef5a2036d4876ae8f4d4477676da968a032d01/codex-3000/addendum-1.58/PROGRAMMES_C.json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https://github.com/darknigthmare/deadwall-last-enclosure/blob/f0ef5a2036d4876ae8f4d4477676da968a032d01/codex-3000/addendum-1.58/PROGRAMMES_C.json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https://github.com/darknigthmare/deadwall-last-enclosure/blob/f0ef5a2036d4876ae8f4d4477676da968a032d01/codex-3000/addendum-1.58/PROGRAMMES_C.json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https://github.com/darknigthmare/deadwall-last-enclosure/blob/f0ef5a2036d4876ae8f4d4477676da968a032d01/codex-3000/addendum-1.58/PROGRAMMES_C.json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https://github.com/darknigthmare/deadwall-last-enclosure/blob/f0ef5a2036d4876ae8f4d4477676da968a032d01/codex-3000/addendum-1.58/PROGRAMMES_C.json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https://github.com/darknigthmare/deadwall-last-enclosure/blob/f0ef5a2036d4876ae8f4d4477676da968a032d01/codex-3000/addendum-1.58/PROGRAMMES_C.json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https://github.com/darknigthmare/deadwall-last-enclosure/blob/f0ef5a2036d4876ae8f4d4477676da968a032d01/codex-3000/addendum-1.58/PROGRAMMES_C.json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https://github.com/darknigthmare/deadwall-last-enclosure/blob/f0ef5a2036d4876ae8f4d4477676da968a032d01/codex-3000/addendum-1.58/PROGRAMMES_C.json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https://github.com/darknigthmare/deadwall-last-enclosure/blob/f0ef5a2036d4876ae8f4d4477676da968a032d01/codex-3000/addendum-1.58/PROGRAMMES_C.json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https://github.com/darknigthmare/deadwall-last-enclosure/blob/f0ef5a2036d4876ae8f4d4477676da968a032d01/codex-3000/addendum-1.58/PROGRAMMES_C.json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https://github.com/darknigthmare/deadwall-last-enclosure/blob/f0ef5a2036d4876ae8f4d4477676da968a032d01/codex-3000/addendum-1.58/PROGRAMMES_C.json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https://github.com/darknigthmare/deadwall-last-enclosure/blob/f0ef5a2036d4876ae8f4d4477676da968a032d01/codex-3000/addendum-1.58/PROGRAMMES_C.json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https://github.com/darknigthmare/deadwall-last-enclosure/blob/f0ef5a2036d4876ae8f4d4477676da968a032d01/codex-3000/addendum-1.58/PROGRAMMES_C.json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https://github.com/darknigthmare/deadwall-last-enclosure/blob/f0ef5a2036d4876ae8f4d4477676da968a032d01/codex-3000/addendum-1.58/PROGRAMMES_C.json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https://github.com/darknigthmare/deadwall-last-enclosure/blob/f0ef5a2036d4876ae8f4d4477676da968a032d01/codex-3000/addendum-1.58/PROGRAMMES_C.json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https://github.com/darknigthmare/deadwall-last-enclosure/blob/f0ef5a2036d4876ae8f4d4477676da968a032d01/codex-3000/addendum-1.58/PROGRAMMES_C.json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https://github.com/darknigthmare/deadwall-last-enclosure/blob/f0ef5a2036d4876ae8f4d4477676da968a032d01/codex-3000/addendum-1.58/PROGRAMMES_C.json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https://github.com/darknigthmare/deadwall-last-enclosure/blob/f0ef5a2036d4876ae8f4d4477676da968a032d01/codex-3000/addendum-1.58/PROGRAMMES_C.json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https://github.com/darknigthmare/deadwall-last-enclosure/blob/f0ef5a2036d4876ae8f4d4477676da968a032d01/codex-3000/addendum-1.58/PROGRAMMES_C.json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https://github.com/darknigthmare/deadwall-last-enclosure/blob/f0ef5a2036d4876ae8f4d4477676da968a032d01/codex-3000/addendum-1.58/PROGRAMMES_C.json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https://github.com/darknigthmare/deadwall-last-enclosure/blob/f0ef5a2036d4876ae8f4d4477676da968a032d01/codex-3000/addendum-1.58/PROGRAMMES_C.json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https://github.com/darknigthmare/deadwall-last-enclosure/blob/f0ef5a2036d4876ae8f4d4477676da968a032d01/codex-3000/addendum-1.58/PROGRAMMES_C.json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https://github.com/darknigthmare/deadwall-last-enclosure/blob/f0ef5a2036d4876ae8f4d4477676da968a032d01/codex-3000/addendum-1.58/PROGRAMMES_C.json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https://github.com/darknigthmare/deadwall-last-enclosure/blob/f0ef5a2036d4876ae8f4d4477676da968a032d01/codex-3000/addendum-1.58/PROGRAMMES_C.json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https://github.com/darknigthmare/deadwall-last-enclosure/blob/f0ef5a2036d4876ae8f4d4477676da968a032d01/codex-3000/addendum-1.58/PROGRAMMES_C.json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https://github.com/darknigthmare/deadwall-last-enclosure/blob/f0ef5a2036d4876ae8f4d4477676da968a032d01/codex-3000/addendum-1.58/PROGRAMMES_C.json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https://github.com/darknigthmare/deadwall-last-enclosure/blob/f0ef5a2036d4876ae8f4d4477676da968a032d01/codex-3000/addendum-1.58/PROGRAMMES_C.json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https://github.com/darknigthmare/deadwall-last-enclosure/blob/f0ef5a2036d4876ae8f4d4477676da968a032d01/codex-3000/addendum-1.58/PROGRAMMES_C.json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https://github.com/darknigthmare/deadwall-last-enclosure/blob/f0ef5a2036d4876ae8f4d4477676da968a032d01/codex-3000/addendum-1.58/PROGRAMMES_C.json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https://github.com/darknigthmare/deadwall-last-enclosure/blob/f0ef5a2036d4876ae8f4d4477676da968a032d01/codex-3000/addendum-1.58/PROGRAMMES_C.json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https://github.com/darknigthmare/deadwall-last-enclosure/blob/f0ef5a2036d4876ae8f4d4477676da968a032d01/codex-3000/addendum-1.58/PROGRAMMES_C.json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https://github.com/darknigthmare/deadwall-last-enclosure/blob/f0ef5a2036d4876ae8f4d4477676da968a032d01/codex-3000/addendum-1.58/PROGRAMMES_C.json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https://github.com/darknigthmare/deadwall-last-enclosure/blob/f0ef5a2036d4876ae8f4d4477676da968a032d01/codex-3000/addendum-1.58/PROGRAMMES_C.json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https://github.com/darknigthmare/deadwall-last-enclosure/blob/f0ef5a2036d4876ae8f4d4477676da968a032d01/codex-3000/addendum-1.58/PROGRAMMES_C.json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https://github.com/darknigthmare/deadwall-last-enclosure/blob/f0ef5a2036d4876ae8f4d4477676da968a032d01/codex-3000/addendum-1.58/PROGRAMMES_C.json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https://github.com/darknigthmare/deadwall-last-enclosure/blob/f0ef5a2036d4876ae8f4d4477676da968a032d01/codex-3000/addendum-1.58/PROGRAMMES_C.json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https://github.com/darknigthmare/deadwall-last-enclosure/blob/f0ef5a2036d4876ae8f4d4477676da968a032d01/codex-3000/addendum-1.58/PROGRAMMES_C.json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https://github.com/darknigthmare/deadwall-last-enclosure/blob/f0ef5a2036d4876ae8f4d4477676da968a032d01/codex-3000/addendum-1.58/PROGRAMMES_C.json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https://github.com/darknigthmare/deadwall-last-enclosure/blob/f0ef5a2036d4876ae8f4d4477676da968a032d01/codex-3000/addendum-1.58/PROGRAMMES_C.json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https://github.com/darknigthmare/deadwall-last-enclosure/blob/f0ef5a2036d4876ae8f4d4477676da968a032d01/codex-3000/addendum-1.58/PROGRAMMES_C.json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https://github.com/darknigthmare/deadwall-last-enclosure/blob/f0ef5a2036d4876ae8f4d4477676da968a032d01/codex-3000/addendum-1.58/PROGRAMMES_C.json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https://github.com/darknigthmare/deadwall-last-enclosure/blob/f0ef5a2036d4876ae8f4d4477676da968a032d01/codex-3000/addendum-1.58/PROGRAMMES_C.json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https://github.com/darknigthmare/deadwall-last-enclosure/blob/f0ef5a2036d4876ae8f4d4477676da968a032d01/codex-3000/addendum-1.58/PROGRAMMES_C.json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https://github.com/darknigthmare/deadwall-last-enclosure/blob/f0ef5a2036d4876ae8f4d4477676da968a032d01/codex-3000/addendum-1.58/PROGRAMMES_C.json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https://github.com/darknigthmare/deadwall-last-enclosure/blob/f0ef5a2036d4876ae8f4d4477676da968a032d01/codex-3000/addendum-1.58/PROGRAMMES_C.json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https://github.com/darknigthmare/deadwall-last-enclosure/blob/f0ef5a2036d4876ae8f4d4477676da968a032d01/codex-3000/addendum-1.58/PROGRAMMES_C.json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https://github.com/darknigthmare/deadwall-last-enclosure/blob/f0ef5a2036d4876ae8f4d4477676da968a032d01/codex-3000/addendum-1.58/PROGRAMMES_C.json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https://github.com/darknigthmare/deadwall-last-enclosure/blob/f0ef5a2036d4876ae8f4d4477676da968a032d01/codex-3000/addendum-1.58/PROGRAMMES_C.json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https://github.com/darknigthmare/deadwall-last-enclosure/blob/f0ef5a2036d4876ae8f4d4477676da968a032d01/codex-3000/addendum-1.58/PROGRAMMES_C.json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https://github.com/darknigthmare/deadwall-last-enclosure/blob/f0ef5a2036d4876ae8f4d4477676da968a032d01/codex-3000/addendum-1.58/PROGRAMMES_C.json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https://github.com/darknigthmare/deadwall-last-enclosure/blob/f0ef5a2036d4876ae8f4d4477676da968a032d01/codex-3000/addendum-1.58/PROGRAMMES_C.json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https://github.com/darknigthmare/deadwall-last-enclosure/blob/f0ef5a2036d4876ae8f4d4477676da968a032d01/codex-3000/addendum-1.58/PROGRAMMES_C.json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https://github.com/darknigthmare/deadwall-last-enclosure/blob/f0ef5a2036d4876ae8f4d4477676da968a032d01/codex-3000/addendum-1.58/PROGRAMMES_C.json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https://github.com/darknigthmare/deadwall-last-enclosure/blob/f0ef5a2036d4876ae8f4d4477676da968a032d01/codex-3000/addendum-1.58/PROGRAMMES_C.json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https://github.com/darknigthmare/deadwall-last-enclosure/blob/f0ef5a2036d4876ae8f4d4477676da968a032d01/codex-3000/addendum-1.58/PROGRAMMES_C.json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https://github.com/darknigthmare/deadwall-last-enclosure/blob/f0ef5a2036d4876ae8f4d4477676da968a032d01/codex-3000/addendum-1.58/PROGRAMMES_C.json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https://github.com/darknigthmare/deadwall-last-enclosure/blob/f0ef5a2036d4876ae8f4d4477676da968a032d01/codex-3000/addendum-1.58/PROGRAMMES_C.json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https://github.com/darknigthmare/deadwall-last-enclosure/blob/f0ef5a2036d4876ae8f4d4477676da968a032d01/codex-3000/addendum-1.58/PROGRAMMES_C.json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https://github.com/darknigthmare/deadwall-last-enclosure/blob/f0ef5a2036d4876ae8f4d4477676da968a032d01/codex-3000/addendum-1.58/PROGRAMMES_C.json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https://github.com/darknigthmare/deadwall-last-enclosure/blob/f0ef5a2036d4876ae8f4d4477676da968a032d01/codex-3000/addendum-1.58/PROGRAMMES_C.json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https://github.com/darknigthmare/deadwall-last-enclosure/blob/f0ef5a2036d4876ae8f4d4477676da968a032d01/codex-3000/addendum-1.58/PROGRAMMES_C.json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https://github.com/darknigthmare/deadwall-last-enclosure/blob/f0ef5a2036d4876ae8f4d4477676da968a032d01/codex-3000/addendum-1.58/PROGRAMMES_C.json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https://github.com/darknigthmare/deadwall-last-enclosure/blob/f0ef5a2036d4876ae8f4d4477676da968a032d01/codex-3000/addendum-1.58/PROGRAMMES_C.json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https://github.com/darknigthmare/deadwall-last-enclosure/blob/f0ef5a2036d4876ae8f4d4477676da968a032d01/codex-3000/addendum-1.58/PROGRAMMES_C.json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https://github.com/darknigthmare/deadwall-last-enclosure/blob/f0ef5a2036d4876ae8f4d4477676da968a032d01/codex-3000/addendum-1.58/PROGRAMMES_C.json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https://github.com/darknigthmare/deadwall-last-enclosure/blob/f0ef5a2036d4876ae8f4d4477676da968a032d01/codex-3000/addendum-1.58/PROGRAMMES_C.json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https://github.com/darknigthmare/deadwall-last-enclosure/blob/f0ef5a2036d4876ae8f4d4477676da968a032d01/codex-3000/addendum-1.58/PROGRAMMES_C.json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https://github.com/darknigthmare/deadwall-last-enclosure/blob/f0ef5a2036d4876ae8f4d4477676da968a032d01/codex-3000/addendum-1.58/PROGRAMMES_C.json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https://github.com/darknigthmare/deadwall-last-enclosure/blob/f0ef5a2036d4876ae8f4d4477676da968a032d01/codex-3000/addendum-1.58/PROGRAMMES_C.json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https://github.com/darknigthmare/deadwall-last-enclosure/blob/f0ef5a2036d4876ae8f4d4477676da968a032d01/codex-3000/addendum-1.58/PROGRAMMES_C.json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https://github.com/darknigthmare/deadwall-last-enclosure/blob/f0ef5a2036d4876ae8f4d4477676da968a032d01/codex-3000/addendum-1.58/PROGRAMMES_C.json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https://github.com/darknigthmare/deadwall-last-enclosure/blob/f0ef5a2036d4876ae8f4d4477676da968a032d01/codex-3000/addendum-1.58/PROGRAMMES_C.json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https://github.com/darknigthmare/deadwall-last-enclosure/blob/f0ef5a2036d4876ae8f4d4477676da968a032d01/codex-3000/addendum-1.58/PROGRAMMES_C.json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https://github.com/darknigthmare/deadwall-last-enclosure/blob/f0ef5a2036d4876ae8f4d4477676da968a032d01/codex-3000/addendum-1.58/PROGRAMMES_C.json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https://github.com/darknigthmare/deadwall-last-enclosure/blob/f0ef5a2036d4876ae8f4d4477676da968a032d01/codex-3000/addendum-1.58/PROGRAMMES_C.json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https://github.com/darknigthmare/deadwall-last-enclosure/blob/f0ef5a2036d4876ae8f4d4477676da968a032d01/codex-3000/addendum-1.58/PROGRAMMES_C.json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https://github.com/darknigthmare/deadwall-last-enclosure/blob/f0ef5a2036d4876ae8f4d4477676da968a032d01/codex-3000/addendum-1.58/PROGRAMMES_C.json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https://github.com/darknigthmare/deadwall-last-enclosure/blob/f0ef5a2036d4876ae8f4d4477676da968a032d01/codex-3000/addendum-1.58/PROGRAMMES_C.json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https://github.com/darknigthmare/deadwall-last-enclosure/blob/f0ef5a2036d4876ae8f4d4477676da968a032d01/codex-3000/addendum-1.58/PROGRAMMES_C.json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https://github.com/darknigthmare/deadwall-last-enclosure/blob/f0ef5a2036d4876ae8f4d4477676da968a032d01/codex-3000/addendum-1.58/PROGRAMMES_C.json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https://github.com/darknigthmare/deadwall-last-enclosure/blob/f0ef5a2036d4876ae8f4d4477676da968a032d01/codex-3000/addendum-1.58/PROGRAMMES_C.json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https://github.com/darknigthmare/deadwall-last-enclosure/blob/f0ef5a2036d4876ae8f4d4477676da968a032d01/codex-3000/addendum-1.58/PROGRAMMES_C.json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https://github.com/darknigthmare/deadwall-last-enclosure/blob/f0ef5a2036d4876ae8f4d4477676da968a032d01/codex-3000/addendum-1.58/PROGRAMMES_C.json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https://github.com/darknigthmare/deadwall-last-enclosure/blob/f0ef5a2036d4876ae8f4d4477676da968a032d01/codex-3000/addendum-1.58/PROGRAMMES_C.json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https://github.com/darknigthmare/deadwall-last-enclosure/blob/f0ef5a2036d4876ae8f4d4477676da968a032d01/codex-3000/addendum-1.58/PROGRAMMES_C.json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https://github.com/darknigthmare/deadwall-last-enclosure/blob/f0ef5a2036d4876ae8f4d4477676da968a032d01/codex-3000/addendum-1.58/PROGRAMMES_C.json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https://github.com/darknigthmare/deadwall-last-enclosure/blob/f0ef5a2036d4876ae8f4d4477676da968a032d01/codex-3000/addendum-1.58/PROGRAMMES_C.json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https://github.com/darknigthmare/deadwall-last-enclosure/blob/f0ef5a2036d4876ae8f4d4477676da968a032d01/codex-3000/addendum-1.58/PROGRAMMES_C.json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https://github.com/darknigthmare/deadwall-last-enclosure/blob/f0ef5a2036d4876ae8f4d4477676da968a032d01/codex-3000/addendum-1.58/PROGRAMMES_C.json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https://github.com/darknigthmare/deadwall-last-enclosure/blob/f0ef5a2036d4876ae8f4d4477676da968a032d01/codex-3000/addendum-1.58/PROGRAMMES_C.json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https://github.com/darknigthmare/deadwall-last-enclosure/blob/f0ef5a2036d4876ae8f4d4477676da968a032d01/codex-3000/addendum-1.58/PROGRAMMES_C.json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https://github.com/darknigthmare/deadwall-last-enclosure/blob/f0ef5a2036d4876ae8f4d4477676da968a032d01/codex-3000/addendum-1.58/PROGRAMMES_C.json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https://github.com/darknigthmare/deadwall-last-enclosure/blob/f0ef5a2036d4876ae8f4d4477676da968a032d01/codex-3000/addendum-1.58/PROGRAMMES_C.json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https://github.com/darknigthmare/deadwall-last-enclosure/blob/f0ef5a2036d4876ae8f4d4477676da968a032d01/codex-3000/addendum-1.58/PROGRAMMES_C.json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https://github.com/darknigthmare/deadwall-last-enclosure/blob/f0ef5a2036d4876ae8f4d4477676da968a032d01/codex-3000/addendum-1.58/PROGRAMMES_C.json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https://github.com/darknigthmare/deadwall-last-enclosure/blob/f0ef5a2036d4876ae8f4d4477676da968a032d01/codex-3000/addendum-1.58/PROGRAMMES_C.json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https://github.com/darknigthmare/deadwall-last-enclosure/blob/f0ef5a2036d4876ae8f4d4477676da968a032d01/codex-3000/addendum-1.58/PROGRAMMES_C.json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https://github.com/darknigthmare/deadwall-last-enclosure/blob/f0ef5a2036d4876ae8f4d4477676da968a032d01/codex-3000/addendum-1.58/PROGRAMMES_C.json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https://github.com/darknigthmare/deadwall-last-enclosure/blob/f0ef5a2036d4876ae8f4d4477676da968a032d01/codex-3000/addendum-1.58/PROGRAMMES_C.json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https://github.com/darknigthmare/deadwall-last-enclosure/blob/f0ef5a2036d4876ae8f4d4477676da968a032d01/codex-3000/addendum-1.58/PROGRAMMES_C.json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https://github.com/darknigthmare/deadwall-last-enclosure/blob/f0ef5a2036d4876ae8f4d4477676da968a032d01/codex-3000/addendum-1.58/PROGRAMMES_C.json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https://github.com/darknigthmare/deadwall-last-enclosure/blob/f0ef5a2036d4876ae8f4d4477676da968a032d01/codex-3000/addendum-1.58/PROGRAMMES_C.json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https://github.com/darknigthmare/deadwall-last-enclosure/blob/f0ef5a2036d4876ae8f4d4477676da968a032d01/codex-3000/addendum-1.58/PROGRAMMES_C.json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https://github.com/darknigthmare/deadwall-last-enclosure/blob/f0ef5a2036d4876ae8f4d4477676da968a032d01/codex-3000/addendum-1.58/PROGRAMMES_C.json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https://github.com/darknigthmare/deadwall-last-enclosure/blob/f0ef5a2036d4876ae8f4d4477676da968a032d01/codex-3000/addendum-1.58/PROGRAMMES_C.json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https://github.com/darknigthmare/deadwall-last-enclosure/blob/f0ef5a2036d4876ae8f4d4477676da968a032d01/codex-3000/addendum-1.58/PROGRAMMES_C.json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https://github.com/darknigthmare/deadwall-last-enclosure/blob/f0ef5a2036d4876ae8f4d4477676da968a032d01/codex-3000/addendum-1.58/PROGRAMMES_C.json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https://github.com/darknigthmare/deadwall-last-enclosure/blob/f0ef5a2036d4876ae8f4d4477676da968a032d01/codex-3000/addendum-1.58/PROGRAMMES_C.json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https://github.com/darknigthmare/deadwall-last-enclosure/blob/f0ef5a2036d4876ae8f4d4477676da968a032d01/codex-3000/addendum-1.58/PROGRAMMES_C.json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https://github.com/darknigthmare/deadwall-last-enclosure/blob/f0ef5a2036d4876ae8f4d4477676da968a032d01/codex-3000/addendum-1.58/PROGRAMMES_C.json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https://github.com/darknigthmare/deadwall-last-enclosure/blob/f0ef5a2036d4876ae8f4d4477676da968a032d01/codex-3000/addendum-1.58/PROGRAMMES_C.json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https://github.com/darknigthmare/deadwall-last-enclosure/blob/f0ef5a2036d4876ae8f4d4477676da968a032d01/codex-3000/addendum-1.58/PROGRAMMES_C.json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https://github.com/darknigthmare/deadwall-last-enclosure/blob/f0ef5a2036d4876ae8f4d4477676da968a032d01/codex-3000/addendum-1.58/PROGRAMMES_C.json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https://github.com/darknigthmare/deadwall-last-enclosure/blob/f0ef5a2036d4876ae8f4d4477676da968a032d01/codex-3000/addendum-1.58/PROGRAMMES_C.json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https://github.com/darknigthmare/deadwall-last-enclosure/blob/f0ef5a2036d4876ae8f4d4477676da968a032d01/codex-3000/addendum-1.58/PROGRAMMES_C.json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https://github.com/darknigthmare/deadwall-last-enclosure/blob/f0ef5a2036d4876ae8f4d4477676da968a032d01/codex-3000/addendum-1.58/PROGRAMMES_C.json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https://github.com/darknigthmare/deadwall-last-enclosure/blob/f0ef5a2036d4876ae8f4d4477676da968a032d01/codex-3000/addendum-1.58/PROGRAMMES_C.json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https://github.com/darknigthmare/deadwall-last-enclosure/blob/f0ef5a2036d4876ae8f4d4477676da968a032d01/codex-3000/addendum-1.58/PROGRAMMES_C.json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https://github.com/darknigthmare/deadwall-last-enclosure/blob/f0ef5a2036d4876ae8f4d4477676da968a032d01/codex-3000/addendum-1.58/PROGRAMMES_C.json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https://github.com/darknigthmare/deadwall-last-enclosure/blob/f0ef5a2036d4876ae8f4d4477676da968a032d01/codex-3000/addendum-1.58/PROGRAMMES_C.json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https://github.com/darknigthmare/deadwall-last-enclosure/blob/f0ef5a2036d4876ae8f4d4477676da968a032d01/codex-3000/addendum-1.58/PROGRAMMES_C.json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https://github.com/darknigthmare/deadwall-last-enclosure/blob/f0ef5a2036d4876ae8f4d4477676da968a032d01/codex-3000/addendum-1.58/PROGRAMMES_C.json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https://github.com/darknigthmare/deadwall-last-enclosure/blob/f0ef5a2036d4876ae8f4d4477676da968a032d01/codex-3000/addendum-1.58/PROGRAMMES_C.json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https://github.com/darknigthmare/deadwall-last-enclosure/blob/f0ef5a2036d4876ae8f4d4477676da968a032d01/codex-3000/addendum-1.58/PROGRAMMES_C.json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https://github.com/darknigthmare/deadwall-last-enclosure/blob/f0ef5a2036d4876ae8f4d4477676da968a032d01/codex-3000/addendum-1.58/PROGRAMMES_C.json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https://github.com/darknigthmare/deadwall-last-enclosure/blob/f0ef5a2036d4876ae8f4d4477676da968a032d01/codex-3000/addendum-1.58/PROGRAMMES_C.json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https://github.com/darknigthmare/deadwall-last-enclosure/blob/f0ef5a2036d4876ae8f4d4477676da968a032d01/codex-3000/addendum-1.58/PROGRAMMES_C.json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https://github.com/darknigthmare/deadwall-last-enclosure/blob/f0ef5a2036d4876ae8f4d4477676da968a032d01/codex-3000/addendum-1.58/PROGRAMMES_C.json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https://github.com/darknigthmare/deadwall-last-enclosure/blob/f0ef5a2036d4876ae8f4d4477676da968a032d01/codex-3000/addendum-1.58/PROGRAMMES_C.json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https://github.com/darknigthmare/deadwall-last-enclosure/blob/f0ef5a2036d4876ae8f4d4477676da968a032d01/codex-3000/addendum-1.58/PROGRAMMES_C.json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https://github.com/darknigthmare/deadwall-last-enclosure/blob/f0ef5a2036d4876ae8f4d4477676da968a032d01/codex-3000/addendum-1.58/PROGRAMMES_C.json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https://github.com/darknigthmare/deadwall-last-enclosure/blob/f0ef5a2036d4876ae8f4d4477676da968a032d01/codex-3000/addendum-1.58/PROGRAMMES_C.json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https://github.com/darknigthmare/deadwall-last-enclosure/blob/f0ef5a2036d4876ae8f4d4477676da968a032d01/codex-3000/addendum-1.58/PROGRAMMES_C.json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https://github.com/darknigthmare/deadwall-last-enclosure/blob/f0ef5a2036d4876ae8f4d4477676da968a032d01/codex-3000/addendum-1.58/PROGRAMMES_C.json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https://github.com/darknigthmare/deadwall-last-enclosure/blob/f0ef5a2036d4876ae8f4d4477676da968a032d01/codex-3000/addendum-1.58/PROGRAMMES_C.json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https://github.com/darknigthmare/deadwall-last-enclosure/blob/f0ef5a2036d4876ae8f4d4477676da968a032d01/codex-3000/addendum-1.58/PROGRAMMES_C.json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https://github.com/darknigthmare/deadwall-last-enclosure/blob/f0ef5a2036d4876ae8f4d4477676da968a032d01/codex-3000/addendum-1.58/PROGRAMMES_C.json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https://github.com/darknigthmare/deadwall-last-enclosure/blob/f0ef5a2036d4876ae8f4d4477676da968a032d01/codex-3000/addendum-1.58/PROGRAMMES_C.json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https://github.com/darknigthmare/deadwall-last-enclosure/blob/f0ef5a2036d4876ae8f4d4477676da968a032d01/codex-3000/addendum-1.58/PROGRAMMES_C.json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https://github.com/darknigthmare/deadwall-last-enclosure/blob/f0ef5a2036d4876ae8f4d4477676da968a032d01/codex-3000/addendum-1.58/PROGRAMMES_C.json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https://github.com/darknigthmare/deadwall-last-enclosure/blob/f0ef5a2036d4876ae8f4d4477676da968a032d01/codex-3000/addendum-1.58/PROGRAMMES_C.json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https://github.com/darknigthmare/deadwall-last-enclosure/blob/f0ef5a2036d4876ae8f4d4477676da968a032d01/codex-3000/addendum-1.58/PROGRAMMES_C.json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https://github.com/darknigthmare/deadwall-last-enclosure/blob/f0ef5a2036d4876ae8f4d4477676da968a032d01/codex-3000/addendum-1.58/PROGRAMMES_C.json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https://github.com/darknigthmare/deadwall-last-enclosure/blob/f0ef5a2036d4876ae8f4d4477676da968a032d01/codex-3000/addendum-1.58/PROGRAMMES_C.json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https://github.com/darknigthmare/deadwall-last-enclosure/blob/f0ef5a2036d4876ae8f4d4477676da968a032d01/codex-3000/addendum-1.58/PROGRAMMES_C.json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https://github.com/darknigthmare/deadwall-last-enclosure/blob/f0ef5a2036d4876ae8f4d4477676da968a032d01/codex-3000/addendum-1.58/PROGRAMMES_C.json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https://github.com/darknigthmare/deadwall-last-enclosure/blob/f0ef5a2036d4876ae8f4d4477676da968a032d01/codex-3000/addendum-1.58/PROGRAMMES_C.json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https://github.com/darknigthmare/deadwall-last-enclosure/blob/f0ef5a2036d4876ae8f4d4477676da968a032d01/codex-3000/addendum-1.58/PROGRAMMES_C.json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https://github.com/darknigthmare/deadwall-last-enclosure/blob/f0ef5a2036d4876ae8f4d4477676da968a032d01/codex-3000/addendum-1.58/PROGRAMMES_C.json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https://github.com/darknigthmare/deadwall-last-enclosure/blob/f0ef5a2036d4876ae8f4d4477676da968a032d01/codex-3000/addendum-1.58/PROGRAMMES_C.json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https://github.com/darknigthmare/deadwall-last-enclosure/blob/f0ef5a2036d4876ae8f4d4477676da968a032d01/codex-3000/addendum-1.58/PROGRAMMES_C.json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https://github.com/darknigthmare/deadwall-last-enclosure/blob/f0ef5a2036d4876ae8f4d4477676da968a032d01/codex-3000/addendum-1.58/PROGRAMMES_C.json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https://github.com/darknigthmare/deadwall-last-enclosure/blob/f0ef5a2036d4876ae8f4d4477676da968a032d01/codex-3000/addendum-1.58/PROGRAMMES_C.json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https://github.com/darknigthmare/deadwall-last-enclosure/blob/f0ef5a2036d4876ae8f4d4477676da968a032d01/codex-3000/addendum-1.58/PROGRAMMES_C.json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https://github.com/darknigthmare/deadwall-last-enclosure/blob/f0ef5a2036d4876ae8f4d4477676da968a032d01/codex-3000/addendum-1.58/PROGRAMMES_C.json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https://github.com/darknigthmare/deadwall-last-enclosure/blob/f0ef5a2036d4876ae8f4d4477676da968a032d01/codex-3000/addendum-1.58/PROGRAMMES_C.json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https://github.com/darknigthmare/deadwall-last-enclosure/blob/f0ef5a2036d4876ae8f4d4477676da968a032d01/codex-3000/addendum-1.58/PROGRAMMES_C.json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https://github.com/darknigthmare/deadwall-last-enclosure/blob/f0ef5a2036d4876ae8f4d4477676da968a032d01/codex-3000/addendum-1.58/PROGRAMMES_C.json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https://github.com/darknigthmare/deadwall-last-enclosure/blob/f0ef5a2036d4876ae8f4d4477676da968a032d01/codex-3000/addendum-1.58/PROGRAMMES_C.json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https://github.com/darknigthmare/deadwall-last-enclosure/blob/f0ef5a2036d4876ae8f4d4477676da968a032d01/codex-3000/addendum-1.58/PROGRAMMES_C.json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https://github.com/darknigthmare/deadwall-last-enclosure/blob/f0ef5a2036d4876ae8f4d4477676da968a032d01/codex-3000/addendum-1.58/PROGRAMMES_C.json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https://github.com/darknigthmare/deadwall-last-enclosure/blob/f0ef5a2036d4876ae8f4d4477676da968a032d01/codex-3000/addendum-1.58/PROGRAMMES_C.json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https://github.com/darknigthmare/deadwall-last-enclosure/blob/f0ef5a2036d4876ae8f4d4477676da968a032d01/codex-3000/addendum-1.58/PROGRAMMES_C.json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https://github.com/darknigthmare/deadwall-last-enclosure/blob/f0ef5a2036d4876ae8f4d4477676da968a032d01/codex-3000/addendum-1.58/PROGRAMMES_C.json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https://github.com/darknigthmare/deadwall-last-enclosure/blob/f0ef5a2036d4876ae8f4d4477676da968a032d01/codex-3000/addendum-1.58/PROGRAMMES_C.json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https://github.com/darknigthmare/deadwall-last-enclosure/blob/f0ef5a2036d4876ae8f4d4477676da968a032d01/codex-3000/addendum-1.58/PROGRAMMES_C.json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https://github.com/darknigthmare/deadwall-last-enclosure/blob/f0ef5a2036d4876ae8f4d4477676da968a032d01/codex-3000/addendum-1.58/PROGRAMMES_C.json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https://github.com/darknigthmare/deadwall-last-enclosure/blob/f0ef5a2036d4876ae8f4d4477676da968a032d01/codex-3000/addendum-1.58/PROGRAMMES_C.json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https://github.com/darknigthmare/deadwall-last-enclosure/blob/f0ef5a2036d4876ae8f4d4477676da968a032d01/codex-3000/addendum-1.58/PROGRAMMES_C.json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https://github.com/darknigthmare/deadwall-last-enclosure/blob/f0ef5a2036d4876ae8f4d4477676da968a032d01/codex-3000/addendum-1.58/PROGRAMMES_C.json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https://github.com/darknigthmare/deadwall-last-enclosure/blob/f0ef5a2036d4876ae8f4d4477676da968a032d01/codex-3000/addendum-1.58/PROGRAMMES_C.json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https://github.com/darknigthmare/deadwall-last-enclosure/blob/f0ef5a2036d4876ae8f4d4477676da968a032d01/codex-3000/addendum-1.58/PROGRAMMES_C.json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https://github.com/darknigthmare/deadwall-last-enclosure/blob/f0ef5a2036d4876ae8f4d4477676da968a032d01/codex-3000/addendum-1.58/PROGRAMMES_C.json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https://github.com/darknigthmare/deadwall-last-enclosure/blob/f0ef5a2036d4876ae8f4d4477676da968a032d01/codex-3000/addendum-1.58/PROGRAMMES_C.json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https://github.com/darknigthmare/deadwall-last-enclosure/blob/f0ef5a2036d4876ae8f4d4477676da968a032d01/codex-3000/addendum-1.58/PROGRAMMES_C.json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https://github.com/darknigthmare/deadwall-last-enclosure/blob/f0ef5a2036d4876ae8f4d4477676da968a032d01/codex-3000/addendum-1.58/PROGRAMMES_C.json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https://github.com/darknigthmare/deadwall-last-enclosure/blob/f0ef5a2036d4876ae8f4d4477676da968a032d01/codex-3000/addendum-1.58/PROGRAMMES_C.json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https://github.com/darknigthmare/deadwall-last-enclosure/blob/f0ef5a2036d4876ae8f4d4477676da968a032d01/codex-3000/addendum-1.58/PROGRAMMES_C.json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https://github.com/darknigthmare/deadwall-last-enclosure/blob/f0ef5a2036d4876ae8f4d4477676da968a032d01/codex-3000/addendum-1.58/PROGRAMMES_C.json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https://github.com/darknigthmare/deadwall-last-enclosure/blob/f0ef5a2036d4876ae8f4d4477676da968a032d01/codex-3000/addendum-1.58/PROGRAMMES_C.json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https://github.com/darknigthmare/deadwall-last-enclosure/blob/f0ef5a2036d4876ae8f4d4477676da968a032d01/codex-3000/addendum-1.58/PROGRAMMES_C.json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https://github.com/darknigthmare/deadwall-last-enclosure/blob/f0ef5a2036d4876ae8f4d4477676da968a032d01/codex-3000/addendum-1.58/PROGRAMMES_C.json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https://github.com/darknigthmare/deadwall-last-enclosure/blob/f0ef5a2036d4876ae8f4d4477676da968a032d01/codex-3000/addendum-1.58/PROGRAMMES_C.json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https://github.com/darknigthmare/deadwall-last-enclosure/blob/f0ef5a2036d4876ae8f4d4477676da968a032d01/codex-3000/addendum-1.58/PROGRAMMES_C.json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https://github.com/darknigthmare/deadwall-last-enclosure/blob/f0ef5a2036d4876ae8f4d4477676da968a032d01/codex-3000/addendum-1.58/PROGRAMMES_C.json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https://github.com/darknigthmare/deadwall-last-enclosure/blob/f0ef5a2036d4876ae8f4d4477676da968a032d01/codex-3000/addendum-1.58/PROGRAMMES_C.json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https://github.com/darknigthmare/deadwall-last-enclosure/blob/f0ef5a2036d4876ae8f4d4477676da968a032d01/codex-3000/addendum-1.58/PROGRAMMES_C.json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https://github.com/darknigthmare/deadwall-last-enclosure/blob/f0ef5a2036d4876ae8f4d4477676da968a032d01/codex-3000/addendum-1.58/PROGRAMMES_C.json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https://github.com/darknigthmare/deadwall-last-enclosure/blob/f0ef5a2036d4876ae8f4d4477676da968a032d01/codex-3000/addendum-1.58/PROGRAMMES_C.json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https://github.com/darknigthmare/deadwall-last-enclosure/blob/f0ef5a2036d4876ae8f4d4477676da968a032d01/codex-3000/addendum-1.58/PROGRAMMES_C.json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https://github.com/darknigthmare/deadwall-last-enclosure/blob/f0ef5a2036d4876ae8f4d4477676da968a032d01/codex-3000/addendum-1.58/PROGRAMMES_C.json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https://github.com/darknigthmare/deadwall-last-enclosure/blob/f0ef5a2036d4876ae8f4d4477676da968a032d01/codex-3000/addendum-1.58/PROGRAMMES_C.json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https://github.com/darknigthmare/deadwall-last-enclosure/blob/f0ef5a2036d4876ae8f4d4477676da968a032d01/codex-3000/addendum-1.58/PROGRAMMES_C.json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https://github.com/darknigthmare/deadwall-last-enclosure/blob/f0ef5a2036d4876ae8f4d4477676da968a032d01/codex-3000/addendum-1.58/PROGRAMMES_C.json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https://github.com/darknigthmare/deadwall-last-enclosure/blob/f0ef5a2036d4876ae8f4d4477676da968a032d01/codex-3000/addendum-1.58/PROGRAMMES_C.json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https://github.com/darknigthmare/deadwall-last-enclosure/blob/f0ef5a2036d4876ae8f4d4477676da968a032d01/codex-3000/addendum-1.58/PROGRAMMES_C.json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https://github.com/darknigthmare/deadwall-last-enclosure/blob/f0ef5a2036d4876ae8f4d4477676da968a032d01/codex-3000/addendum-1.58/PROGRAMMES_C.json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https://github.com/darknigthmare/deadwall-last-enclosure/blob/f0ef5a2036d4876ae8f4d4477676da968a032d01/codex-3000/addendum-1.58/PROGRAMMES_C.json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https://github.com/darknigthmare/deadwall-last-enclosure/blob/f0ef5a2036d4876ae8f4d4477676da968a032d01/codex-3000/addendum-1.58/PROGRAMMES_C.json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https://github.com/darknigthmare/deadwall-last-enclosure/blob/f0ef5a2036d4876ae8f4d4477676da968a032d01/codex-3000/addendum-1.58/PROGRAMMES_C.json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https://github.com/darknigthmare/deadwall-last-enclosure/blob/f0ef5a2036d4876ae8f4d4477676da968a032d01/codex-3000/addendum-1.58/PROGRAMMES_C.json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https://github.com/darknigthmare/deadwall-last-enclosure/blob/f0ef5a2036d4876ae8f4d4477676da968a032d01/codex-3000/addendum-1.58/PROGRAMMES_C.json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https://github.com/darknigthmare/deadwall-last-enclosure/blob/f0ef5a2036d4876ae8f4d4477676da968a032d01/codex-3000/addendum-1.58/PROGRAMMES_C.json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https://github.com/darknigthmare/deadwall-last-enclosure/blob/f0ef5a2036d4876ae8f4d4477676da968a032d01/codex-3000/addendum-1.58/PROGRAMMES_C.json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https://github.com/darknigthmare/deadwall-last-enclosure/blob/f0ef5a2036d4876ae8f4d4477676da968a032d01/codex-3000/addendum-1.58/PROGRAMMES_C.json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https://github.com/darknigthmare/deadwall-last-enclosure/blob/f0ef5a2036d4876ae8f4d4477676da968a032d01/codex-3000/addendum-1.58/PROGRAMMES_C.json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https://github.com/darknigthmare/deadwall-last-enclosure/blob/f0ef5a2036d4876ae8f4d4477676da968a032d01/codex-3000/addendum-1.58/PROGRAMMES_C.json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https://github.com/darknigthmare/deadwall-last-enclosure/blob/f0ef5a2036d4876ae8f4d4477676da968a032d01/codex-3000/addendum-1.58/PROGRAMMES_C.json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https://github.com/darknigthmare/deadwall-last-enclosure/blob/f0ef5a2036d4876ae8f4d4477676da968a032d01/codex-3000/addendum-1.58/PROGRAMMES_C.json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https://github.com/darknigthmare/deadwall-last-enclosure/blob/f0ef5a2036d4876ae8f4d4477676da968a032d01/codex-3000/addendum-1.58/PROGRAMMES_C.json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https://github.com/darknigthmare/deadwall-last-enclosure/blob/f0ef5a2036d4876ae8f4d4477676da968a032d01/codex-3000/addendum-1.58/PROGRAMMES_C.json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https://github.com/darknigthmare/deadwall-last-enclosure/blob/f0ef5a2036d4876ae8f4d4477676da968a032d01/codex-3000/addendum-1.58/PROGRAMMES_C.json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https://github.com/darknigthmare/deadwall-last-enclosure/blob/f0ef5a2036d4876ae8f4d4477676da968a032d01/codex-3000/addendum-1.58/PROGRAMMES_C.json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https://github.com/darknigthmare/deadwall-last-enclosure/blob/f0ef5a2036d4876ae8f4d4477676da968a032d01/codex-3000/addendum-1.58/PROGRAMMES_C.json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https://github.com/darknigthmare/deadwall-last-enclosure/blob/f0ef5a2036d4876ae8f4d4477676da968a032d01/codex-3000/addendum-1.58/PROGRAMMES_D.json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https://github.com/darknigthmare/deadwall-last-enclosure/blob/f0ef5a2036d4876ae8f4d4477676da968a032d01/codex-3000/addendum-1.58/PROGRAMMES_D.json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https://github.com/darknigthmare/deadwall-last-enclosure/blob/f0ef5a2036d4876ae8f4d4477676da968a032d01/codex-3000/addendum-1.58/PROGRAMMES_D.json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https://github.com/darknigthmare/deadwall-last-enclosure/blob/f0ef5a2036d4876ae8f4d4477676da968a032d01/codex-3000/addendum-1.58/PROGRAMMES_D.json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https://github.com/darknigthmare/deadwall-last-enclosure/blob/f0ef5a2036d4876ae8f4d4477676da968a032d01/codex-3000/addendum-1.58/PROGRAMMES_D.json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https://github.com/darknigthmare/deadwall-last-enclosure/blob/f0ef5a2036d4876ae8f4d4477676da968a032d01/codex-3000/addendum-1.58/PROGRAMMES_D.json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https://github.com/darknigthmare/deadwall-last-enclosure/blob/f0ef5a2036d4876ae8f4d4477676da968a032d01/codex-3000/addendum-1.58/PROGRAMMES_D.json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https://github.com/darknigthmare/deadwall-last-enclosure/blob/f0ef5a2036d4876ae8f4d4477676da968a032d01/codex-3000/addendum-1.58/PROGRAMMES_D.json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https://github.com/darknigthmare/deadwall-last-enclosure/blob/f0ef5a2036d4876ae8f4d4477676da968a032d01/codex-3000/addendum-1.58/PROGRAMMES_D.json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https://github.com/darknigthmare/deadwall-last-enclosure/blob/f0ef5a2036d4876ae8f4d4477676da968a032d01/codex-3000/addendum-1.58/PROGRAMMES_D.json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https://github.com/darknigthmare/deadwall-last-enclosure/blob/f0ef5a2036d4876ae8f4d4477676da968a032d01/codex-3000/addendum-1.58/PROGRAMMES_D.json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https://github.com/darknigthmare/deadwall-last-enclosure/blob/f0ef5a2036d4876ae8f4d4477676da968a032d01/codex-3000/addendum-1.58/PROGRAMMES_D.json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https://github.com/darknigthmare/deadwall-last-enclosure/blob/f0ef5a2036d4876ae8f4d4477676da968a032d01/codex-3000/addendum-1.58/PROGRAMMES_D.json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https://github.com/darknigthmare/deadwall-last-enclosure/blob/f0ef5a2036d4876ae8f4d4477676da968a032d01/codex-3000/addendum-1.58/PROGRAMMES_D.json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https://github.com/darknigthmare/deadwall-last-enclosure/blob/f0ef5a2036d4876ae8f4d4477676da968a032d01/codex-3000/addendum-1.58/PROGRAMMES_D.json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https://github.com/darknigthmare/deadwall-last-enclosure/blob/f0ef5a2036d4876ae8f4d4477676da968a032d01/codex-3000/addendum-1.58/PROGRAMMES_D.json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https://github.com/darknigthmare/deadwall-last-enclosure/blob/f0ef5a2036d4876ae8f4d4477676da968a032d01/codex-3000/addendum-1.58/PROGRAMMES_D.json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https://github.com/darknigthmare/deadwall-last-enclosure/blob/f0ef5a2036d4876ae8f4d4477676da968a032d01/codex-3000/addendum-1.58/PROGRAMMES_D.json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https://github.com/darknigthmare/deadwall-last-enclosure/blob/f0ef5a2036d4876ae8f4d4477676da968a032d01/codex-3000/addendum-1.58/PROGRAMMES_D.json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https://github.com/darknigthmare/deadwall-last-enclosure/blob/f0ef5a2036d4876ae8f4d4477676da968a032d01/codex-3000/addendum-1.58/PROGRAMMES_D.json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https://github.com/darknigthmare/deadwall-last-enclosure/blob/f0ef5a2036d4876ae8f4d4477676da968a032d01/codex-3000/addendum-1.58/PROGRAMMES_D.json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https://github.com/darknigthmare/deadwall-last-enclosure/blob/f0ef5a2036d4876ae8f4d4477676da968a032d01/codex-3000/addendum-1.58/PROGRAMMES_D.json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https://github.com/darknigthmare/deadwall-last-enclosure/blob/f0ef5a2036d4876ae8f4d4477676da968a032d01/codex-3000/addendum-1.58/PROGRAMMES_D.json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https://github.com/darknigthmare/deadwall-last-enclosure/blob/f0ef5a2036d4876ae8f4d4477676da968a032d01/codex-3000/addendum-1.58/PROGRAMMES_D.json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https://github.com/darknigthmare/deadwall-last-enclosure/blob/f0ef5a2036d4876ae8f4d4477676da968a032d01/codex-3000/addendum-1.58/PROGRAMMES_D.json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https://github.com/darknigthmare/deadwall-last-enclosure/blob/f0ef5a2036d4876ae8f4d4477676da968a032d01/codex-3000/addendum-1.58/PROGRAMMES_D.json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https://github.com/darknigthmare/deadwall-last-enclosure/blob/f0ef5a2036d4876ae8f4d4477676da968a032d01/codex-3000/addendum-1.58/PROGRAMMES_D.json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https://github.com/darknigthmare/deadwall-last-enclosure/blob/f0ef5a2036d4876ae8f4d4477676da968a032d01/codex-3000/addendum-1.58/PROGRAMMES_D.json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https://github.com/darknigthmare/deadwall-last-enclosure/blob/f0ef5a2036d4876ae8f4d4477676da968a032d01/codex-3000/addendum-1.58/PROGRAMMES_D.json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https://github.com/darknigthmare/deadwall-last-enclosure/blob/f0ef5a2036d4876ae8f4d4477676da968a032d01/codex-3000/addendum-1.58/PROGRAMMES_D.json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https://github.com/darknigthmare/deadwall-last-enclosure/blob/f0ef5a2036d4876ae8f4d4477676da968a032d01/codex-3000/addendum-1.58/PROGRAMMES_D.json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https://github.com/darknigthmare/deadwall-last-enclosure/blob/f0ef5a2036d4876ae8f4d4477676da968a032d01/codex-3000/addendum-1.58/PROGRAMMES_D.json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https://github.com/darknigthmare/deadwall-last-enclosure/blob/f0ef5a2036d4876ae8f4d4477676da968a032d01/codex-3000/addendum-1.58/PROGRAMMES_D.json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https://github.com/darknigthmare/deadwall-last-enclosure/blob/f0ef5a2036d4876ae8f4d4477676da968a032d01/codex-3000/addendum-1.58/PROGRAMMES_D.json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https://github.com/darknigthmare/deadwall-last-enclosure/blob/f0ef5a2036d4876ae8f4d4477676da968a032d01/codex-3000/addendum-1.58/PROGRAMMES_D.json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https://github.com/darknigthmare/deadwall-last-enclosure/blob/f0ef5a2036d4876ae8f4d4477676da968a032d01/codex-3000/addendum-1.58/PROGRAMMES_D.json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https://github.com/darknigthmare/deadwall-last-enclosure/blob/f0ef5a2036d4876ae8f4d4477676da968a032d01/codex-3000/addendum-1.58/PROGRAMMES_D.json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https://github.com/darknigthmare/deadwall-last-enclosure/blob/f0ef5a2036d4876ae8f4d4477676da968a032d01/codex-3000/addendum-1.58/PROGRAMMES_D.json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https://github.com/darknigthmare/deadwall-last-enclosure/blob/f0ef5a2036d4876ae8f4d4477676da968a032d01/codex-3000/addendum-1.58/PROGRAMMES_D.json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https://github.com/darknigthmare/deadwall-last-enclosure/blob/f0ef5a2036d4876ae8f4d4477676da968a032d01/codex-3000/addendum-1.58/PROGRAMMES_D.json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https://github.com/darknigthmare/deadwall-last-enclosure/blob/f0ef5a2036d4876ae8f4d4477676da968a032d01/codex-3000/addendum-1.58/PROGRAMMES_D.json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https://github.com/darknigthmare/deadwall-last-enclosure/blob/f0ef5a2036d4876ae8f4d4477676da968a032d01/codex-3000/addendum-1.58/PROGRAMMES_D.json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https://github.com/darknigthmare/deadwall-last-enclosure/blob/f0ef5a2036d4876ae8f4d4477676da968a032d01/codex-3000/addendum-1.58/PROGRAMMES_D.json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https://github.com/darknigthmare/deadwall-last-enclosure/blob/f0ef5a2036d4876ae8f4d4477676da968a032d01/codex-3000/addendum-1.58/PROGRAMMES_D.json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https://github.com/darknigthmare/deadwall-last-enclosure/blob/f0ef5a2036d4876ae8f4d4477676da968a032d01/codex-3000/addendum-1.58/PROGRAMMES_D.json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https://github.com/darknigthmare/deadwall-last-enclosure/blob/f0ef5a2036d4876ae8f4d4477676da968a032d01/codex-3000/addendum-1.58/PROGRAMMES_D.json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https://github.com/darknigthmare/deadwall-last-enclosure/blob/f0ef5a2036d4876ae8f4d4477676da968a032d01/codex-3000/addendum-1.58/PROGRAMMES_D.json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https://github.com/darknigthmare/deadwall-last-enclosure/blob/f0ef5a2036d4876ae8f4d4477676da968a032d01/codex-3000/addendum-1.58/PROGRAMMES_D.json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https://github.com/darknigthmare/deadwall-last-enclosure/blob/f0ef5a2036d4876ae8f4d4477676da968a032d01/codex-3000/addendum-1.58/PROGRAMMES_D.json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https://github.com/darknigthmare/deadwall-last-enclosure/blob/f0ef5a2036d4876ae8f4d4477676da968a032d01/codex-3000/addendum-1.58/PROGRAMMES_D.json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https://github.com/darknigthmare/deadwall-last-enclosure/blob/f0ef5a2036d4876ae8f4d4477676da968a032d01/codex-3000/addendum-1.58/PROGRAMMES_D.json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https://github.com/darknigthmare/deadwall-last-enclosure/blob/f0ef5a2036d4876ae8f4d4477676da968a032d01/codex-3000/addendum-1.58/PROGRAMMES_D.json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https://github.com/darknigthmare/deadwall-last-enclosure/blob/f0ef5a2036d4876ae8f4d4477676da968a032d01/codex-3000/addendum-1.58/PROGRAMMES_D.json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https://github.com/darknigthmare/deadwall-last-enclosure/blob/f0ef5a2036d4876ae8f4d4477676da968a032d01/codex-3000/addendum-1.58/PROGRAMMES_D.json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https://github.com/darknigthmare/deadwall-last-enclosure/blob/f0ef5a2036d4876ae8f4d4477676da968a032d01/codex-3000/addendum-1.58/PROGRAMMES_D.json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https://github.com/darknigthmare/deadwall-last-enclosure/blob/f0ef5a2036d4876ae8f4d4477676da968a032d01/codex-3000/addendum-1.58/PROGRAMMES_D.json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https://github.com/darknigthmare/deadwall-last-enclosure/blob/f0ef5a2036d4876ae8f4d4477676da968a032d01/codex-3000/addendum-1.58/PROGRAMMES_D.json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https://github.com/darknigthmare/deadwall-last-enclosure/blob/f0ef5a2036d4876ae8f4d4477676da968a032d01/codex-3000/addendum-1.58/PROGRAMMES_D.json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https://github.com/darknigthmare/deadwall-last-enclosure/blob/f0ef5a2036d4876ae8f4d4477676da968a032d01/codex-3000/addendum-1.58/PROGRAMMES_D.json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https://github.com/darknigthmare/deadwall-last-enclosure/blob/f0ef5a2036d4876ae8f4d4477676da968a032d01/codex-3000/addendum-1.58/PROGRAMMES_D.json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https://github.com/darknigthmare/deadwall-last-enclosure/blob/f0ef5a2036d4876ae8f4d4477676da968a032d01/codex-3000/addendum-1.58/PROGRAMMES_D.json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https://github.com/darknigthmare/deadwall-last-enclosure/blob/f0ef5a2036d4876ae8f4d4477676da968a032d01/codex-3000/addendum-1.58/PROGRAMMES_D.json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https://github.com/darknigthmare/deadwall-last-enclosure/blob/f0ef5a2036d4876ae8f4d4477676da968a032d01/codex-3000/addendum-1.58/PROGRAMMES_D.json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https://github.com/darknigthmare/deadwall-last-enclosure/blob/f0ef5a2036d4876ae8f4d4477676da968a032d01/codex-3000/addendum-1.58/PROGRAMMES_D.json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https://github.com/darknigthmare/deadwall-last-enclosure/blob/f0ef5a2036d4876ae8f4d4477676da968a032d01/codex-3000/addendum-1.58/PROGRAMMES_D.json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https://github.com/darknigthmare/deadwall-last-enclosure/blob/f0ef5a2036d4876ae8f4d4477676da968a032d01/codex-3000/addendum-1.58/PROGRAMMES_D.json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https://github.com/darknigthmare/deadwall-last-enclosure/blob/f0ef5a2036d4876ae8f4d4477676da968a032d01/codex-3000/addendum-1.58/PROGRAMMES_D.json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https://github.com/darknigthmare/deadwall-last-enclosure/blob/f0ef5a2036d4876ae8f4d4477676da968a032d01/codex-3000/addendum-1.58/PROGRAMMES_D.json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https://github.com/darknigthmare/deadwall-last-enclosure/blob/f0ef5a2036d4876ae8f4d4477676da968a032d01/codex-3000/addendum-1.58/PROGRAMMES_D.json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https://github.com/darknigthmare/deadwall-last-enclosure/blob/f0ef5a2036d4876ae8f4d4477676da968a032d01/codex-3000/addendum-1.58/PROGRAMMES_D.json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https://github.com/darknigthmare/deadwall-last-enclosure/blob/f0ef5a2036d4876ae8f4d4477676da968a032d01/codex-3000/addendum-1.58/PROGRAMMES_D.json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https://github.com/darknigthmare/deadwall-last-enclosure/blob/f0ef5a2036d4876ae8f4d4477676da968a032d01/codex-3000/addendum-1.58/PROGRAMMES_D.json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https://github.com/darknigthmare/deadwall-last-enclosure/blob/f0ef5a2036d4876ae8f4d4477676da968a032d01/codex-3000/addendum-1.58/PROGRAMMES_D.json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https://github.com/darknigthmare/deadwall-last-enclosure/blob/f0ef5a2036d4876ae8f4d4477676da968a032d01/codex-3000/addendum-1.58/PROGRAMMES_D.json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https://github.com/darknigthmare/deadwall-last-enclosure/blob/f0ef5a2036d4876ae8f4d4477676da968a032d01/codex-3000/addendum-1.58/PROGRAMMES_D.json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https://github.com/darknigthmare/deadwall-last-enclosure/blob/f0ef5a2036d4876ae8f4d4477676da968a032d01/codex-3000/addendum-1.58/PROGRAMMES_D.json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https://github.com/darknigthmare/deadwall-last-enclosure/blob/f0ef5a2036d4876ae8f4d4477676da968a032d01/codex-3000/addendum-1.58/PROGRAMMES_D.json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https://github.com/darknigthmare/deadwall-last-enclosure/blob/f0ef5a2036d4876ae8f4d4477676da968a032d01/codex-3000/addendum-1.58/PROGRAMMES_D.json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https://github.com/darknigthmare/deadwall-last-enclosure/blob/f0ef5a2036d4876ae8f4d4477676da968a032d01/codex-3000/addendum-1.58/PROGRAMMES_D.json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https://github.com/darknigthmare/deadwall-last-enclosure/blob/f0ef5a2036d4876ae8f4d4477676da968a032d01/codex-3000/addendum-1.58/PROGRAMMES_D.json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https://github.com/darknigthmare/deadwall-last-enclosure/blob/f0ef5a2036d4876ae8f4d4477676da968a032d01/codex-3000/addendum-1.58/PROGRAMMES_D.json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https://github.com/darknigthmare/deadwall-last-enclosure/blob/f0ef5a2036d4876ae8f4d4477676da968a032d01/codex-3000/addendum-1.58/PROGRAMMES_D.json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https://github.com/darknigthmare/deadwall-last-enclosure/blob/f0ef5a2036d4876ae8f4d4477676da968a032d01/codex-3000/addendum-1.58/PROGRAMMES_D.json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https://github.com/darknigthmare/deadwall-last-enclosure/blob/f0ef5a2036d4876ae8f4d4477676da968a032d01/codex-3000/addendum-1.58/PROGRAMMES_D.json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https://github.com/darknigthmare/deadwall-last-enclosure/blob/f0ef5a2036d4876ae8f4d4477676da968a032d01/codex-3000/addendum-1.58/PROGRAMMES_D.json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https://github.com/darknigthmare/deadwall-last-enclosure/blob/f0ef5a2036d4876ae8f4d4477676da968a032d01/codex-3000/addendum-1.58/PROGRAMMES_D.json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https://github.com/darknigthmare/deadwall-last-enclosure/blob/f0ef5a2036d4876ae8f4d4477676da968a032d01/codex-3000/addendum-1.58/PROGRAMMES_D.json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https://github.com/darknigthmare/deadwall-last-enclosure/blob/f0ef5a2036d4876ae8f4d4477676da968a032d01/codex-3000/addendum-1.58/PROGRAMMES_D.json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https://github.com/darknigthmare/deadwall-last-enclosure/blob/f0ef5a2036d4876ae8f4d4477676da968a032d01/codex-3000/addendum-1.58/PROGRAMMES_D.json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https://github.com/darknigthmare/deadwall-last-enclosure/blob/f0ef5a2036d4876ae8f4d4477676da968a032d01/codex-3000/addendum-1.58/PROGRAMMES_D.json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https://github.com/darknigthmare/deadwall-last-enclosure/blob/f0ef5a2036d4876ae8f4d4477676da968a032d01/codex-3000/addendum-1.58/PROGRAMMES_D.json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https://github.com/darknigthmare/deadwall-last-enclosure/blob/f0ef5a2036d4876ae8f4d4477676da968a032d01/codex-3000/addendum-1.58/PROGRAMMES_D.json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https://github.com/darknigthmare/deadwall-last-enclosure/blob/f0ef5a2036d4876ae8f4d4477676da968a032d01/codex-3000/addendum-1.58/PROGRAMMES_D.json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https://github.com/darknigthmare/deadwall-last-enclosure/blob/f0ef5a2036d4876ae8f4d4477676da968a032d01/codex-3000/addendum-1.58/PROGRAMMES_D.json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https://github.com/darknigthmare/deadwall-last-enclosure/blob/f0ef5a2036d4876ae8f4d4477676da968a032d01/codex-3000/addendum-1.58/PROGRAMMES_D.json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https://github.com/darknigthmare/deadwall-last-enclosure/blob/f0ef5a2036d4876ae8f4d4477676da968a032d01/codex-3000/addendum-1.58/PROGRAMMES_D.json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https://github.com/darknigthmare/deadwall-last-enclosure/blob/f0ef5a2036d4876ae8f4d4477676da968a032d01/codex-3000/addendum-1.58/PROGRAMMES_D.json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https://github.com/darknigthmare/deadwall-last-enclosure/blob/f0ef5a2036d4876ae8f4d4477676da968a032d01/codex-3000/addendum-1.58/PROGRAMMES_D.json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https://github.com/darknigthmare/deadwall-last-enclosure/blob/f0ef5a2036d4876ae8f4d4477676da968a032d01/codex-3000/addendum-1.58/PROGRAMMES_D.json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https://github.com/darknigthmare/deadwall-last-enclosure/blob/f0ef5a2036d4876ae8f4d4477676da968a032d01/codex-3000/addendum-1.58/PROGRAMMES_D.json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https://github.com/darknigthmare/deadwall-last-enclosure/blob/f0ef5a2036d4876ae8f4d4477676da968a032d01/codex-3000/addendum-1.58/PROGRAMMES_D.json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https://github.com/darknigthmare/deadwall-last-enclosure/blob/f0ef5a2036d4876ae8f4d4477676da968a032d01/codex-3000/addendum-1.58/PROGRAMMES_D.json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https://github.com/darknigthmare/deadwall-last-enclosure/blob/f0ef5a2036d4876ae8f4d4477676da968a032d01/codex-3000/addendum-1.58/PROGRAMMES_D.json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https://github.com/darknigthmare/deadwall-last-enclosure/blob/f0ef5a2036d4876ae8f4d4477676da968a032d01/codex-3000/addendum-1.58/PROGRAMMES_D.json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https://github.com/darknigthmare/deadwall-last-enclosure/blob/f0ef5a2036d4876ae8f4d4477676da968a032d01/codex-3000/addendum-1.58/PROGRAMMES_D.json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https://github.com/darknigthmare/deadwall-last-enclosure/blob/f0ef5a2036d4876ae8f4d4477676da968a032d01/codex-3000/addendum-1.58/PROGRAMMES_D.json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https://github.com/darknigthmare/deadwall-last-enclosure/blob/f0ef5a2036d4876ae8f4d4477676da968a032d01/codex-3000/addendum-1.58/PROGRAMMES_D.json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https://github.com/darknigthmare/deadwall-last-enclosure/blob/f0ef5a2036d4876ae8f4d4477676da968a032d01/codex-3000/addendum-1.58/PROGRAMMES_D.json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https://github.com/darknigthmare/deadwall-last-enclosure/blob/f0ef5a2036d4876ae8f4d4477676da968a032d01/codex-3000/addendum-1.58/PROGRAMMES_D.json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https://github.com/darknigthmare/deadwall-last-enclosure/blob/f0ef5a2036d4876ae8f4d4477676da968a032d01/codex-3000/addendum-1.58/PROGRAMMES_D.json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https://github.com/darknigthmare/deadwall-last-enclosure/blob/f0ef5a2036d4876ae8f4d4477676da968a032d01/codex-3000/addendum-1.58/PROGRAMMES_D.json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https://github.com/darknigthmare/deadwall-last-enclosure/blob/f0ef5a2036d4876ae8f4d4477676da968a032d01/codex-3000/addendum-1.58/PROGRAMMES_D.json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https://github.com/darknigthmare/deadwall-last-enclosure/blob/f0ef5a2036d4876ae8f4d4477676da968a032d01/codex-3000/addendum-1.58/PROGRAMMES_D.json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https://github.com/darknigthmare/deadwall-last-enclosure/blob/f0ef5a2036d4876ae8f4d4477676da968a032d01/codex-3000/addendum-1.58/PROGRAMMES_D.json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https://github.com/darknigthmare/deadwall-last-enclosure/blob/f0ef5a2036d4876ae8f4d4477676da968a032d01/codex-3000/addendum-1.58/PROGRAMMES_D.json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https://github.com/darknigthmare/deadwall-last-enclosure/blob/f0ef5a2036d4876ae8f4d4477676da968a032d01/codex-3000/addendum-1.58/PROGRAMMES_D.json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https://github.com/darknigthmare/deadwall-last-enclosure/blob/f0ef5a2036d4876ae8f4d4477676da968a032d01/codex-3000/addendum-1.58/PROGRAMMES_D.json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https://github.com/darknigthmare/deadwall-last-enclosure/blob/f0ef5a2036d4876ae8f4d4477676da968a032d01/codex-3000/addendum-1.58/PROGRAMMES_D.json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https://github.com/darknigthmare/deadwall-last-enclosure/blob/f0ef5a2036d4876ae8f4d4477676da968a032d01/codex-3000/addendum-1.58/PROGRAMMES_D.json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https://github.com/darknigthmare/deadwall-last-enclosure/blob/f0ef5a2036d4876ae8f4d4477676da968a032d01/codex-3000/addendum-1.58/PROGRAMMES_D.json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https://github.com/darknigthmare/deadwall-last-enclosure/blob/f0ef5a2036d4876ae8f4d4477676da968a032d01/codex-3000/addendum-1.58/PROGRAMMES_D.json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https://github.com/darknigthmare/deadwall-last-enclosure/blob/f0ef5a2036d4876ae8f4d4477676da968a032d01/codex-3000/addendum-1.58/PROGRAMMES_D.json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https://github.com/darknigthmare/deadwall-last-enclosure/blob/f0ef5a2036d4876ae8f4d4477676da968a032d01/codex-3000/addendum-1.58/PROGRAMMES_D.json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https://github.com/darknigthmare/deadwall-last-enclosure/blob/f0ef5a2036d4876ae8f4d4477676da968a032d01/codex-3000/addendum-1.58/PROGRAMMES_D.json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https://github.com/darknigthmare/deadwall-last-enclosure/blob/f0ef5a2036d4876ae8f4d4477676da968a032d01/codex-3000/addendum-1.58/PROGRAMMES_D.json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https://github.com/darknigthmare/deadwall-last-enclosure/blob/f0ef5a2036d4876ae8f4d4477676da968a032d01/codex-3000/addendum-1.58/PROGRAMMES_D.json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https://github.com/darknigthmare/deadwall-last-enclosure/blob/f0ef5a2036d4876ae8f4d4477676da968a032d01/codex-3000/addendum-1.58/PROGRAMMES_D.json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https://github.com/darknigthmare/deadwall-last-enclosure/blob/f0ef5a2036d4876ae8f4d4477676da968a032d01/codex-3000/addendum-1.58/PROGRAMMES_D.json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https://github.com/darknigthmare/deadwall-last-enclosure/blob/f0ef5a2036d4876ae8f4d4477676da968a032d01/codex-3000/addendum-1.58/PROGRAMMES_D.json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https://github.com/darknigthmare/deadwall-last-enclosure/blob/f0ef5a2036d4876ae8f4d4477676da968a032d01/codex-3000/addendum-1.58/PROGRAMMES_D.json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https://github.com/darknigthmare/deadwall-last-enclosure/blob/f0ef5a2036d4876ae8f4d4477676da968a032d01/codex-3000/addendum-1.58/PROGRAMMES_D.json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https://github.com/darknigthmare/deadwall-last-enclosure/blob/f0ef5a2036d4876ae8f4d4477676da968a032d01/codex-3000/addendum-1.58/PROGRAMMES_D.json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https://github.com/darknigthmare/deadwall-last-enclosure/blob/f0ef5a2036d4876ae8f4d4477676da968a032d01/codex-3000/addendum-1.58/PROGRAMMES_D.json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https://github.com/darknigthmare/deadwall-last-enclosure/blob/f0ef5a2036d4876ae8f4d4477676da968a032d01/codex-3000/addendum-1.58/PROGRAMMES_D.json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https://github.com/darknigthmare/deadwall-last-enclosure/blob/f0ef5a2036d4876ae8f4d4477676da968a032d01/codex-3000/addendum-1.58/PROGRAMMES_D.json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https://github.com/darknigthmare/deadwall-last-enclosure/blob/f0ef5a2036d4876ae8f4d4477676da968a032d01/codex-3000/addendum-1.58/PROGRAMMES_D.json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https://github.com/darknigthmare/deadwall-last-enclosure/blob/f0ef5a2036d4876ae8f4d4477676da968a032d01/codex-3000/addendum-1.58/PROGRAMMES_D.json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https://github.com/darknigthmare/deadwall-last-enclosure/blob/f0ef5a2036d4876ae8f4d4477676da968a032d01/codex-3000/addendum-1.58/PROGRAMMES_D.json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https://github.com/darknigthmare/deadwall-last-enclosure/blob/f0ef5a2036d4876ae8f4d4477676da968a032d01/codex-3000/addendum-1.58/PROGRAMMES_D.json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https://github.com/darknigthmare/deadwall-last-enclosure/blob/f0ef5a2036d4876ae8f4d4477676da968a032d01/codex-3000/addendum-1.58/PROGRAMMES_D.json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https://github.com/darknigthmare/deadwall-last-enclosure/blob/f0ef5a2036d4876ae8f4d4477676da968a032d01/codex-3000/addendum-1.58/PROGRAMMES_D.json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https://github.com/darknigthmare/deadwall-last-enclosure/blob/f0ef5a2036d4876ae8f4d4477676da968a032d01/codex-3000/addendum-1.58/PROGRAMMES_D.json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https://github.com/darknigthmare/deadwall-last-enclosure/blob/f0ef5a2036d4876ae8f4d4477676da968a032d01/codex-3000/addendum-1.58/PROGRAMMES_D.json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https://github.com/darknigthmare/deadwall-last-enclosure/blob/f0ef5a2036d4876ae8f4d4477676da968a032d01/codex-3000/addendum-1.58/PROGRAMMES_D.json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https://github.com/darknigthmare/deadwall-last-enclosure/blob/f0ef5a2036d4876ae8f4d4477676da968a032d01/codex-3000/addendum-1.58/PROGRAMMES_D.json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https://github.com/darknigthmare/deadwall-last-enclosure/blob/f0ef5a2036d4876ae8f4d4477676da968a032d01/codex-3000/addendum-1.58/PROGRAMMES_D.json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https://github.com/darknigthmare/deadwall-last-enclosure/blob/f0ef5a2036d4876ae8f4d4477676da968a032d01/codex-3000/addendum-1.58/PROGRAMMES_D.json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https://github.com/darknigthmare/deadwall-last-enclosure/blob/f0ef5a2036d4876ae8f4d4477676da968a032d01/codex-3000/addendum-1.58/PROGRAMMES_D.json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https://github.com/darknigthmare/deadwall-last-enclosure/blob/f0ef5a2036d4876ae8f4d4477676da968a032d01/codex-3000/addendum-1.58/PROGRAMMES_D.json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https://github.com/darknigthmare/deadwall-last-enclosure/blob/f0ef5a2036d4876ae8f4d4477676da968a032d01/codex-3000/addendum-1.58/PROGRAMMES_D.json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https://github.com/darknigthmare/deadwall-last-enclosure/blob/f0ef5a2036d4876ae8f4d4477676da968a032d01/codex-3000/addendum-1.58/PROGRAMMES_D.json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https://github.com/darknigthmare/deadwall-last-enclosure/blob/f0ef5a2036d4876ae8f4d4477676da968a032d01/codex-3000/addendum-1.58/PROGRAMMES_D.json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https://github.com/darknigthmare/deadwall-last-enclosure/blob/f0ef5a2036d4876ae8f4d4477676da968a032d01/codex-3000/addendum-1.58/PROGRAMMES_D.json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https://github.com/darknigthmare/deadwall-last-enclosure/blob/f0ef5a2036d4876ae8f4d4477676da968a032d01/codex-3000/addendum-1.58/PROGRAMMES_D.json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https://github.com/darknigthmare/deadwall-last-enclosure/blob/f0ef5a2036d4876ae8f4d4477676da968a032d01/codex-3000/addendum-1.58/PROGRAMMES_D.json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https://github.com/darknigthmare/deadwall-last-enclosure/blob/f0ef5a2036d4876ae8f4d4477676da968a032d01/codex-3000/addendum-1.58/PROGRAMMES_D.json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https://github.com/darknigthmare/deadwall-last-enclosure/blob/f0ef5a2036d4876ae8f4d4477676da968a032d01/codex-3000/addendum-1.58/PROGRAMMES_D.json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https://github.com/darknigthmare/deadwall-last-enclosure/blob/f0ef5a2036d4876ae8f4d4477676da968a032d01/codex-3000/addendum-1.58/PROGRAMMES_D.json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https://github.com/darknigthmare/deadwall-last-enclosure/blob/f0ef5a2036d4876ae8f4d4477676da968a032d01/codex-3000/addendum-1.58/PROGRAMMES_D.json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https://github.com/darknigthmare/deadwall-last-enclosure/blob/f0ef5a2036d4876ae8f4d4477676da968a032d01/codex-3000/addendum-1.58/PROGRAMMES_D.json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https://github.com/darknigthmare/deadwall-last-enclosure/blob/f0ef5a2036d4876ae8f4d4477676da968a032d01/codex-3000/addendum-1.58/PROGRAMMES_D.json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https://github.com/darknigthmare/deadwall-last-enclosure/blob/f0ef5a2036d4876ae8f4d4477676da968a032d01/codex-3000/addendum-1.58/PROGRAMMES_D.json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https://github.com/darknigthmare/deadwall-last-enclosure/blob/f0ef5a2036d4876ae8f4d4477676da968a032d01/codex-3000/addendum-1.58/PROGRAMMES_D.json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https://github.com/darknigthmare/deadwall-last-enclosure/blob/f0ef5a2036d4876ae8f4d4477676da968a032d01/codex-3000/addendum-1.58/PROGRAMMES_D.json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https://github.com/darknigthmare/deadwall-last-enclosure/blob/f0ef5a2036d4876ae8f4d4477676da968a032d01/codex-3000/addendum-1.58/PROGRAMMES_D.json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https://github.com/darknigthmare/deadwall-last-enclosure/blob/f0ef5a2036d4876ae8f4d4477676da968a032d01/codex-3000/addendum-1.58/PROGRAMMES_D.json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https://github.com/darknigthmare/deadwall-last-enclosure/blob/f0ef5a2036d4876ae8f4d4477676da968a032d01/codex-3000/addendum-1.58/PROGRAMMES_D.json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https://github.com/darknigthmare/deadwall-last-enclosure/blob/f0ef5a2036d4876ae8f4d4477676da968a032d01/codex-3000/addendum-1.58/PROGRAMMES_D.json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https://github.com/darknigthmare/deadwall-last-enclosure/blob/f0ef5a2036d4876ae8f4d4477676da968a032d01/codex-3000/addendum-1.58/PROGRAMMES_D.json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https://github.com/darknigthmare/deadwall-last-enclosure/blob/f0ef5a2036d4876ae8f4d4477676da968a032d01/codex-3000/addendum-1.58/PROGRAMMES_D.json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https://github.com/darknigthmare/deadwall-last-enclosure/blob/f0ef5a2036d4876ae8f4d4477676da968a032d01/codex-3000/addendum-1.58/PROGRAMMES_D.json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https://github.com/darknigthmare/deadwall-last-enclosure/blob/f0ef5a2036d4876ae8f4d4477676da968a032d01/codex-3000/addendum-1.58/PROGRAMMES_D.json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https://github.com/darknigthmare/deadwall-last-enclosure/blob/f0ef5a2036d4876ae8f4d4477676da968a032d01/codex-3000/addendum-1.58/PROGRAMMES_D.json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https://github.com/darknigthmare/deadwall-last-enclosure/blob/f0ef5a2036d4876ae8f4d4477676da968a032d01/codex-3000/addendum-1.58/PROGRAMMES_D.json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https://github.com/darknigthmare/deadwall-last-enclosure/blob/f0ef5a2036d4876ae8f4d4477676da968a032d01/codex-3000/addendum-1.58/PROGRAMMES_D.json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https://github.com/darknigthmare/deadwall-last-enclosure/blob/f0ef5a2036d4876ae8f4d4477676da968a032d01/codex-3000/addendum-1.58/PROGRAMMES_D.json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https://github.com/darknigthmare/deadwall-last-enclosure/blob/f0ef5a2036d4876ae8f4d4477676da968a032d01/codex-3000/addendum-1.58/PROGRAMMES_D.json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https://github.com/darknigthmare/deadwall-last-enclosure/blob/f0ef5a2036d4876ae8f4d4477676da968a032d01/codex-3000/addendum-1.58/PROGRAMMES_D.json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https://github.com/darknigthmare/deadwall-last-enclosure/blob/f0ef5a2036d4876ae8f4d4477676da968a032d01/codex-3000/addendum-1.58/PROGRAMMES_D.json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https://github.com/darknigthmare/deadwall-last-enclosure/blob/f0ef5a2036d4876ae8f4d4477676da968a032d01/codex-3000/addendum-1.58/PROGRAMMES_D.json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https://github.com/darknigthmare/deadwall-last-enclosure/blob/f0ef5a2036d4876ae8f4d4477676da968a032d01/codex-3000/addendum-1.58/PROGRAMMES_D.json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https://github.com/darknigthmare/deadwall-last-enclosure/blob/f0ef5a2036d4876ae8f4d4477676da968a032d01/codex-3000/addendum-1.58/PROGRAMMES_D.json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https://github.com/darknigthmare/deadwall-last-enclosure/blob/f0ef5a2036d4876ae8f4d4477676da968a032d01/codex-3000/addendum-1.58/PROGRAMMES_D.json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https://github.com/darknigthmare/deadwall-last-enclosure/blob/f0ef5a2036d4876ae8f4d4477676da968a032d01/codex-3000/addendum-1.58/PROGRAMMES_D.json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https://github.com/darknigthmare/deadwall-last-enclosure/blob/f0ef5a2036d4876ae8f4d4477676da968a032d01/codex-3000/addendum-1.58/PROGRAMMES_D.json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https://github.com/darknigthmare/deadwall-last-enclosure/blob/f0ef5a2036d4876ae8f4d4477676da968a032d01/codex-3000/addendum-1.58/PROGRAMMES_D.json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https://github.com/darknigthmare/deadwall-last-enclosure/blob/f0ef5a2036d4876ae8f4d4477676da968a032d01/codex-3000/addendum-1.58/PROGRAMMES_D.json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https://github.com/darknigthmare/deadwall-last-enclosure/blob/f0ef5a2036d4876ae8f4d4477676da968a032d01/codex-3000/addendum-1.58/PROGRAMMES_D.json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https://github.com/darknigthmare/deadwall-last-enclosure/blob/f0ef5a2036d4876ae8f4d4477676da968a032d01/codex-3000/addendum-1.58/PROGRAMMES_D.json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https://github.com/darknigthmare/deadwall-last-enclosure/blob/f0ef5a2036d4876ae8f4d4477676da968a032d01/codex-3000/addendum-1.58/PROGRAMMES_D.json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https://github.com/darknigthmare/deadwall-last-enclosure/blob/f0ef5a2036d4876ae8f4d4477676da968a032d01/codex-3000/addendum-1.58/PROGRAMMES_D.json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https://github.com/darknigthmare/deadwall-last-enclosure/blob/f0ef5a2036d4876ae8f4d4477676da968a032d01/codex-3000/addendum-1.58/PROGRAMMES_D.json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https://github.com/darknigthmare/deadwall-last-enclosure/blob/f0ef5a2036d4876ae8f4d4477676da968a032d01/codex-3000/addendum-1.58/PROGRAMMES_D.json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https://github.com/darknigthmare/deadwall-last-enclosure/blob/f0ef5a2036d4876ae8f4d4477676da968a032d01/codex-3000/addendum-1.58/PROGRAMMES_D.json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https://github.com/darknigthmare/deadwall-last-enclosure/blob/f0ef5a2036d4876ae8f4d4477676da968a032d01/codex-3000/addendum-1.58/PROGRAMMES_D.json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https://github.com/darknigthmare/deadwall-last-enclosure/blob/f0ef5a2036d4876ae8f4d4477676da968a032d01/codex-3000/addendum-1.58/PROGRAMMES_D.json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https://github.com/darknigthmare/deadwall-last-enclosure/blob/f0ef5a2036d4876ae8f4d4477676da968a032d01/codex-3000/addendum-1.58/PROGRAMMES_D.json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https://github.com/darknigthmare/deadwall-last-enclosure/blob/f0ef5a2036d4876ae8f4d4477676da968a032d01/codex-3000/addendum-1.58/PROGRAMMES_D.json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https://github.com/darknigthmare/deadwall-last-enclosure/blob/f0ef5a2036d4876ae8f4d4477676da968a032d01/codex-3000/addendum-1.58/PROGRAMMES_D.json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https://github.com/darknigthmare/deadwall-last-enclosure/blob/f0ef5a2036d4876ae8f4d4477676da968a032d01/codex-3000/addendum-1.58/PROGRAMMES_D.json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https://github.com/darknigthmare/deadwall-last-enclosure/blob/f0ef5a2036d4876ae8f4d4477676da968a032d01/codex-3000/addendum-1.58/PROGRAMMES_D.json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https://github.com/darknigthmare/deadwall-last-enclosure/blob/f0ef5a2036d4876ae8f4d4477676da968a032d01/codex-3000/addendum-1.58/PROGRAMMES_D.json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https://github.com/darknigthmare/deadwall-last-enclosure/blob/f0ef5a2036d4876ae8f4d4477676da968a032d01/codex-3000/addendum-1.58/PROGRAMMES_D.json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https://github.com/darknigthmare/deadwall-last-enclosure/blob/f0ef5a2036d4876ae8f4d4477676da968a032d01/codex-3000/addendum-1.58/PROGRAMMES_D.json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https://github.com/darknigthmare/deadwall-last-enclosure/blob/f0ef5a2036d4876ae8f4d4477676da968a032d01/codex-3000/addendum-1.58/PROGRAMMES_D.json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https://github.com/darknigthmare/deadwall-last-enclosure/blob/f0ef5a2036d4876ae8f4d4477676da968a032d01/codex-3000/addendum-1.58/PROGRAMMES_D.json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https://github.com/darknigthmare/deadwall-last-enclosure/blob/f0ef5a2036d4876ae8f4d4477676da968a032d01/codex-3000/addendum-1.58/PROGRAMMES_D.json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https://github.com/darknigthmare/deadwall-last-enclosure/blob/f0ef5a2036d4876ae8f4d4477676da968a032d01/codex-3000/addendum-1.58/PROGRAMMES_D.json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https://github.com/darknigthmare/deadwall-last-enclosure/blob/f0ef5a2036d4876ae8f4d4477676da968a032d01/codex-3000/addendum-1.58/PROGRAMMES_D.json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https://github.com/darknigthmare/deadwall-last-enclosure/blob/f0ef5a2036d4876ae8f4d4477676da968a032d01/codex-3000/addendum-1.58/PROGRAMMES_D.json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https://github.com/darknigthmare/deadwall-last-enclosure/blob/f0ef5a2036d4876ae8f4d4477676da968a032d01/codex-3000/addendum-1.58/PROGRAMMES_D.json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https://github.com/darknigthmare/deadwall-last-enclosure/blob/f0ef5a2036d4876ae8f4d4477676da968a032d01/codex-3000/addendum-1.58/PROGRAMMES_D.json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https://github.com/darknigthmare/deadwall-last-enclosure/blob/f0ef5a2036d4876ae8f4d4477676da968a032d01/codex-3000/addendum-1.58/PROGRAMMES_D.json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https://github.com/darknigthmare/deadwall-last-enclosure/blob/f0ef5a2036d4876ae8f4d4477676da968a032d01/codex-3000/addendum-1.58/PROGRAMMES_D.json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https://github.com/darknigthmare/deadwall-last-enclosure/blob/f0ef5a2036d4876ae8f4d4477676da968a032d01/codex-3000/addendum-1.58/PROGRAMMES_D.json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https://github.com/darknigthmare/deadwall-last-enclosure/blob/f0ef5a2036d4876ae8f4d4477676da968a032d01/codex-3000/addendum-1.58/PROGRAMMES_D.json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https://github.com/darknigthmare/deadwall-last-enclosure/blob/f0ef5a2036d4876ae8f4d4477676da968a032d01/codex-3000/addendum-1.58/PROGRAMMES_D.json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https://github.com/darknigthmare/deadwall-last-enclosure/blob/f0ef5a2036d4876ae8f4d4477676da968a032d01/codex-3000/addendum-1.58/PROGRAMMES_D.json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https://github.com/darknigthmare/deadwall-last-enclosure/blob/f0ef5a2036d4876ae8f4d4477676da968a032d01/codex-3000/addendum-1.58/PROGRAMMES_D.json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https://github.com/darknigthmare/deadwall-last-enclosure/blob/f0ef5a2036d4876ae8f4d4477676da968a032d01/codex-3000/addendum-1.58/PROGRAMMES_D.json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https://github.com/darknigthmare/deadwall-last-enclosure/blob/f0ef5a2036d4876ae8f4d4477676da968a032d01/codex-3000/addendum-1.58/PROGRAMMES_D.json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https://github.com/darknigthmare/deadwall-last-enclosure/blob/f0ef5a2036d4876ae8f4d4477676da968a032d01/codex-3000/addendum-1.58/PROGRAMMES_D.json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https://github.com/darknigthmare/deadwall-last-enclosure/blob/f0ef5a2036d4876ae8f4d4477676da968a032d01/codex-3000/addendum-1.58/PROGRAMMES_D.json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https://github.com/darknigthmare/deadwall-last-enclosure/blob/f0ef5a2036d4876ae8f4d4477676da968a032d01/codex-3000/addendum-1.58/PROGRAMMES_D.json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https://github.com/darknigthmare/deadwall-last-enclosure/blob/f0ef5a2036d4876ae8f4d4477676da968a032d01/codex-3000/addendum-1.58/PROGRAMMES_D.json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https://github.com/darknigthmare/deadwall-last-enclosure/blob/f0ef5a2036d4876ae8f4d4477676da968a032d01/codex-3000/addendum-1.58/PROGRAMMES_D.json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https://github.com/darknigthmare/deadwall-last-enclosure/blob/f0ef5a2036d4876ae8f4d4477676da968a032d01/codex-3000/addendum-1.58/PROGRAMMES_D.json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https://github.com/darknigthmare/deadwall-last-enclosure/blob/f0ef5a2036d4876ae8f4d4477676da968a032d01/codex-3000/addendum-1.58/PROGRAMMES_D.json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https://github.com/darknigthmare/deadwall-last-enclosure/blob/f0ef5a2036d4876ae8f4d4477676da968a032d01/codex-3000/addendum-1.58/PROGRAMMES_D.json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https://github.com/darknigthmare/deadwall-last-enclosure/blob/f0ef5a2036d4876ae8f4d4477676da968a032d01/codex-3000/addendum-1.58/PROGRAMMES_D.json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https://github.com/darknigthmare/deadwall-last-enclosure/blob/f0ef5a2036d4876ae8f4d4477676da968a032d01/codex-3000/addendum-1.58/PROGRAMMES_D.json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https://github.com/darknigthmare/deadwall-last-enclosure/blob/f0ef5a2036d4876ae8f4d4477676da968a032d01/codex-3000/addendum-1.58/PROGRAMMES_D.json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https://github.com/darknigthmare/deadwall-last-enclosure/blob/f0ef5a2036d4876ae8f4d4477676da968a032d01/codex-3000/addendum-1.58/PROGRAMMES_D.json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https://github.com/darknigthmare/deadwall-last-enclosure/blob/f0ef5a2036d4876ae8f4d4477676da968a032d01/codex-3000/addendum-1.58/PROGRAMMES_D.json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https://github.com/darknigthmare/deadwall-last-enclosure/blob/f0ef5a2036d4876ae8f4d4477676da968a032d01/codex-3000/addendum-1.58/PROGRAMMES_D.json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https://github.com/darknigthmare/deadwall-last-enclosure/blob/f0ef5a2036d4876ae8f4d4477676da968a032d01/codex-3000/addendum-1.58/PROGRAMMES_D.json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https://github.com/darknigthmare/deadwall-last-enclosure/blob/f0ef5a2036d4876ae8f4d4477676da968a032d01/codex-3000/addendum-1.58/PROGRAMMES_D.json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https://github.com/darknigthmare/deadwall-last-enclosure/blob/f0ef5a2036d4876ae8f4d4477676da968a032d01/codex-3000/addendum-1.58/PROGRAMMES_D.json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https://github.com/darknigthmare/deadwall-last-enclosure/blob/f0ef5a2036d4876ae8f4d4477676da968a032d01/codex-3000/addendum-1.58/PROGRAMMES_D.json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https://github.com/darknigthmare/deadwall-last-enclosure/blob/f0ef5a2036d4876ae8f4d4477676da968a032d01/codex-3000/addendum-1.58/PROGRAMMES_D.json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https://github.com/darknigthmare/deadwall-last-enclosure/blob/f0ef5a2036d4876ae8f4d4477676da968a032d01/codex-3000/addendum-1.58/PROGRAMMES_D.json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https://github.com/darknigthmare/deadwall-last-enclosure/blob/f0ef5a2036d4876ae8f4d4477676da968a032d01/codex-3000/addendum-1.58/PROGRAMMES_D.json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https://github.com/darknigthmare/deadwall-last-enclosure/blob/f0ef5a2036d4876ae8f4d4477676da968a032d01/codex-3000/addendum-1.58/PROGRAMMES_D.json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https://github.com/darknigthmare/deadwall-last-enclosure/blob/f0ef5a2036d4876ae8f4d4477676da968a032d01/codex-3000/addendum-1.58/PROGRAMMES_D.json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https://github.com/darknigthmare/deadwall-last-enclosure/blob/f0ef5a2036d4876ae8f4d4477676da968a032d01/codex-3000/addendum-1.58/PROGRAMMES_D.json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https://github.com/darknigthmare/deadwall-last-enclosure/blob/f0ef5a2036d4876ae8f4d4477676da968a032d01/codex-3000/addendum-1.58/PROGRAMMES_D.json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https://github.com/darknigthmare/deadwall-last-enclosure/blob/f0ef5a2036d4876ae8f4d4477676da968a032d01/codex-3000/addendum-1.58/PROGRAMMES_D.json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https://github.com/darknigthmare/deadwall-last-enclosure/blob/f0ef5a2036d4876ae8f4d4477676da968a032d01/codex-3000/addendum-1.58/PROGRAMMES_D.json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https://github.com/darknigthmare/deadwall-last-enclosure/blob/f0ef5a2036d4876ae8f4d4477676da968a032d01/codex-3000/addendum-1.58/PROGRAMMES_D.json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https://github.com/darknigthmare/deadwall-last-enclosure/blob/f0ef5a2036d4876ae8f4d4477676da968a032d01/codex-3000/addendum-1.58/PROGRAMMES_D.json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7b0c08de5785447a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96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Inspection physique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Emprise 242–298 × 200–264 m ; hauteur 5,4–6 m ; choix de composition auteur ; dimensions réelles à documenter.</x:v>
      </x:c>
      <x:c r="J6" s="16" t="str">
        <x:v>https://github.com/darknigthmare/deadwall-last-enclosure/blob/f0ef5a2036d4876ae8f4d4477676da968a032d01/docs/codex/suivi-monde2026/LACUSTRE_2026.md</x:v>
      </x:c>
      <x:c r="K6" s="16" t="str">
        <x:v>50 plans inspectables dans le Guide auteur ; géométrie partielle et campagne encore ouvertes.</x:v>
      </x:c>
      <x:c r="L6" s="16" t="n">
        <x:f>COUNTIF('Variantes à concevoir'!$B$6:$B$4005,A6)</x:f>
        <x:v>50</x:v>
      </x:c>
    </x:row>
    <x:row r="7" ht="96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Inspection physique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Emprise 242–298 × 200–264 m ; hauteur 4,6–5,2 m ; choix de composition auteur ; dimensions réelles à documenter.</x:v>
      </x:c>
      <x:c r="J7" s="16" t="str">
        <x:v>https://github.com/darknigthmare/deadwall-last-enclosure/blob/f0ef5a2036d4876ae8f4d4477676da968a032d01/docs/codex/suivi-monde2026/LACUSTRE_2026.md</x:v>
      </x:c>
      <x:c r="K7" s="16" t="str">
        <x:v>50 plans inspectables dans le Guide auteur ; géométrie partielle et campagne encore ouvertes.</x:v>
      </x:c>
      <x:c r="L7" s="16" t="n">
        <x:f>COUNTIF('Variantes à concevoir'!$B$6:$B$4005,A7)</x:f>
        <x:v>50</x:v>
      </x:c>
    </x:row>
    <x:row r="8" ht="96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Inspection physique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Emprise 242–298 × 200–264 m ; hauteur 4,2–4,8 m ; choix de composition auteur ; dimensions réelles à documenter.</x:v>
      </x:c>
      <x:c r="J8" s="16" t="str">
        <x:v>https://github.com/darknigthmare/deadwall-last-enclosure/blob/f0ef5a2036d4876ae8f4d4477676da968a032d01/docs/codex/suivi-monde2026/LACUSTRE_2026.md</x:v>
      </x:c>
      <x:c r="K8" s="16" t="str">
        <x:v>50 plans inspectables dans le Guide auteur ; géométrie partielle et campagne encore ouvertes.</x:v>
      </x:c>
      <x:c r="L8" s="16" t="n">
        <x:f>COUNTIF('Variantes à concevoir'!$B$6:$B$4005,A8)</x:f>
        <x:v>50</x:v>
      </x:c>
    </x:row>
    <x:row r="9" ht="96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Inspection physique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Emprise 242–298 × 200–264 m ; hauteur 3,8–4,4 m ; choix de composition auteur ; dimensions réelles à documenter.</x:v>
      </x:c>
      <x:c r="J9" s="16" t="str">
        <x:v>https://github.com/darknigthmare/deadwall-last-enclosure/blob/f0ef5a2036d4876ae8f4d4477676da968a032d01/docs/codex/suivi-monde2026/LACUSTRE_2026.md</x:v>
      </x:c>
      <x:c r="K9" s="16" t="str">
        <x:v>50 plans inspectables dans le Guide auteur ; géométrie partielle et campagne encore ouvertes.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86,6 ; l 15,2 ; hauteur inconnue ; tirant 6,55 m ; longueur/largeur/tirant sourcés ; hauteur totale réelle inconnue</x:v>
      </x:c>
      <x:c r="J10" s="16" t="str">
        <x:v>https://github.com/darknigthmare/deadwall-last-enclosure/blob/f0ef5a2036d4876ae8f4d4477676da968a032d01/docs/codex/suivi-monde2026/references-metriques2026.json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183,06 ; l 32,2 ; hauteur inconnue ; tirant 13,258 m ; longueur/largeur/tirant sourcés ; hauteur totale réelle inconnue</x:v>
      </x:c>
      <x:c r="J11" s="16" t="str">
        <x:v>https://github.com/darknigthmare/deadwall-last-enclosure/blob/f0ef5a2036d4876ae8f4d4477676da968a032d01/docs/codex/suivi-monde2026/references-metriques2026.json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185,928 ; l 20,117 ; hauteur inconnue ; tirant 7,62 m ; longueur/largeur/tirant sourcés ; hauteur totale réelle inconnue</x:v>
      </x:c>
      <x:c r="J12" s="16" t="str">
        <x:v>https://github.com/darknigthmare/deadwall-last-enclosure/blob/f0ef5a2036d4876ae8f4d4477676da968a032d01/docs/codex/suivi-monde2026/references-metriques2026.json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94,996 ; l 8,306 ; hauteur inconnue ; tirant 4,699 m ; longueur/largeur/tirant sourcés ; hauteur totale réelle inconnue</x:v>
      </x:c>
      <x:c r="J13" s="16" t="str">
        <x:v>https://github.com/darknigthmare/deadwall-last-enclosure/blob/f0ef5a2036d4876ae8f4d4477676da968a032d01/docs/codex/suivi-monde2026/references-metriques2026.json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96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Inspection physique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Emprise 356–412 × 296–344 m ; hauteur 52–52 m ; choix de composition auteur ; dimensions réelles à documenter.</x:v>
      </x:c>
      <x:c r="J14" s="16" t="str">
        <x:v>https://github.com/darknigthmare/deadwall-last-enclosure/blob/f0ef5a2036d4876ae8f4d4477676da968a032d01/docs/codex/suivi-monde2026/PORTS_ILES_2026.md</x:v>
      </x:c>
      <x:c r="K14" s="16" t="str">
        <x:v>50 plans inspectables dans le Guide auteur ; géométrie partielle et campagne encore ouvertes.</x:v>
      </x:c>
      <x:c r="L14" s="16" t="n">
        <x:f>COUNTIF('Variantes à concevoir'!$B$6:$B$4005,A14)</x:f>
        <x:v>50</x:v>
      </x:c>
    </x:row>
    <x:row r="15" ht="96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Inspection physique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Emprise 376–432 × 316–364 m ; hauteur 12–12 m ; choix de composition auteur ; dimensions réelles à documenter.</x:v>
      </x:c>
      <x:c r="J15" s="16" t="str">
        <x:v>https://github.com/darknigthmare/deadwall-last-enclosure/blob/f0ef5a2036d4876ae8f4d4477676da968a032d01/docs/codex/suivi-monde2026/PORTS_ILES_2026.md</x:v>
      </x:c>
      <x:c r="K15" s="16" t="str">
        <x:v>50 plans inspectables dans le Guide auteur ; géométrie partielle et campagne encore ouvertes.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16,2 ; hauteur inconnue ; tirant 6,15 m ; longueur/largeur/tirant sourcés ; hauteur totale réelle inconnue</x:v>
      </x:c>
      <x:c r="J16" s="16" t="str">
        <x:v>https://github.com/darknigthmare/deadwall-last-enclosure/blob/f0ef5a2036d4876ae8f4d4477676da968a032d01/docs/codex/suivi-monde2026/references-metriques2026.json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96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Inspection physique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Emprise 356–412 × 296–344 m ; hauteur 26–26 m ; choix de composition auteur ; dimensions réelles à documenter.</x:v>
      </x:c>
      <x:c r="J17" s="16" t="str">
        <x:v>https://github.com/darknigthmare/deadwall-last-enclosure/blob/f0ef5a2036d4876ae8f4d4477676da968a032d01/docs/codex/suivi-monde2026/PORTS_ILES_2026.md</x:v>
      </x:c>
      <x:c r="K17" s="16" t="str">
        <x:v>50 plans inspectables dans le Guide auteur ; géométrie partielle et campagne encore ouvertes.</x:v>
      </x:c>
      <x:c r="L17" s="16" t="n">
        <x:f>COUNTIF('Variantes à concevoir'!$B$6:$B$4005,A17)</x:f>
        <x:v>50</x:v>
      </x:c>
    </x:row>
    <x:row r="18" ht="96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Inspection physique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Emprise 344–400 × 444–492 m ; hauteur 10–10 m ; choix de composition auteur ; dimensions réelles à documenter.</x:v>
      </x:c>
      <x:c r="J18" s="16" t="str">
        <x:v>https://github.com/darknigthmare/deadwall-last-enclosure/blob/f0ef5a2036d4876ae8f4d4477676da968a032d01/docs/codex/suivi-monde2026/PORTS_ILES_2026.md</x:v>
      </x:c>
      <x:c r="K18" s="16" t="str">
        <x:v>50 plans inspectables dans le Guide auteur ; géométrie partielle et campagne encore ouvertes.</x:v>
      </x:c>
      <x:c r="L18" s="16" t="n">
        <x:f>COUNTIF('Variantes à concevoir'!$B$6:$B$4005,A18)</x:f>
        <x:v>50</x:v>
      </x:c>
    </x:row>
    <x:row r="19" ht="96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Inspection physique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Emprise 324–380 × 424–472 m ; hauteur 10–10 m ; choix de composition auteur ; dimensions réelles à documenter.</x:v>
      </x:c>
      <x:c r="J19" s="16" t="str">
        <x:v>https://github.com/darknigthmare/deadwall-last-enclosure/blob/f0ef5a2036d4876ae8f4d4477676da968a032d01/docs/codex/suivi-monde2026/PORTS_ILES_2026.md</x:v>
      </x:c>
      <x:c r="K19" s="16" t="str">
        <x:v>50 plans inspectables dans le Guide auteur ; géométrie partielle et campagne encore ouvertes.</x:v>
      </x:c>
      <x:c r="L19" s="16" t="n">
        <x:f>COUNTIF('Variantes à concevoir'!$B$6:$B$4005,A19)</x:f>
        <x:v>50</x:v>
      </x:c>
    </x:row>
    <x:row r="20" ht="96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Inspection physique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Emprise 424–480 × 564–612 m ; hauteur 36–36 m ; choix de composition auteur ; dimensions réelles à documenter.</x:v>
      </x:c>
      <x:c r="J20" s="16" t="str">
        <x:v>https://github.com/darknigthmare/deadwall-last-enclosure/blob/f0ef5a2036d4876ae8f4d4477676da968a032d01/docs/codex/suivi-monde2026/PORTS_ILES_2026.md</x:v>
      </x:c>
      <x:c r="K20" s="16" t="str">
        <x:v>50 plans inspectables dans le Guide auteur ; géométrie partielle et campagne encore ouvertes.</x:v>
      </x:c>
      <x:c r="L20" s="16" t="n">
        <x:f>COUNTIF('Variantes à concevoir'!$B$6:$B$4005,A20)</x:f>
        <x:v>50</x:v>
      </x:c>
    </x:row>
    <x:row r="21" ht="96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Inspection physique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Emprise 364–420 × 484–532 m ; hauteur 5–5 m ; choix de composition auteur ; dimensions réelles à documenter.</x:v>
      </x:c>
      <x:c r="J21" s="16" t="str">
        <x:v>https://github.com/darknigthmare/deadwall-last-enclosure/blob/f0ef5a2036d4876ae8f4d4477676da968a032d01/docs/codex/suivi-monde2026/PORTS_ILES_2026.md</x:v>
      </x:c>
      <x:c r="K21" s="16" t="str">
        <x:v>50 plans inspectables dans le Guide auteur ; géométrie partielle et campagne encore ouvertes.</x:v>
      </x:c>
      <x:c r="L21" s="16" t="n">
        <x:f>COUNTIF('Variantes à concevoir'!$B$6:$B$4005,A21)</x:f>
        <x:v>50</x:v>
      </x:c>
    </x:row>
    <x:row r="22" ht="96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Inspection physique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Emprise 270–342 × 230–294 m ; hauteur 28–36 m ; choix de composition auteur ; dimensions réelles à documenter.</x:v>
      </x:c>
      <x:c r="J22" s="16" t="str">
        <x:v>https://github.com/darknigthmare/deadwall-last-enclosure/blob/f0ef5a2036d4876ae8f4d4477676da968a032d01/docs/codex/suivi-monde2026/LITTORAL_2026.md</x:v>
      </x:c>
      <x:c r="K22" s="16" t="str">
        <x:v>50 plans inspectables dans le Guide auteur ; géométrie partielle et campagne encore ouvertes.</x:v>
      </x:c>
      <x:c r="L22" s="16" t="n">
        <x:f>COUNTIF('Variantes à concevoir'!$B$6:$B$4005,A22)</x:f>
        <x:v>50</x:v>
      </x:c>
    </x:row>
    <x:row r="23" ht="96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Inspection physique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Emprise 270–342 × 230–294 m ; hauteur 24–24 m ; choix de composition auteur ; dimensions réelles à documenter.</x:v>
      </x:c>
      <x:c r="J23" s="16" t="str">
        <x:v>https://github.com/darknigthmare/deadwall-last-enclosure/blob/f0ef5a2036d4876ae8f4d4477676da968a032d01/docs/codex/suivi-monde2026/LITTORAL_2026.md</x:v>
      </x:c>
      <x:c r="K23" s="16" t="str">
        <x:v>50 plans inspectables dans le Guide auteur ; géométrie partielle et campagne encore ouvertes.</x:v>
      </x:c>
      <x:c r="L23" s="16" t="n">
        <x:f>COUNTIF('Variantes à concevoir'!$B$6:$B$4005,A23)</x:f>
        <x:v>50</x:v>
      </x:c>
    </x:row>
    <x:row r="24" ht="96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Inspection physique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Emprise 270–342 × 230–294 m ; hauteur 18–18 m ; choix de composition auteur ; dimensions réelles à documenter.</x:v>
      </x:c>
      <x:c r="J24" s="16" t="str">
        <x:v>https://github.com/darknigthmare/deadwall-last-enclosure/blob/f0ef5a2036d4876ae8f4d4477676da968a032d01/docs/codex/suivi-monde2026/LITTORAL_2026.md</x:v>
      </x:c>
      <x:c r="K24" s="16" t="str">
        <x:v>50 plans inspectables dans le Guide auteur ; géométrie partielle et campagne encore ouvertes.</x:v>
      </x:c>
      <x:c r="L24" s="16" t="n">
        <x:f>COUNTIF('Variantes à concevoir'!$B$6:$B$4005,A24)</x:f>
        <x:v>50</x:v>
      </x:c>
    </x:row>
    <x:row r="25" ht="96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Inspection physique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Emprise 270–342 × 230–294 m ; hauteur 4,4–4,4 m ; choix de composition auteur ; dimensions réelles à documenter.</x:v>
      </x:c>
      <x:c r="J25" s="16" t="str">
        <x:v>https://github.com/darknigthmare/deadwall-last-enclosure/blob/f0ef5a2036d4876ae8f4d4477676da968a032d01/docs/codex/suivi-monde2026/LITTORAL_2026.md</x:v>
      </x:c>
      <x:c r="K25" s="16" t="str">
        <x:v>50 plans inspectables dans le Guide auteur ; géométrie partielle et campagne encore ouvertes.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8,2–8,2 m ; choix de composition auteur ; dimensions réelles à documenter.</x:v>
      </x:c>
      <x:c r="J26" s="16" t="str">
        <x:v>https://github.com/darknigthmare/deadwall-last-enclosure/blob/f0ef5a2036d4876ae8f4d4477676da968a032d01/docs/codex/suivi-monde2026/AGRICULTURE_2026.md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7–7,3 m ; choix de composition auteur ; dimensions réelles à documenter.</x:v>
      </x:c>
      <x:c r="J27" s="16" t="str">
        <x:v>https://github.com/darknigthmare/deadwall-last-enclosure/blob/f0ef5a2036d4876ae8f4d4477676da968a032d01/docs/codex/suivi-monde2026/AGRICULTURE_2026.md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6,8–7,3 m ; choix de composition auteur ; dimensions réelles à documenter.</x:v>
      </x:c>
      <x:c r="J28" s="16" t="str">
        <x:v>https://github.com/darknigthmare/deadwall-last-enclosure/blob/f0ef5a2036d4876ae8f4d4477676da968a032d01/docs/codex/suivi-monde2026/AGRICULTURE_2026.md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6,5–7,3 m ; choix de composition auteur ; dimensions réelles à documenter.</x:v>
      </x:c>
      <x:c r="J29" s="16" t="str">
        <x:v>https://github.com/darknigthmare/deadwall-last-enclosure/blob/f0ef5a2036d4876ae8f4d4477676da968a032d01/docs/codex/suivi-monde2026/AGRICULTURE_2026.md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10,2–10,2 m ; choix de composition auteur ; dimensions réelles à documenter.</x:v>
      </x:c>
      <x:c r="J30" s="16" t="str">
        <x:v>https://github.com/darknigthmare/deadwall-last-enclosure/blob/f0ef5a2036d4876ae8f4d4477676da968a032d01/docs/codex/suivi-monde2026/AGRICULTURE_2026.md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6,5–7,3 m ; choix de composition auteur ; dimensions réelles à documenter.</x:v>
      </x:c>
      <x:c r="J31" s="16" t="str">
        <x:v>https://github.com/darknigthmare/deadwall-last-enclosure/blob/f0ef5a2036d4876ae8f4d4477676da968a032d01/docs/codex/suivi-monde2026/AGRICULTURE_2026.md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6,5–7,3 m ; choix de composition auteur ; dimensions réelles à documenter.</x:v>
      </x:c>
      <x:c r="J32" s="16" t="str">
        <x:v>https://github.com/darknigthmare/deadwall-last-enclosure/blob/f0ef5a2036d4876ae8f4d4477676da968a032d01/docs/codex/suivi-monde2026/AGRICULTURE_2026.md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6,5–7,3 m ; choix de composition auteur ; dimensions réelles à documenter.</x:v>
      </x:c>
      <x:c r="J33" s="16" t="str">
        <x:v>https://github.com/darknigthmare/deadwall-last-enclosure/blob/f0ef5a2036d4876ae8f4d4477676da968a032d01/docs/codex/suivi-monde2026/AGRICULTURE_2026.md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96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Inspection physique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Emprise 620–940 × 800–1440 m ; hauteur 8,2–8,56 m ; choix de composition auteur ; dimensions réelles à documenter.</x:v>
      </x:c>
      <x:c r="J34" s="16" t="str">
        <x:v>https://github.com/darknigthmare/deadwall-last-enclosure/blob/f0ef5a2036d4876ae8f4d4477676da968a032d01/docs/codex/suivi-monde2026/PONTS_ECHANGEURS_2026.md</x:v>
      </x:c>
      <x:c r="K34" s="16" t="str">
        <x:v>50 plans inspectables dans le Guide auteur ; géométrie partielle et campagne encore ouvertes.</x:v>
      </x:c>
      <x:c r="L34" s="16" t="n">
        <x:f>COUNTIF('Variantes à concevoir'!$B$6:$B$4005,A34)</x:f>
        <x:v>50</x:v>
      </x:c>
    </x:row>
    <x:row r="35" ht="96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Inspection physique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Emprise 680–1000 × 1000–1640 m ; hauteur 12–12,36 m ; choix de composition auteur ; dimensions réelles à documenter.</x:v>
      </x:c>
      <x:c r="J35" s="16" t="str">
        <x:v>https://github.com/darknigthmare/deadwall-last-enclosure/blob/f0ef5a2036d4876ae8f4d4477676da968a032d01/docs/codex/suivi-monde2026/PONTS_ECHANGEURS_2026.md</x:v>
      </x:c>
      <x:c r="K35" s="16" t="str">
        <x:v>50 plans inspectables dans le Guide auteur ; géométrie partielle et campagne encore ouvertes.</x:v>
      </x:c>
      <x:c r="L35" s="16" t="n">
        <x:f>COUNTIF('Variantes à concevoir'!$B$6:$B$4005,A35)</x:f>
        <x:v>50</x:v>
      </x:c>
    </x:row>
    <x:row r="36" ht="96" customHeight="1">
      <x:c r="A36" s="115" t="str">
        <x:v>EXT-MONDE-T031</x:v>
      </x:c>
      <x:c r="B36" s="115" t="str">
        <x:v>Ponts</x:v>
      </x:c>
      <x:c r="C36" s="115" t="str">
        <x:v>Pont levant portuaire</x:v>
      </x:c>
      <x:c r="D36" s="115" t="n">
        <x:v>50</x:v>
      </x:c>
      <x:c r="E36" s="115" t="str">
        <x:v>Inspection physique</x:v>
      </x:c>
      <x:c r="F36" s="115" t="str">
        <x:v>tablier; appuis; culées; accès de maintenance; passage inférieur</x:v>
      </x:c>
      <x:c r="G36" s="115" t="str">
        <x:v>route ou rail; franchissement; chemin inférieur</x:v>
      </x:c>
      <x:c r="H36" s="115" t="str">
        <x:v>Gabarit libre sous tablier ; extrémités raccordées ; aucun nœud entre voies superposées.</x:v>
      </x:c>
      <x:c r="I36" s="115" t="str">
        <x:v>Emprise 660–980 × 900–1540 m ; hauteur 28,5–36,86 m ; choix de composition auteur ; dimensions réelles à documenter.</x:v>
      </x:c>
      <x:c r="J36" s="115" t="str">
        <x:v>https://github.com/darknigthmare/deadwall-last-enclosure/blob/f0ef5a2036d4876ae8f4d4477676da968a032d01/docs/codex/suivi-monde2026/PONTS_ECHANGEURS_2026.md</x:v>
      </x:c>
      <x:c r="K36" s="115" t="str">
        <x:v>50 plans inspectables dans le Guide auteur ; géométrie partielle et campagne encore ouvertes.</x:v>
      </x:c>
      <x:c r="L36" t="n">
        <x:f>COUNTIF('Variantes à concevoir'!$B$6:$B$4005,A36)</x:f>
        <x:v>50</x:v>
      </x:c>
    </x:row>
    <x:row r="37" ht="96" customHeight="1">
      <x:c r="A37" s="115" t="str">
        <x:v>EXT-MONDE-T032</x:v>
      </x:c>
      <x:c r="B37" s="115" t="str">
        <x:v>Ponts</x:v>
      </x:c>
      <x:c r="C37" s="115" t="str">
        <x:v>Viaduc ferroviaire</x:v>
      </x:c>
      <x:c r="D37" s="115" t="n">
        <x:v>50</x:v>
      </x:c>
      <x:c r="E37" s="115" t="str">
        <x:v>Inspection physique</x:v>
      </x:c>
      <x:c r="F37" s="115" t="str">
        <x:v>tablier; appuis; culées; accès de maintenance; passage inférieur</x:v>
      </x:c>
      <x:c r="G37" s="115" t="str">
        <x:v>route ou rail; franchissement; chemin inférieur</x:v>
      </x:c>
      <x:c r="H37" s="115" t="str">
        <x:v>Gabarit libre sous tablier ; extrémités raccordées ; aucun nœud entre voies superposées.</x:v>
      </x:c>
      <x:c r="I37" s="115" t="str">
        <x:v>Emprise 800–1120 × 2600–4200 m ; hauteur 18–18,36 m ; choix de composition auteur ; dimensions réelles à documenter.</x:v>
      </x:c>
      <x:c r="J37" s="115" t="str">
        <x:v>https://github.com/darknigthmare/deadwall-last-enclosure/blob/f0ef5a2036d4876ae8f4d4477676da968a032d01/docs/codex/suivi-monde2026/PONTS_ECHANGEURS_2026.md</x:v>
      </x:c>
      <x:c r="K37" s="115" t="str">
        <x:v>50 plans inspectables dans le Guide auteur ; géométrie partielle et campagne encore ouvertes.</x:v>
      </x:c>
      <x:c r="L37" t="n">
        <x:f>COUNTIF('Variantes à concevoir'!$B$6:$B$4005,A37)</x:f>
        <x:v>50</x:v>
      </x:c>
    </x:row>
    <x:row r="38" ht="96" customHeight="1">
      <x:c r="A38" s="115" t="str">
        <x:v>EXT-MONDE-T033</x:v>
      </x:c>
      <x:c r="B38" s="115" t="str">
        <x:v>Échangeurs</x:v>
      </x:c>
      <x:c r="C38" s="115" t="str">
        <x:v>Échangeur en losange</x:v>
      </x:c>
      <x:c r="D38" s="115" t="n">
        <x:v>50</x:v>
      </x:c>
      <x:c r="E38" s="115" t="str">
        <x:v>Inspection physique</x:v>
      </x:c>
      <x:c r="F38" s="115" t="str">
        <x:v>chaussées principales; bretelles; ouvrages; accotements; accès de maintenance</x:v>
      </x:c>
      <x:c r="G38" s="115" t="str">
        <x:v>autoroute; routes structurantes</x:v>
      </x:c>
      <x:c r="H38" s="115" t="str">
        <x:v>Classes de routes et raccords progressifs ; rayons, pentes et emprises à valider avant génération.</x:v>
      </x:c>
      <x:c r="I38" s="115" t="str">
        <x:v>Emprise 1200–1520 × 1200–1840 m ; hauteur 8–8 m ; choix de composition auteur ; dimensions réelles à documenter.</x:v>
      </x:c>
      <x:c r="J38" s="115" t="str">
        <x:v>https://github.com/darknigthmare/deadwall-last-enclosure/blob/f0ef5a2036d4876ae8f4d4477676da968a032d01/docs/codex/suivi-monde2026/PONTS_ECHANGEURS_2026.md</x:v>
      </x:c>
      <x:c r="K38" s="115" t="str">
        <x:v>50 plans inspectables dans le Guide auteur ; géométrie partielle et campagne encore ouvertes.</x:v>
      </x:c>
      <x:c r="L38" t="n">
        <x:f>COUNTIF('Variantes à concevoir'!$B$6:$B$4005,A38)</x:f>
        <x:v>50</x:v>
      </x:c>
    </x:row>
    <x:row r="39" ht="96" customHeight="1">
      <x:c r="A39" s="115" t="str">
        <x:v>EXT-MONDE-T034</x:v>
      </x:c>
      <x:c r="B39" s="115" t="str">
        <x:v>Échangeurs</x:v>
      </x:c>
      <x:c r="C39" s="115" t="str">
        <x:v>Échangeur en trompette</x:v>
      </x:c>
      <x:c r="D39" s="115" t="n">
        <x:v>50</x:v>
      </x:c>
      <x:c r="E39" s="115" t="str">
        <x:v>Inspection physique</x:v>
      </x:c>
      <x:c r="F39" s="115" t="str">
        <x:v>chaussées principales; bretelles; ouvrages; accotements; accès de maintenance</x:v>
      </x:c>
      <x:c r="G39" s="115" t="str">
        <x:v>autoroute; routes structurantes</x:v>
      </x:c>
      <x:c r="H39" s="115" t="str">
        <x:v>Classes de routes et raccords progressifs ; rayons, pentes et emprises à valider avant génération.</x:v>
      </x:c>
      <x:c r="I39" s="115" t="str">
        <x:v>Emprise 1200–1520 × 1200–1840 m ; hauteur 8–8 m ; choix de composition auteur ; dimensions réelles à documenter.</x:v>
      </x:c>
      <x:c r="J39" s="115" t="str">
        <x:v>https://github.com/darknigthmare/deadwall-last-enclosure/blob/f0ef5a2036d4876ae8f4d4477676da968a032d01/docs/codex/suivi-monde2026/PONTS_ECHANGEURS_2026.md</x:v>
      </x:c>
      <x:c r="K39" s="115" t="str">
        <x:v>50 plans inspectables dans le Guide auteur ; géométrie partielle et campagne encore ouvertes.</x:v>
      </x:c>
      <x:c r="L39" t="n">
        <x:f>COUNTIF('Variantes à concevoir'!$B$6:$B$4005,A39)</x:f>
        <x:v>50</x:v>
      </x:c>
    </x:row>
    <x:row r="40" ht="96" customHeight="1">
      <x:c r="A40" s="115" t="str">
        <x:v>EXT-MONDE-T035</x:v>
      </x:c>
      <x:c r="B40" s="115" t="str">
        <x:v>Échangeurs</x:v>
      </x:c>
      <x:c r="C40" s="115" t="str">
        <x:v>Trèfle autoroutier</x:v>
      </x:c>
      <x:c r="D40" s="115" t="n">
        <x:v>50</x:v>
      </x:c>
      <x:c r="E40" s="115" t="str">
        <x:v>Inspection physique</x:v>
      </x:c>
      <x:c r="F40" s="115" t="str">
        <x:v>chaussées principales; bretelles; ouvrages; accotements; accès de maintenance</x:v>
      </x:c>
      <x:c r="G40" s="115" t="str">
        <x:v>autoroute; routes structurantes</x:v>
      </x:c>
      <x:c r="H40" s="115" t="str">
        <x:v>Classes de routes et raccords progressifs ; rayons, pentes et emprises à valider avant génération.</x:v>
      </x:c>
      <x:c r="I40" s="115" t="str">
        <x:v>Emprise 1400–1720 × 1400–2040 m ; hauteur 8–8 m ; choix de composition auteur ; dimensions réelles à documenter.</x:v>
      </x:c>
      <x:c r="J40" s="115" t="str">
        <x:v>https://github.com/darknigthmare/deadwall-last-enclosure/blob/f0ef5a2036d4876ae8f4d4477676da968a032d01/docs/codex/suivi-monde2026/PONTS_ECHANGEURS_2026.md</x:v>
      </x:c>
      <x:c r="K40" s="115" t="str">
        <x:v>50 plans inspectables dans le Guide auteur ; géométrie partielle et campagne encore ouvertes.</x:v>
      </x:c>
      <x:c r="L40" t="n">
        <x:f>COUNTIF('Variantes à concevoir'!$B$6:$B$4005,A40)</x:f>
        <x:v>50</x:v>
      </x:c>
    </x:row>
    <x:row r="41" ht="96" customHeight="1">
      <x:c r="A41" s="115" t="str">
        <x:v>EXT-MONDE-T036</x:v>
      </x:c>
      <x:c r="B41" s="115" t="str">
        <x:v>Échangeurs</x:v>
      </x:c>
      <x:c r="C41" s="115" t="str">
        <x:v>Échangeur directionnel</x:v>
      </x:c>
      <x:c r="D41" s="115" t="n">
        <x:v>50</x:v>
      </x:c>
      <x:c r="E41" s="115" t="str">
        <x:v>Inspection physique</x:v>
      </x:c>
      <x:c r="F41" s="115" t="str">
        <x:v>chaussées principales; bretelles; ouvrages; accotements; accès de maintenance</x:v>
      </x:c>
      <x:c r="G41" s="115" t="str">
        <x:v>autoroute; routes structurantes</x:v>
      </x:c>
      <x:c r="H41" s="115" t="str">
        <x:v>Classes de routes et raccords progressifs ; rayons, pentes et emprises à valider avant génération.</x:v>
      </x:c>
      <x:c r="I41" s="115" t="str">
        <x:v>Emprise 1400–1720 × 1400–2040 m ; hauteur 8–8 m ; choix de composition auteur ; dimensions réelles à documenter.</x:v>
      </x:c>
      <x:c r="J41" s="115" t="str">
        <x:v>https://github.com/darknigthmare/deadwall-last-enclosure/blob/f0ef5a2036d4876ae8f4d4477676da968a032d01/docs/codex/suivi-monde2026/PONTS_ECHANGEURS_2026.md</x:v>
      </x:c>
      <x:c r="K41" s="115" t="str">
        <x:v>50 plans inspectables dans le Guide auteur ; géométrie partielle et campagne encore ouvertes.</x:v>
      </x:c>
      <x:c r="L41" t="n">
        <x:f>COUNTIF('Variantes à concevoir'!$B$6:$B$4005,A41)</x:f>
        <x:v>50</x:v>
      </x:c>
    </x:row>
    <x:row r="42" ht="96" customHeight="1">
      <x:c r="A42" s="115" t="str">
        <x:v>EXT-MONDE-T037</x:v>
      </x:c>
      <x:c r="B42" s="115" t="str">
        <x:v>Égouts</x:v>
      </x:c>
      <x:c r="C42" s="115" t="str">
        <x:v>Collecteur urbain</x:v>
      </x:c>
      <x:c r="D42" s="115" t="n">
        <x:v>50</x:v>
      </x:c>
      <x:c r="E42" s="115" t="str">
        <x:v>Inspection physique</x:v>
      </x:c>
      <x:c r="F42" s="115" t="str">
        <x:v>regards; galeries; chambres de visite; local électrique; pompage; accès</x:v>
      </x:c>
      <x:c r="G42" s="115" t="str">
        <x:v>réseau hydraulique; exutoires; surface</x:v>
      </x:c>
      <x:c r="H42" s="115" t="str">
        <x:v>Graphe dirigé vers exutoire ; jonctions explicites ; niveaux et accès de secours sans téléportation.</x:v>
      </x:c>
      <x:c r="I42" s="115" t="str">
        <x:v>Emprise 180–238 × 200–254,3 m ; hauteur 3–3 m ; choix de composition auteur ; dimensions réelles à documenter.</x:v>
      </x:c>
      <x:c r="J42" s="115" t="str">
        <x:v>https://github.com/darknigthmare/deadwall-last-enclosure/blob/f0ef5a2036d4876ae8f4d4477676da968a032d01/docs/codex/suivi-monde2026/HLM_ASSAINISSEMENT_2026.md</x:v>
      </x:c>
      <x:c r="K42" s="115" t="str">
        <x:v>50 plans inspectables dans le Guide auteur ; géométrie partielle et campagne encore ouvertes.</x:v>
      </x:c>
      <x:c r="L42" t="n">
        <x:f>COUNTIF('Variantes à concevoir'!$B$6:$B$4005,A42)</x:f>
        <x:v>50</x:v>
      </x:c>
    </x:row>
    <x:row r="43" ht="96" customHeight="1">
      <x:c r="A43" s="115" t="str">
        <x:v>EXT-MONDE-T038</x:v>
      </x:c>
      <x:c r="B43" s="115" t="str">
        <x:v>Égouts</x:v>
      </x:c>
      <x:c r="C43" s="115" t="str">
        <x:v>Réseau unitaire ancien</x:v>
      </x:c>
      <x:c r="D43" s="115" t="n">
        <x:v>50</x:v>
      </x:c>
      <x:c r="E43" s="115" t="str">
        <x:v>Inspection physique</x:v>
      </x:c>
      <x:c r="F43" s="115" t="str">
        <x:v>regards; galeries; chambres de visite; local électrique; pompage; accès</x:v>
      </x:c>
      <x:c r="G43" s="115" t="str">
        <x:v>réseau hydraulique; exutoires; surface</x:v>
      </x:c>
      <x:c r="H43" s="115" t="str">
        <x:v>Graphe dirigé vers exutoire ; jonctions explicites ; niveaux et accès de secours sans téléportation.</x:v>
      </x:c>
      <x:c r="I43" s="115" t="str">
        <x:v>Emprise 180–238 × 200–254,3 m ; hauteur 3–3 m ; choix de composition auteur ; dimensions réelles à documenter.</x:v>
      </x:c>
      <x:c r="J43" s="115" t="str">
        <x:v>https://github.com/darknigthmare/deadwall-last-enclosure/blob/f0ef5a2036d4876ae8f4d4477676da968a032d01/docs/codex/suivi-monde2026/HLM_ASSAINISSEMENT_2026.md</x:v>
      </x:c>
      <x:c r="K43" s="115" t="str">
        <x:v>50 plans inspectables dans le Guide auteur ; géométrie partielle et campagne encore ouvertes.</x:v>
      </x:c>
      <x:c r="L43" t="n">
        <x:f>COUNTIF('Variantes à concevoir'!$B$6:$B$4005,A43)</x:f>
        <x:v>50</x:v>
      </x:c>
    </x:row>
    <x:row r="44" ht="96" customHeight="1">
      <x:c r="A44" s="115" t="str">
        <x:v>EXT-MONDE-T039</x:v>
      </x:c>
      <x:c r="B44" s="115" t="str">
        <x:v>Égouts</x:v>
      </x:c>
      <x:c r="C44" s="115" t="str">
        <x:v>Galerie pluviale</x:v>
      </x:c>
      <x:c r="D44" s="115" t="n">
        <x:v>50</x:v>
      </x:c>
      <x:c r="E44" s="115" t="str">
        <x:v>Inspection physique</x:v>
      </x:c>
      <x:c r="F44" s="115" t="str">
        <x:v>regards; galeries; chambres de visite; local électrique; pompage; accès</x:v>
      </x:c>
      <x:c r="G44" s="115" t="str">
        <x:v>réseau hydraulique; exutoires; surface</x:v>
      </x:c>
      <x:c r="H44" s="115" t="str">
        <x:v>Graphe dirigé vers exutoire ; jonctions explicites ; niveaux et accès de secours sans téléportation.</x:v>
      </x:c>
      <x:c r="I44" s="115" t="str">
        <x:v>Emprise 180–238 × 200–254,3 m ; hauteur 3–3 m ; choix de composition auteur ; dimensions réelles à documenter.</x:v>
      </x:c>
      <x:c r="J44" s="115" t="str">
        <x:v>https://github.com/darknigthmare/deadwall-last-enclosure/blob/f0ef5a2036d4876ae8f4d4477676da968a032d01/docs/codex/suivi-monde2026/HLM_ASSAINISSEMENT_2026.md</x:v>
      </x:c>
      <x:c r="K44" s="115" t="str">
        <x:v>50 plans inspectables dans le Guide auteur ; géométrie partielle et campagne encore ouvertes.</x:v>
      </x:c>
      <x:c r="L44" t="n">
        <x:f>COUNTIF('Variantes à concevoir'!$B$6:$B$4005,A44)</x:f>
        <x:v>50</x:v>
      </x:c>
    </x:row>
    <x:row r="45" ht="96" customHeight="1">
      <x:c r="A45" s="115" t="str">
        <x:v>EXT-MONDE-T040</x:v>
      </x:c>
      <x:c r="B45" s="115" t="str">
        <x:v>Égouts</x:v>
      </x:c>
      <x:c r="C45" s="115" t="str">
        <x:v>Station souterraine de relevage</x:v>
      </x:c>
      <x:c r="D45" s="115" t="n">
        <x:v>50</x:v>
      </x:c>
      <x:c r="E45" s="115" t="str">
        <x:v>Inspection physique</x:v>
      </x:c>
      <x:c r="F45" s="115" t="str">
        <x:v>regards; galeries; chambres de visite; local électrique; pompage; accès</x:v>
      </x:c>
      <x:c r="G45" s="115" t="str">
        <x:v>réseau hydraulique; exutoires; surface</x:v>
      </x:c>
      <x:c r="H45" s="115" t="str">
        <x:v>Graphe dirigé vers exutoire ; jonctions explicites ; niveaux et accès de secours sans téléportation.</x:v>
      </x:c>
      <x:c r="I45" s="115" t="str">
        <x:v>Emprise 180–238 × 200–254,3 m ; hauteur 3–3 m ; choix de composition auteur ; dimensions réelles à documenter.</x:v>
      </x:c>
      <x:c r="J45" s="115" t="str">
        <x:v>https://github.com/darknigthmare/deadwall-last-enclosure/blob/f0ef5a2036d4876ae8f4d4477676da968a032d01/docs/codex/suivi-monde2026/HLM_ASSAINISSEMENT_2026.md</x:v>
      </x:c>
      <x:c r="K45" s="115" t="str">
        <x:v>50 plans inspectables dans le Guide auteur ; géométrie partielle et campagne encore ouvertes.</x:v>
      </x:c>
      <x:c r="L45" t="n">
        <x:f>COUNTIF('Variantes à concevoir'!$B$6:$B$4005,A45)</x:f>
        <x:v>50</x:v>
      </x:c>
    </x:row>
    <x:row r="46" ht="96" customHeight="1">
      <x:c r="A46" s="115" t="str">
        <x:v>EXT-MONDE-T041</x:v>
      </x:c>
      <x:c r="B46" s="115" t="str">
        <x:v>HLM visitables</x:v>
      </x:c>
      <x:c r="C46" s="115" t="str">
        <x:v>Barre HLM</x:v>
      </x:c>
      <x:c r="D46" s="115" t="n">
        <x:v>50</x:v>
      </x:c>
      <x:c r="E46" s="115" t="str">
        <x:v>Inspection physique</x:v>
      </x:c>
      <x:c r="F46" s="115" t="str">
        <x:v>halls; logements; cuisines; salles d’eau; paliers; escaliers; caves; locaux communs</x:v>
      </x:c>
      <x:c r="G46" s="115" t="str">
        <x:v>rue; piétons; eau; électricité; assainissement</x:v>
      </x:c>
      <x:c r="H46" s="115" t="str">
        <x:v>Logements répétés réellement ; portes vers circulation ; cages continues ; locaux techniques dédiés.</x:v>
      </x:c>
      <x:c r="I46" s="115" t="str">
        <x:v>Emprise 77–81,05 × 84,8–100,34 m ; hauteur 9,35–21,55 m ; choix de composition auteur ; dimensions réelles à documenter.</x:v>
      </x:c>
      <x:c r="J46" s="115" t="str">
        <x:v>https://github.com/darknigthmare/deadwall-last-enclosure/blob/f0ef5a2036d4876ae8f4d4477676da968a032d01/docs/codex/suivi-monde2026/HLM_ASSAINISSEMENT_2026.md</x:v>
      </x:c>
      <x:c r="K46" s="115" t="str">
        <x:v>50 plans inspectables dans le Guide auteur ; géométrie partielle et campagne encore ouvertes.</x:v>
      </x:c>
      <x:c r="L46" t="n">
        <x:f>COUNTIF('Variantes à concevoir'!$B$6:$B$4005,A46)</x:f>
        <x:v>50</x:v>
      </x:c>
    </x:row>
    <x:row r="47" ht="96" customHeight="1">
      <x:c r="A47" s="115" t="str">
        <x:v>EXT-MONDE-T042</x:v>
      </x:c>
      <x:c r="B47" s="115" t="str">
        <x:v>HLM visitables</x:v>
      </x:c>
      <x:c r="C47" s="115" t="str">
        <x:v>Tour HLM</x:v>
      </x:c>
      <x:c r="D47" s="115" t="n">
        <x:v>50</x:v>
      </x:c>
      <x:c r="E47" s="115" t="str">
        <x:v>Inspection physique</x:v>
      </x:c>
      <x:c r="F47" s="115" t="str">
        <x:v>halls; logements; cuisines; salles d’eau; paliers; escaliers; caves; locaux communs</x:v>
      </x:c>
      <x:c r="G47" s="115" t="str">
        <x:v>rue; piétons; eau; électricité; assainissement</x:v>
      </x:c>
      <x:c r="H47" s="115" t="str">
        <x:v>Logements répétés réellement ; portes vers circulation ; cages continues ; locaux techniques dédiés.</x:v>
      </x:c>
      <x:c r="I47" s="115" t="str">
        <x:v>Emprise 77–81,05 × 84,8–88,46 m ; hauteur 21,35–33,55 m ; choix de composition auteur ; dimensions réelles à documenter.</x:v>
      </x:c>
      <x:c r="J47" s="115" t="str">
        <x:v>https://github.com/darknigthmare/deadwall-last-enclosure/blob/f0ef5a2036d4876ae8f4d4477676da968a032d01/docs/codex/suivi-monde2026/HLM_ASSAINISSEMENT_2026.md</x:v>
      </x:c>
      <x:c r="K47" s="115" t="str">
        <x:v>50 plans inspectables dans le Guide auteur ; géométrie partielle et campagne encore ouvertes.</x:v>
      </x:c>
      <x:c r="L47" t="n">
        <x:f>COUNTIF('Variantes à concevoir'!$B$6:$B$4005,A47)</x:f>
        <x:v>50</x:v>
      </x:c>
    </x:row>
    <x:row r="48" ht="96" customHeight="1">
      <x:c r="A48" s="115" t="str">
        <x:v>EXT-MONDE-T043</x:v>
      </x:c>
      <x:c r="B48" s="115" t="str">
        <x:v>HLM visitables</x:v>
      </x:c>
      <x:c r="C48" s="115" t="str">
        <x:v>Résidence en cour</x:v>
      </x:c>
      <x:c r="D48" s="115" t="n">
        <x:v>50</x:v>
      </x:c>
      <x:c r="E48" s="115" t="str">
        <x:v>Inspection physique</x:v>
      </x:c>
      <x:c r="F48" s="115" t="str">
        <x:v>halls; logements; cuisines; salles d’eau; paliers; escaliers; caves; locaux communs</x:v>
      </x:c>
      <x:c r="G48" s="115" t="str">
        <x:v>rue; piétons; eau; électricité; assainissement</x:v>
      </x:c>
      <x:c r="H48" s="115" t="str">
        <x:v>Logements répétés réellement ; portes vers circulation ; cages continues ; locaux techniques dédiés.</x:v>
      </x:c>
      <x:c r="I48" s="115" t="str">
        <x:v>Emprise 133–140,65 × 84,8–148,92 m ; hauteur 12,35–15,55 m ; choix de composition auteur ; dimensions réelles à documenter.</x:v>
      </x:c>
      <x:c r="J48" s="115" t="str">
        <x:v>https://github.com/darknigthmare/deadwall-last-enclosure/blob/f0ef5a2036d4876ae8f4d4477676da968a032d01/docs/codex/suivi-monde2026/HLM_ASSAINISSEMENT_2026.md</x:v>
      </x:c>
      <x:c r="K48" s="115" t="str">
        <x:v>50 plans inspectables dans le Guide auteur ; géométrie partielle et campagne encore ouvertes.</x:v>
      </x:c>
      <x:c r="L48" t="n">
        <x:f>COUNTIF('Variantes à concevoir'!$B$6:$B$4005,A48)</x:f>
        <x:v>50</x:v>
      </x:c>
    </x:row>
    <x:row r="49" ht="96" customHeight="1">
      <x:c r="A49" s="115" t="str">
        <x:v>EXT-MONDE-T044</x:v>
      </x:c>
      <x:c r="B49" s="115" t="str">
        <x:v>HLM visitables</x:v>
      </x:c>
      <x:c r="C49" s="115" t="str">
        <x:v>Ensemble HLM mixte</x:v>
      </x:c>
      <x:c r="D49" s="115" t="n">
        <x:v>50</x:v>
      </x:c>
      <x:c r="E49" s="115" t="str">
        <x:v>Inspection physique</x:v>
      </x:c>
      <x:c r="F49" s="115" t="str">
        <x:v>halls; logements; cuisines; salles d’eau; paliers; escaliers; caves; locaux communs</x:v>
      </x:c>
      <x:c r="G49" s="115" t="str">
        <x:v>rue; piétons; eau; électricité; assainissement</x:v>
      </x:c>
      <x:c r="H49" s="115" t="str">
        <x:v>Logements répétés réellement ; portes vers circulation ; cages continues ; locaux techniques dédiés.</x:v>
      </x:c>
      <x:c r="I49" s="115" t="str">
        <x:v>Emprise 135–137,25 × 145,6–153,82 m ; hauteur 18,35–24,55 m ; choix de composition auteur ; dimensions réelles à documenter.</x:v>
      </x:c>
      <x:c r="J49" s="115" t="str">
        <x:v>https://github.com/darknigthmare/deadwall-last-enclosure/blob/f0ef5a2036d4876ae8f4d4477676da968a032d01/docs/codex/suivi-monde2026/HLM_ASSAINISSEMENT_2026.md</x:v>
      </x:c>
      <x:c r="K49" s="115" t="str">
        <x:v>50 plans inspectables dans le Guide auteur ; géométrie partielle et campagne encore ouvertes.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3,2–3,2 m ; choix de composition auteur ; dimensions réelles à documenter.</x:v>
      </x:c>
      <x:c r="J50" s="115" t="str">
        <x:v>https://github.com/darknigthmare/deadwall-last-enclosure/blob/f0ef5a2036d4876ae8f4d4477676da968a032d01/docs/codex/suivi-monde2026/RESIDENTIEL_2026.md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3,2–3,2 m ; choix de composition auteur ; dimensions réelles à documenter.</x:v>
      </x:c>
      <x:c r="J51" s="115" t="str">
        <x:v>https://github.com/darknigthmare/deadwall-last-enclosure/blob/f0ef5a2036d4876ae8f4d4477676da968a032d01/docs/codex/suivi-monde2026/RESIDENTIEL_2026.md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3,4–3,4 m ; choix de composition auteur ; dimensions réelles à documenter.</x:v>
      </x:c>
      <x:c r="J52" s="115" t="str">
        <x:v>https://github.com/darknigthmare/deadwall-last-enclosure/blob/f0ef5a2036d4876ae8f4d4477676da968a032d01/docs/codex/suivi-monde2026/RESIDENTIEL_2026.md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3,2–3,2 m ; choix de composition auteur ; dimensions réelles à documenter.</x:v>
      </x:c>
      <x:c r="J53" s="115" t="str">
        <x:v>https://github.com/darknigthmare/deadwall-last-enclosure/blob/f0ef5a2036d4876ae8f4d4477676da968a032d01/docs/codex/suivi-monde2026/RESIDENTIEL_2026.md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 ht="96" customHeight="1">
      <x:c r="A54" s="115" t="str">
        <x:v>EXT-MONDE-T049</x:v>
      </x:c>
      <x:c r="B54" s="115" t="str">
        <x:v>Parcs attractions</x:v>
      </x:c>
      <x:c r="C54" s="115" t="str">
        <x:v>Parc familial</x:v>
      </x:c>
      <x:c r="D54" s="115" t="n">
        <x:v>50</x:v>
      </x:c>
      <x:c r="E54" s="115" t="str">
        <x:v>Inspection physique</x:v>
      </x:c>
      <x:c r="F54" s="115" t="str">
        <x:v>entrée; files; attractions; secours; restaurants; sanitaires; atelier; réserves</x:v>
      </x:c>
      <x:c r="G54" s="115" t="str">
        <x:v>route; piétons; service; eau; électricité</x:v>
      </x:c>
      <x:c r="H54" s="115" t="str">
        <x:v>Flux visiteurs/service séparés ; voies de retour ; attractions à l’échelle sans simple compression graphique.</x:v>
      </x:c>
      <x:c r="I54" s="115" t="str">
        <x:v>Emprise 362–410 × 458–490 m ; hauteur 18–18 m ; choix de composition auteur ; dimensions réelles à documenter.</x:v>
      </x:c>
      <x:c r="J54" s="115" t="str">
        <x:v>https://github.com/darknigthmare/deadwall-last-enclosure/blob/f0ef5a2036d4876ae8f4d4477676da968a032d01/docs/codex/suivi-monde2026/PARCS_SPORTS_2026.md</x:v>
      </x:c>
      <x:c r="K54" s="115" t="str">
        <x:v>50 plans inspectables dans le Guide auteur ; géométrie partielle et campagne encore ouvertes.</x:v>
      </x:c>
      <x:c r="L54" t="n">
        <x:f>COUNTIF('Variantes à concevoir'!$B$6:$B$4005,A54)</x:f>
        <x:v>50</x:v>
      </x:c>
    </x:row>
    <x:row r="55" ht="96" customHeight="1">
      <x:c r="A55" s="115" t="str">
        <x:v>EXT-MONDE-T050</x:v>
      </x:c>
      <x:c r="B55" s="115" t="str">
        <x:v>Parcs attractions</x:v>
      </x:c>
      <x:c r="C55" s="115" t="str">
        <x:v>Parc à sensations</x:v>
      </x:c>
      <x:c r="D55" s="115" t="n">
        <x:v>50</x:v>
      </x:c>
      <x:c r="E55" s="115" t="str">
        <x:v>Inspection physique</x:v>
      </x:c>
      <x:c r="F55" s="115" t="str">
        <x:v>entrée; files; attractions; secours; restaurants; sanitaires; atelier; réserves</x:v>
      </x:c>
      <x:c r="G55" s="115" t="str">
        <x:v>route; piétons; service; eau; électricité</x:v>
      </x:c>
      <x:c r="H55" s="115" t="str">
        <x:v>Flux visiteurs/service séparés ; voies de retour ; attractions à l’échelle sans simple compression graphique.</x:v>
      </x:c>
      <x:c r="I55" s="115" t="str">
        <x:v>Emprise 488–536 × 614–646 m ; hauteur 58–58 m ; choix de composition auteur ; dimensions réelles à documenter.</x:v>
      </x:c>
      <x:c r="J55" s="115" t="str">
        <x:v>https://github.com/darknigthmare/deadwall-last-enclosure/blob/f0ef5a2036d4876ae8f4d4477676da968a032d01/docs/codex/suivi-monde2026/PARCS_SPORTS_2026.md</x:v>
      </x:c>
      <x:c r="K55" s="115" t="str">
        <x:v>50 plans inspectables dans le Guide auteur ; géométrie partielle et campagne encore ouvertes.</x:v>
      </x:c>
      <x:c r="L55" t="n">
        <x:f>COUNTIF('Variantes à concevoir'!$B$6:$B$4005,A55)</x:f>
        <x:v>50</x:v>
      </x:c>
    </x:row>
    <x:row r="56" ht="96" customHeight="1">
      <x:c r="A56" s="115" t="str">
        <x:v>EXT-MONDE-T051</x:v>
      </x:c>
      <x:c r="B56" s="115" t="str">
        <x:v>Parcs attractions</x:v>
      </x:c>
      <x:c r="C56" s="115" t="str">
        <x:v>Parc aquatique</x:v>
      </x:c>
      <x:c r="D56" s="115" t="n">
        <x:v>50</x:v>
      </x:c>
      <x:c r="E56" s="115" t="str">
        <x:v>Inspection physique</x:v>
      </x:c>
      <x:c r="F56" s="115" t="str">
        <x:v>entrée; files; attractions; secours; restaurants; sanitaires; atelier; réserves</x:v>
      </x:c>
      <x:c r="G56" s="115" t="str">
        <x:v>route; piétons; service; eau; électricité</x:v>
      </x:c>
      <x:c r="H56" s="115" t="str">
        <x:v>Flux visiteurs/service séparés ; voies de retour ; attractions à l’échelle sans simple compression graphique.</x:v>
      </x:c>
      <x:c r="I56" s="115" t="str">
        <x:v>Emprise 362–410 × 446–478 m ; hauteur 18–18 m ; choix de composition auteur ; dimensions réelles à documenter.</x:v>
      </x:c>
      <x:c r="J56" s="115" t="str">
        <x:v>https://github.com/darknigthmare/deadwall-last-enclosure/blob/f0ef5a2036d4876ae8f4d4477676da968a032d01/docs/codex/suivi-monde2026/PARCS_SPORTS_2026.md</x:v>
      </x:c>
      <x:c r="K56" s="115" t="str">
        <x:v>50 plans inspectables dans le Guide auteur ; géométrie partielle et campagne encore ouvertes.</x:v>
      </x:c>
      <x:c r="L56" t="n">
        <x:f>COUNTIF('Variantes à concevoir'!$B$6:$B$4005,A56)</x:f>
        <x:v>50</x:v>
      </x:c>
    </x:row>
    <x:row r="57" ht="96" customHeight="1">
      <x:c r="A57" s="115" t="str">
        <x:v>EXT-MONDE-T052</x:v>
      </x:c>
      <x:c r="B57" s="115" t="str">
        <x:v>Parcs attractions</x:v>
      </x:c>
      <x:c r="C57" s="115" t="str">
        <x:v>Parc thématique abandonné</x:v>
      </x:c>
      <x:c r="D57" s="115" t="n">
        <x:v>50</x:v>
      </x:c>
      <x:c r="E57" s="115" t="str">
        <x:v>Inspection physique</x:v>
      </x:c>
      <x:c r="F57" s="115" t="str">
        <x:v>entrée; files; attractions; secours; restaurants; sanitaires; atelier; réserves</x:v>
      </x:c>
      <x:c r="G57" s="115" t="str">
        <x:v>route; piétons; service; eau; électricité</x:v>
      </x:c>
      <x:c r="H57" s="115" t="str">
        <x:v>Flux visiteurs/service séparés ; voies de retour ; attractions à l’échelle sans simple compression graphique.</x:v>
      </x:c>
      <x:c r="I57" s="115" t="str">
        <x:v>Emprise 362–410 × 502–534 m ; hauteur 24–24 m ; choix de composition auteur ; dimensions réelles à documenter.</x:v>
      </x:c>
      <x:c r="J57" s="115" t="str">
        <x:v>https://github.com/darknigthmare/deadwall-last-enclosure/blob/f0ef5a2036d4876ae8f4d4477676da968a032d01/docs/codex/suivi-monde2026/PARCS_SPORTS_2026.md</x:v>
      </x:c>
      <x:c r="K57" s="115" t="str">
        <x:v>50 plans inspectables dans le Guide auteur ; géométrie partielle et campagne encore ouvertes.</x:v>
      </x:c>
      <x:c r="L57" t="n">
        <x:f>COUNTIF('Variantes à concevoir'!$B$6:$B$4005,A57)</x:f>
        <x:v>50</x:v>
      </x:c>
    </x:row>
    <x:row r="58" ht="96" customHeight="1">
      <x:c r="A58" s="115" t="str">
        <x:v>EXT-MONDE-T053</x:v>
      </x:c>
      <x:c r="B58" s="115" t="str">
        <x:v>Usines</x:v>
      </x:c>
      <x:c r="C58" s="115" t="str">
        <x:v>Usine agroalimentaire</x:v>
      </x:c>
      <x:c r="D58" s="115" t="n">
        <x:v>50</x:v>
      </x:c>
      <x:c r="E58" s="115" t="str">
        <x:v>Inspection physique</x:v>
      </x:c>
      <x:c r="F58" s="115" t="str">
        <x:v>réception; production; atelier; entrepôts; bureaux; vestiaires; chargement</x:v>
      </x:c>
      <x:c r="G58" s="115" t="str">
        <x:v>route de fret; rail si raccordé; énergie; eau</x:v>
      </x:c>
      <x:c r="H58" s="115" t="str">
        <x:v>Processus logique entrée-sortie ; machines et maintenance dégagées ; aucune production gratuite.</x:v>
      </x:c>
      <x:c r="I58" s="115" t="str">
        <x:v>Emprise 350–422 × 320–416 m ; hauteur 6,2–7,2 m ; choix de composition auteur ; dimensions réelles à documenter.</x:v>
      </x:c>
      <x:c r="J58" s="115" t="str">
        <x:v>https://github.com/darknigthmare/deadwall-last-enclosure/blob/f0ef5a2036d4876ae8f4d4477676da968a032d01/docs/codex/suivi-monde2026/INDUSTRIE_2026.md</x:v>
      </x:c>
      <x:c r="K58" s="115" t="str">
        <x:v>50 plans inspectables dans le Guide auteur ; géométrie partielle et campagne encore ouvertes.</x:v>
      </x:c>
      <x:c r="L58" t="n">
        <x:f>COUNTIF('Variantes à concevoir'!$B$6:$B$4005,A58)</x:f>
        <x:v>50</x:v>
      </x:c>
    </x:row>
    <x:row r="59" ht="96" customHeight="1">
      <x:c r="A59" s="115" t="str">
        <x:v>EXT-MONDE-T054</x:v>
      </x:c>
      <x:c r="B59" s="115" t="str">
        <x:v>Usines</x:v>
      </x:c>
      <x:c r="C59" s="115" t="str">
        <x:v>Usine de mécanique</x:v>
      </x:c>
      <x:c r="D59" s="115" t="n">
        <x:v>50</x:v>
      </x:c>
      <x:c r="E59" s="115" t="str">
        <x:v>Inspection physique</x:v>
      </x:c>
      <x:c r="F59" s="115" t="str">
        <x:v>réception; production; atelier; entrepôts; bureaux; vestiaires; chargement</x:v>
      </x:c>
      <x:c r="G59" s="115" t="str">
        <x:v>route de fret; rail si raccordé; énergie; eau</x:v>
      </x:c>
      <x:c r="H59" s="115" t="str">
        <x:v>Processus logique entrée-sortie ; machines et maintenance dégagées ; aucune production gratuite.</x:v>
      </x:c>
      <x:c r="I59" s="115" t="str">
        <x:v>Emprise 350–422 × 320–416 m ; hauteur 7,2–8,2 m ; choix de composition auteur ; dimensions réelles à documenter.</x:v>
      </x:c>
      <x:c r="J59" s="115" t="str">
        <x:v>https://github.com/darknigthmare/deadwall-last-enclosure/blob/f0ef5a2036d4876ae8f4d4477676da968a032d01/docs/codex/suivi-monde2026/INDUSTRIE_2026.md</x:v>
      </x:c>
      <x:c r="K59" s="115" t="str">
        <x:v>50 plans inspectables dans le Guide auteur ; géométrie partielle et campagne encore ouvertes.</x:v>
      </x:c>
      <x:c r="L59" t="n">
        <x:f>COUNTIF('Variantes à concevoir'!$B$6:$B$4005,A59)</x:f>
        <x:v>50</x:v>
      </x:c>
    </x:row>
    <x:row r="60" ht="96" customHeight="1">
      <x:c r="A60" s="115" t="str">
        <x:v>EXT-MONDE-T055</x:v>
      </x:c>
      <x:c r="B60" s="115" t="str">
        <x:v>Usines</x:v>
      </x:c>
      <x:c r="C60" s="115" t="str">
        <x:v>Usine textile</x:v>
      </x:c>
      <x:c r="D60" s="115" t="n">
        <x:v>50</x:v>
      </x:c>
      <x:c r="E60" s="115" t="str">
        <x:v>Inspection physique</x:v>
      </x:c>
      <x:c r="F60" s="115" t="str">
        <x:v>réception; production; atelier; entrepôts; bureaux; vestiaires; chargement</x:v>
      </x:c>
      <x:c r="G60" s="115" t="str">
        <x:v>route de fret; rail si raccordé; énergie; eau</x:v>
      </x:c>
      <x:c r="H60" s="115" t="str">
        <x:v>Processus logique entrée-sortie ; machines et maintenance dégagées ; aucune production gratuite.</x:v>
      </x:c>
      <x:c r="I60" s="115" t="str">
        <x:v>Emprise 350–422 × 320–416 m ; hauteur 5,8–6,8 m ; choix de composition auteur ; dimensions réelles à documenter.</x:v>
      </x:c>
      <x:c r="J60" s="115" t="str">
        <x:v>https://github.com/darknigthmare/deadwall-last-enclosure/blob/f0ef5a2036d4876ae8f4d4477676da968a032d01/docs/codex/suivi-monde2026/INDUSTRIE_2026.md</x:v>
      </x:c>
      <x:c r="K60" s="115" t="str">
        <x:v>50 plans inspectables dans le Guide auteur ; géométrie partielle et campagne encore ouvertes.</x:v>
      </x:c>
      <x:c r="L60" t="n">
        <x:f>COUNTIF('Variantes à concevoir'!$B$6:$B$4005,A60)</x:f>
        <x:v>50</x:v>
      </x:c>
    </x:row>
    <x:row r="61" ht="96" customHeight="1">
      <x:c r="A61" s="115" t="str">
        <x:v>EXT-MONDE-T056</x:v>
      </x:c>
      <x:c r="B61" s="115" t="str">
        <x:v>Usines</x:v>
      </x:c>
      <x:c r="C61" s="115" t="str">
        <x:v>Usine de matériaux</x:v>
      </x:c>
      <x:c r="D61" s="115" t="n">
        <x:v>50</x:v>
      </x:c>
      <x:c r="E61" s="115" t="str">
        <x:v>Inspection physique</x:v>
      </x:c>
      <x:c r="F61" s="115" t="str">
        <x:v>réception; production; atelier; entrepôts; bureaux; vestiaires; chargement</x:v>
      </x:c>
      <x:c r="G61" s="115" t="str">
        <x:v>route de fret; rail si raccordé; énergie; eau</x:v>
      </x:c>
      <x:c r="H61" s="115" t="str">
        <x:v>Processus logique entrée-sortie ; machines et maintenance dégagées ; aucune production gratuite.</x:v>
      </x:c>
      <x:c r="I61" s="115" t="str">
        <x:v>Emprise 350–422 × 320–416 m ; hauteur 10,6–10,6 m ; choix de composition auteur ; dimensions réelles à documenter.</x:v>
      </x:c>
      <x:c r="J61" s="115" t="str">
        <x:v>https://github.com/darknigthmare/deadwall-last-enclosure/blob/f0ef5a2036d4876ae8f4d4477676da968a032d01/docs/codex/suivi-monde2026/INDUSTRIE_2026.md</x:v>
      </x:c>
      <x:c r="K61" s="115" t="str">
        <x:v>50 plans inspectables dans le Guide auteur ; géométrie partielle et campagne encore ouvertes.</x:v>
      </x:c>
      <x:c r="L61" t="n">
        <x:f>COUNTIF('Variantes à concevoir'!$B$6:$B$4005,A61)</x:f>
        <x:v>50</x:v>
      </x:c>
    </x:row>
    <x:row r="62" ht="96" customHeight="1">
      <x:c r="A62" s="115" t="str">
        <x:v>EXT-MONDE-T057</x:v>
      </x:c>
      <x:c r="B62" s="115" t="str">
        <x:v>Énergie</x:v>
      </x:c>
      <x:c r="C62" s="115" t="str">
        <x:v>Centrale thermique</x:v>
      </x:c>
      <x:c r="D62" s="115" t="n">
        <x:v>50</x:v>
      </x:c>
      <x:c r="E62" s="115" t="str">
        <x:v>Inspection physique</x:v>
      </x:c>
      <x:c r="F62" s="115" t="str">
        <x:v>commande; conversion; distribution; maintenance; stockage; voies de service</x:v>
      </x:c>
      <x:c r="G62" s="115" t="str">
        <x:v>électricité; route de service; eau selon type</x:v>
      </x:c>
      <x:c r="H62" s="115" t="str">
        <x:v>Chaîne production-distribution-consommateurs ; coupure sauvegardée ; pas de courant créé par un sprite.</x:v>
      </x:c>
      <x:c r="I62" s="115" t="str">
        <x:v>Emprise 430–502 × 440–520 m ; hauteur 24–24 m ; choix de composition auteur ; dimensions réelles à documenter.</x:v>
      </x:c>
      <x:c r="J62" s="115" t="str">
        <x:v>https://github.com/darknigthmare/deadwall-last-enclosure/blob/f0ef5a2036d4876ae8f4d4477676da968a032d01/docs/codex/suivi-monde2026/EAU_ENERGIE_2026.md</x:v>
      </x:c>
      <x:c r="K62" s="115" t="str">
        <x:v>50 plans inspectables dans le Guide auteur ; géométrie partielle et campagne encore ouvertes.</x:v>
      </x:c>
      <x:c r="L62" t="n">
        <x:f>COUNTIF('Variantes à concevoir'!$B$6:$B$4005,A62)</x:f>
        <x:v>50</x:v>
      </x:c>
    </x:row>
    <x:row r="63" ht="96" customHeight="1">
      <x:c r="A63" s="115" t="str">
        <x:v>EXT-MONDE-T058</x:v>
      </x:c>
      <x:c r="B63" s="115" t="str">
        <x:v>Énergie</x:v>
      </x:c>
      <x:c r="C63" s="115" t="str">
        <x:v>Centrale hydroélectrique</x:v>
      </x:c>
      <x:c r="D63" s="115" t="n">
        <x:v>50</x:v>
      </x:c>
      <x:c r="E63" s="115" t="str">
        <x:v>Inspection physique</x:v>
      </x:c>
      <x:c r="F63" s="115" t="str">
        <x:v>commande; conversion; distribution; maintenance; stockage; voies de service</x:v>
      </x:c>
      <x:c r="G63" s="115" t="str">
        <x:v>électricité; route de service; eau selon type</x:v>
      </x:c>
      <x:c r="H63" s="115" t="str">
        <x:v>Chaîne production-distribution-consommateurs ; coupure sauvegardée ; pas de courant créé par un sprite.</x:v>
      </x:c>
      <x:c r="I63" s="115" t="str">
        <x:v>Emprise 430–502 × 440–520 m ; hauteur 9–9,8 m ; choix de composition auteur ; dimensions réelles à documenter.</x:v>
      </x:c>
      <x:c r="J63" s="115" t="str">
        <x:v>https://github.com/darknigthmare/deadwall-last-enclosure/blob/f0ef5a2036d4876ae8f4d4477676da968a032d01/docs/codex/suivi-monde2026/EAU_ENERGIE_2026.md</x:v>
      </x:c>
      <x:c r="K63" s="115" t="str">
        <x:v>50 plans inspectables dans le Guide auteur ; géométrie partielle et campagne encore ouvertes.</x:v>
      </x:c>
      <x:c r="L63" t="n">
        <x:f>COUNTIF('Variantes à concevoir'!$B$6:$B$4005,A63)</x:f>
        <x:v>50</x:v>
      </x:c>
    </x:row>
    <x:row r="64" ht="96" customHeight="1">
      <x:c r="A64" s="115" t="str">
        <x:v>EXT-MONDE-T059</x:v>
      </x:c>
      <x:c r="B64" s="115" t="str">
        <x:v>Énergie</x:v>
      </x:c>
      <x:c r="C64" s="115" t="str">
        <x:v>Poste électrique régional</x:v>
      </x:c>
      <x:c r="D64" s="115" t="n">
        <x:v>50</x:v>
      </x:c>
      <x:c r="E64" s="115" t="str">
        <x:v>Inspection physique</x:v>
      </x:c>
      <x:c r="F64" s="115" t="str">
        <x:v>commande; conversion; distribution; maintenance; stockage; voies de service</x:v>
      </x:c>
      <x:c r="G64" s="115" t="str">
        <x:v>électricité; route de service; eau selon type</x:v>
      </x:c>
      <x:c r="H64" s="115" t="str">
        <x:v>Chaîne production-distribution-consommateurs ; coupure sauvegardée ; pas de courant créé par un sprite.</x:v>
      </x:c>
      <x:c r="I64" s="115" t="str">
        <x:v>Emprise 430–502 × 440–520 m ; hauteur 6–6 m ; choix de composition auteur ; dimensions réelles à documenter.</x:v>
      </x:c>
      <x:c r="J64" s="115" t="str">
        <x:v>https://github.com/darknigthmare/deadwall-last-enclosure/blob/f0ef5a2036d4876ae8f4d4477676da968a032d01/docs/codex/suivi-monde2026/EAU_ENERGIE_2026.md</x:v>
      </x:c>
      <x:c r="K64" s="115" t="str">
        <x:v>50 plans inspectables dans le Guide auteur ; géométrie partielle et campagne encore ouvertes.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https://github.com/darknigthmare/deadwall-last-enclosure/blob/f0ef5a2036d4876ae8f4d4477676da968a032d01/docs/codex/suivi-monde2026/references-metriques2026.json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 ht="96" customHeight="1">
      <x:c r="A66" s="115" t="str">
        <x:v>EXT-MONDE-T061</x:v>
      </x:c>
      <x:c r="B66" s="115" t="str">
        <x:v>Épuration</x:v>
      </x:c>
      <x:c r="C66" s="115" t="str">
        <x:v>Station d’épuration urbaine</x:v>
      </x:c>
      <x:c r="D66" s="115" t="n">
        <x:v>50</x:v>
      </x:c>
      <x:c r="E66" s="115" t="str">
        <x:v>Inspection physique</x:v>
      </x:c>
      <x:c r="F66" s="115" t="str">
        <x:v>arrivée; traitement; bassins; pompage; contrôle; laboratoire; atelier</x:v>
      </x:c>
      <x:c r="G66" s="115" t="str">
        <x:v>eau; assainissement; électricité; route de service</x:v>
      </x:c>
      <x:c r="H66" s="115" t="str">
        <x:v>Eau potable et eaux usées séparées ; entrée et exutoire cohérents ; bassins non traversables.</x:v>
      </x:c>
      <x:c r="I66" s="115" t="str">
        <x:v>Emprise 430–502 × 440–520 m ; hauteur 12–12 m ; choix de composition auteur ; dimensions réelles à documenter.</x:v>
      </x:c>
      <x:c r="J66" s="115" t="str">
        <x:v>https://github.com/darknigthmare/deadwall-last-enclosure/blob/f0ef5a2036d4876ae8f4d4477676da968a032d01/docs/codex/suivi-monde2026/EAU_ENERGIE_2026.md</x:v>
      </x:c>
      <x:c r="K66" s="115" t="str">
        <x:v>50 plans inspectables dans le Guide auteur ; géométrie partielle et campagne encore ouvertes.</x:v>
      </x:c>
      <x:c r="L66" t="n">
        <x:f>COUNTIF('Variantes à concevoir'!$B$6:$B$4005,A66)</x:f>
        <x:v>50</x:v>
      </x:c>
    </x:row>
    <x:row r="67" ht="96" customHeight="1">
      <x:c r="A67" s="115" t="str">
        <x:v>EXT-MONDE-T062</x:v>
      </x:c>
      <x:c r="B67" s="115" t="str">
        <x:v>Épuration</x:v>
      </x:c>
      <x:c r="C67" s="115" t="str">
        <x:v>Station de lagunage</x:v>
      </x:c>
      <x:c r="D67" s="115" t="n">
        <x:v>50</x:v>
      </x:c>
      <x:c r="E67" s="115" t="str">
        <x:v>Inspection physique</x:v>
      </x:c>
      <x:c r="F67" s="115" t="str">
        <x:v>arrivée; traitement; bassins; pompage; contrôle; laboratoire; atelier</x:v>
      </x:c>
      <x:c r="G67" s="115" t="str">
        <x:v>eau; assainissement; électricité; route de service</x:v>
      </x:c>
      <x:c r="H67" s="115" t="str">
        <x:v>Eau potable et eaux usées séparées ; entrée et exutoire cohérents ; bassins non traversables.</x:v>
      </x:c>
      <x:c r="I67" s="115" t="str">
        <x:v>Emprise 430–502 × 440–520 m ; hauteur 5–5,8 m ; choix de composition auteur ; dimensions réelles à documenter.</x:v>
      </x:c>
      <x:c r="J67" s="115" t="str">
        <x:v>https://github.com/darknigthmare/deadwall-last-enclosure/blob/f0ef5a2036d4876ae8f4d4477676da968a032d01/docs/codex/suivi-monde2026/EAU_ENERGIE_2026.md</x:v>
      </x:c>
      <x:c r="K67" s="115" t="str">
        <x:v>50 plans inspectables dans le Guide auteur ; géométrie partielle et campagne encore ouvertes.</x:v>
      </x:c>
      <x:c r="L67" t="n">
        <x:f>COUNTIF('Variantes à concevoir'!$B$6:$B$4005,A67)</x:f>
        <x:v>50</x:v>
      </x:c>
    </x:row>
    <x:row r="68" ht="96" customHeight="1">
      <x:c r="A68" s="115" t="str">
        <x:v>EXT-MONDE-T063</x:v>
      </x:c>
      <x:c r="B68" s="115" t="str">
        <x:v>Épuration</x:v>
      </x:c>
      <x:c r="C68" s="115" t="str">
        <x:v>Traitement des eaux industrielles</x:v>
      </x:c>
      <x:c r="D68" s="115" t="n">
        <x:v>50</x:v>
      </x:c>
      <x:c r="E68" s="115" t="str">
        <x:v>Inspection physique</x:v>
      </x:c>
      <x:c r="F68" s="115" t="str">
        <x:v>arrivée; traitement; bassins; pompage; contrôle; laboratoire; atelier</x:v>
      </x:c>
      <x:c r="G68" s="115" t="str">
        <x:v>eau; assainissement; électricité; route de service</x:v>
      </x:c>
      <x:c r="H68" s="115" t="str">
        <x:v>Eau potable et eaux usées séparées ; entrée et exutoire cohérents ; bassins non traversables.</x:v>
      </x:c>
      <x:c r="I68" s="115" t="str">
        <x:v>Emprise 430–502 × 440–520 m ; hauteur 5,5–6,3 m ; choix de composition auteur ; dimensions réelles à documenter.</x:v>
      </x:c>
      <x:c r="J68" s="115" t="str">
        <x:v>https://github.com/darknigthmare/deadwall-last-enclosure/blob/f0ef5a2036d4876ae8f4d4477676da968a032d01/docs/codex/suivi-monde2026/EAU_ENERGIE_2026.md</x:v>
      </x:c>
      <x:c r="K68" s="115" t="str">
        <x:v>50 plans inspectables dans le Guide auteur ; géométrie partielle et campagne encore ouvertes.</x:v>
      </x:c>
      <x:c r="L68" t="n">
        <x:f>COUNTIF('Variantes à concevoir'!$B$6:$B$4005,A68)</x:f>
        <x:v>50</x:v>
      </x:c>
    </x:row>
    <x:row r="69" ht="96" customHeight="1">
      <x:c r="A69" s="115" t="str">
        <x:v>EXT-MONDE-T064</x:v>
      </x:c>
      <x:c r="B69" s="115" t="str">
        <x:v>Épuration</x:v>
      </x:c>
      <x:c r="C69" s="115" t="str">
        <x:v>Usine de potabilisation</x:v>
      </x:c>
      <x:c r="D69" s="115" t="n">
        <x:v>50</x:v>
      </x:c>
      <x:c r="E69" s="115" t="str">
        <x:v>Inspection physique</x:v>
      </x:c>
      <x:c r="F69" s="115" t="str">
        <x:v>arrivée; traitement; bassins; pompage; contrôle; laboratoire; atelier</x:v>
      </x:c>
      <x:c r="G69" s="115" t="str">
        <x:v>eau; assainissement; électricité; route de service</x:v>
      </x:c>
      <x:c r="H69" s="115" t="str">
        <x:v>Eau potable et eaux usées séparées ; entrée et exutoire cohérents ; bassins non traversables.</x:v>
      </x:c>
      <x:c r="I69" s="115" t="str">
        <x:v>Emprise 430–502 × 440–520 m ; hauteur 6–6,3 m ; choix de composition auteur ; dimensions réelles à documenter.</x:v>
      </x:c>
      <x:c r="J69" s="115" t="str">
        <x:v>https://github.com/darknigthmare/deadwall-last-enclosure/blob/f0ef5a2036d4876ae8f4d4477676da968a032d01/docs/codex/suivi-monde2026/EAU_ENERGIE_2026.md</x:v>
      </x:c>
      <x:c r="K69" s="115" t="str">
        <x:v>50 plans inspectables dans le Guide auteur ; géométrie partielle et campagne encore ouvertes.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https://github.com/darknigthmare/deadwall-last-enclosure/blob/f0ef5a2036d4876ae8f4d4477676da968a032d01/docs/codex/suivi-monde2026/references-metriques2026.json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https://github.com/darknigthmare/deadwall-last-enclosure/blob/f0ef5a2036d4876ae8f4d4477676da968a032d01/docs/codex/suivi-monde2026/references-metriques2026.json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 ht="96" customHeight="1">
      <x:c r="A72" s="115" t="str">
        <x:v>EXT-MONDE-T067</x:v>
      </x:c>
      <x:c r="B72" s="115" t="str">
        <x:v>Stades</x:v>
      </x:c>
      <x:c r="C72" s="115" t="str">
        <x:v>Vélodrome</x:v>
      </x:c>
      <x:c r="D72" s="115" t="n">
        <x:v>50</x:v>
      </x:c>
      <x:c r="E72" s="115" t="str">
        <x:v>Inspection physique</x:v>
      </x:c>
      <x:c r="F72" s="115" t="str">
        <x:v>terrain; pistes ou gradins; vestiaires; secours; sanitaires; restauration; réserves</x:v>
      </x:c>
      <x:c r="G72" s="115" t="str">
        <x:v>routes; piétons; électricité; eau</x:v>
      </x:c>
      <x:c r="H72" s="115" t="str">
        <x:v>Anneaux de circulation et sorties ; gradins par niveau ; accès terrain distincts des locaux.</x:v>
      </x:c>
      <x:c r="I72" s="115" t="str">
        <x:v>Emprise 434–482 × 590–622 m ; hauteur 16–16 m ; choix de composition auteur ; dimensions réelles à documenter.</x:v>
      </x:c>
      <x:c r="J72" s="115" t="str">
        <x:v>https://github.com/darknigthmare/deadwall-last-enclosure/blob/f0ef5a2036d4876ae8f4d4477676da968a032d01/docs/codex/suivi-monde2026/PARCS_SPORTS_2026.md</x:v>
      </x:c>
      <x:c r="K72" s="115" t="str">
        <x:v>50 plans inspectables dans le Guide auteur ; géométrie partielle et campagne encore ouvertes.</x:v>
      </x:c>
      <x:c r="L72" t="n">
        <x:f>COUNTIF('Variantes à concevoir'!$B$6:$B$4005,A72)</x:f>
        <x:v>50</x:v>
      </x:c>
    </x:row>
    <x:row r="73" ht="96" customHeight="1">
      <x:c r="A73" s="115" t="str">
        <x:v>EXT-MONDE-T068</x:v>
      </x:c>
      <x:c r="B73" s="115" t="str">
        <x:v>Stades</x:v>
      </x:c>
      <x:c r="C73" s="115" t="str">
        <x:v>Complexe sportif</x:v>
      </x:c>
      <x:c r="D73" s="115" t="n">
        <x:v>50</x:v>
      </x:c>
      <x:c r="E73" s="115" t="str">
        <x:v>Inspection physique</x:v>
      </x:c>
      <x:c r="F73" s="115" t="str">
        <x:v>terrain; pistes ou gradins; vestiaires; secours; sanitaires; restauration; réserves</x:v>
      </x:c>
      <x:c r="G73" s="115" t="str">
        <x:v>routes; piétons; électricité; eau</x:v>
      </x:c>
      <x:c r="H73" s="115" t="str">
        <x:v>Anneaux de circulation et sorties ; gradins par niveau ; accès terrain distincts des locaux.</x:v>
      </x:c>
      <x:c r="I73" s="115" t="str">
        <x:v>Emprise 362–410 × 570–602 m ; hauteur 10–10 m ; choix de composition auteur ; dimensions réelles à documenter.</x:v>
      </x:c>
      <x:c r="J73" s="115" t="str">
        <x:v>https://github.com/darknigthmare/deadwall-last-enclosure/blob/f0ef5a2036d4876ae8f4d4477676da968a032d01/docs/codex/suivi-monde2026/PARCS_SPORTS_2026.md</x:v>
      </x:c>
      <x:c r="K73" s="115" t="str">
        <x:v>50 plans inspectables dans le Guide auteur ; géométrie partielle et campagne encore ouvertes.</x:v>
      </x:c>
      <x:c r="L73" t="n">
        <x:f>COUNTIF('Variantes à concevoir'!$B$6:$B$4005,A73)</x:f>
        <x:v>50</x:v>
      </x:c>
    </x:row>
    <x:row r="74" ht="96" customHeight="1">
      <x:c r="A74" s="115" t="str">
        <x:v>EXT-MONDE-T069</x:v>
      </x:c>
      <x:c r="B74" s="115" t="str">
        <x:v>Aéroports</x:v>
      </x:c>
      <x:c r="C74" s="115" t="str">
        <x:v>Aérodrome régional</x:v>
      </x:c>
      <x:c r="D74" s="115" t="n">
        <x:v>50</x:v>
      </x:c>
      <x:c r="E74" s="115" t="str">
        <x:v>Inspection physique</x:v>
      </x:c>
      <x:c r="F74" s="115" t="str">
        <x:v>pistes; voies de circulation; aires avions; terminal; hangars; tour; maintenance</x:v>
      </x:c>
      <x:c r="G74" s="115" t="str">
        <x:v>piste; taxiways; route; rail si raccordé</x:v>
      </x:c>
      <x:c r="H74" s="115" t="str">
        <x:v>Continuité piste-taxiway-apron ; obstacles et bâtiments hors réserves ; grandes emprises non comprimées.</x:v>
      </x:c>
      <x:c r="I74" s="115" t="str">
        <x:v>Emprise 1100–1100 × 1600–2000 m ; hauteur 18–26 m ; choix de composition auteur ; dimensions réelles à documenter.</x:v>
      </x:c>
      <x:c r="J74" s="115" t="str">
        <x:v>https://github.com/darknigthmare/deadwall-last-enclosure/blob/f0ef5a2036d4876ae8f4d4477676da968a032d01/docs/codex/suivi-monde2026/AEROPORTS_RAIL_2026.md</x:v>
      </x:c>
      <x:c r="K74" s="115" t="str">
        <x:v>50 plans inspectables dans le Guide auteur ; géométrie partielle et campagne encore ouvertes.</x:v>
      </x:c>
      <x:c r="L74" t="n">
        <x:f>COUNTIF('Variantes à concevoir'!$B$6:$B$4005,A74)</x:f>
        <x:v>50</x:v>
      </x:c>
    </x:row>
    <x:row r="75" ht="96" customHeight="1">
      <x:c r="A75" s="115" t="str">
        <x:v>EXT-MONDE-T070</x:v>
      </x:c>
      <x:c r="B75" s="115" t="str">
        <x:v>Aéroports</x:v>
      </x:c>
      <x:c r="C75" s="115" t="str">
        <x:v>Aéroport international</x:v>
      </x:c>
      <x:c r="D75" s="115" t="n">
        <x:v>50</x:v>
      </x:c>
      <x:c r="E75" s="115" t="str">
        <x:v>Inspection physique</x:v>
      </x:c>
      <x:c r="F75" s="115" t="str">
        <x:v>pistes; voies de circulation; aires avions; terminal; hangars; tour; maintenance</x:v>
      </x:c>
      <x:c r="G75" s="115" t="str">
        <x:v>piste; taxiways; route; rail si raccordé</x:v>
      </x:c>
      <x:c r="H75" s="115" t="str">
        <x:v>Continuité piste-taxiway-apron ; obstacles et bâtiments hors réserves ; grandes emprises non comprimées.</x:v>
      </x:c>
      <x:c r="I75" s="115" t="str">
        <x:v>Emprise 1460–1460 × 3000–3800 m ; hauteur 36–44 m ; choix de composition auteur ; dimensions réelles à documenter.</x:v>
      </x:c>
      <x:c r="J75" s="115" t="str">
        <x:v>https://github.com/darknigthmare/deadwall-last-enclosure/blob/f0ef5a2036d4876ae8f4d4477676da968a032d01/docs/codex/suivi-monde2026/AEROPORTS_RAIL_2026.md</x:v>
      </x:c>
      <x:c r="K75" s="115" t="str">
        <x:v>50 plans inspectables dans le Guide auteur ; géométrie partielle et campagne encore ouvertes.</x:v>
      </x:c>
      <x:c r="L75" t="n">
        <x:f>COUNTIF('Variantes à concevoir'!$B$6:$B$4005,A75)</x:f>
        <x:v>50</x:v>
      </x:c>
    </x:row>
    <x:row r="76" ht="96" customHeight="1">
      <x:c r="A76" s="115" t="str">
        <x:v>EXT-MONDE-T071</x:v>
      </x:c>
      <x:c r="B76" s="115" t="str">
        <x:v>Aéroports</x:v>
      </x:c>
      <x:c r="C76" s="115" t="str">
        <x:v>Aéroport de fret</x:v>
      </x:c>
      <x:c r="D76" s="115" t="n">
        <x:v>50</x:v>
      </x:c>
      <x:c r="E76" s="115" t="str">
        <x:v>Inspection physique</x:v>
      </x:c>
      <x:c r="F76" s="115" t="str">
        <x:v>pistes; voies de circulation; aires avions; terminal; hangars; tour; maintenance</x:v>
      </x:c>
      <x:c r="G76" s="115" t="str">
        <x:v>piste; taxiways; route; rail si raccordé</x:v>
      </x:c>
      <x:c r="H76" s="115" t="str">
        <x:v>Continuité piste-taxiway-apron ; obstacles et bâtiments hors réserves ; grandes emprises non comprimées.</x:v>
      </x:c>
      <x:c r="I76" s="115" t="str">
        <x:v>Emprise 1100–1100 × 2600–3400 m ; hauteur 28–36 m ; choix de composition auteur ; dimensions réelles à documenter.</x:v>
      </x:c>
      <x:c r="J76" s="115" t="str">
        <x:v>https://github.com/darknigthmare/deadwall-last-enclosure/blob/f0ef5a2036d4876ae8f4d4477676da968a032d01/docs/codex/suivi-monde2026/AEROPORTS_RAIL_2026.md</x:v>
      </x:c>
      <x:c r="K76" s="115" t="str">
        <x:v>50 plans inspectables dans le Guide auteur ; géométrie partielle et campagne encore ouvertes.</x:v>
      </x:c>
      <x:c r="L76" t="n">
        <x:f>COUNTIF('Variantes à concevoir'!$B$6:$B$4005,A76)</x:f>
        <x:v>50</x:v>
      </x:c>
    </x:row>
    <x:row r="77" ht="96" customHeight="1">
      <x:c r="A77" s="115" t="str">
        <x:v>EXT-MONDE-T072</x:v>
      </x:c>
      <x:c r="B77" s="115" t="str">
        <x:v>Aéroports</x:v>
      </x:c>
      <x:c r="C77" s="115" t="str">
        <x:v>Aérodrome insulaire</x:v>
      </x:c>
      <x:c r="D77" s="115" t="n">
        <x:v>50</x:v>
      </x:c>
      <x:c r="E77" s="115" t="str">
        <x:v>Inspection physique</x:v>
      </x:c>
      <x:c r="F77" s="115" t="str">
        <x:v>pistes; voies de circulation; aires avions; terminal; hangars; tour; maintenance</x:v>
      </x:c>
      <x:c r="G77" s="115" t="str">
        <x:v>piste; taxiways; route; rail si raccordé</x:v>
      </x:c>
      <x:c r="H77" s="115" t="str">
        <x:v>Continuité piste-taxiway-apron ; obstacles et bâtiments hors réserves ; grandes emprises non comprimées.</x:v>
      </x:c>
      <x:c r="I77" s="115" t="str">
        <x:v>Emprise 1100–1100 × 1300–1700 m ; hauteur 14–22 m ; choix de composition auteur ; dimensions réelles à documenter.</x:v>
      </x:c>
      <x:c r="J77" s="115" t="str">
        <x:v>https://github.com/darknigthmare/deadwall-last-enclosure/blob/f0ef5a2036d4876ae8f4d4477676da968a032d01/docs/codex/suivi-monde2026/AEROPORTS_RAIL_2026.md</x:v>
      </x:c>
      <x:c r="K77" s="115" t="str">
        <x:v>50 plans inspectables dans le Guide auteur ; géométrie partielle et campagne encore ouvertes.</x:v>
      </x:c>
      <x:c r="L77" t="n">
        <x:f>COUNTIF('Variantes à concevoir'!$B$6:$B$4005,A77)</x:f>
        <x:v>50</x:v>
      </x:c>
    </x:row>
    <x:row r="78" ht="96" customHeight="1">
      <x:c r="A78" s="115" t="str">
        <x:v>EXT-MONDE-T073</x:v>
      </x:c>
      <x:c r="B78" s="115" t="str">
        <x:v>Ferroviaire</x:v>
      </x:c>
      <x:c r="C78" s="115" t="str">
        <x:v>Gare de passage</x:v>
      </x:c>
      <x:c r="D78" s="115" t="n">
        <x:v>50</x:v>
      </x:c>
      <x:c r="E78" s="115" t="str">
        <x:v>Inspection physique</x:v>
      </x:c>
      <x:c r="F78" s="115" t="str">
        <x:v>voies; quais; hall; ateliers; aiguillages; réserves; accès voyageurs</x:v>
      </x:c>
      <x:c r="G78" s="115" t="str">
        <x:v>rail continu; fret; route; piétons</x:v>
      </x:c>
      <x:c r="H78" s="115" t="str">
        <x:v>Chaque voie possède destination ou butoir ; aiguilles explicites ; niveau des croisements respecté.</x:v>
      </x:c>
      <x:c r="I78" s="115" t="str">
        <x:v>Emprise 800–800 × 1700–2340 m ; hauteur 7–7,8 m ; choix de composition auteur ; dimensions réelles à documenter.</x:v>
      </x:c>
      <x:c r="J78" s="115" t="str">
        <x:v>https://github.com/darknigthmare/deadwall-last-enclosure/blob/f0ef5a2036d4876ae8f4d4477676da968a032d01/docs/codex/suivi-monde2026/AEROPORTS_RAIL_2026.md</x:v>
      </x:c>
      <x:c r="K78" s="115" t="str">
        <x:v>50 plans inspectables dans le Guide auteur ; géométrie partielle et campagne encore ouvertes.</x:v>
      </x:c>
      <x:c r="L78" t="n">
        <x:f>COUNTIF('Variantes à concevoir'!$B$6:$B$4005,A78)</x:f>
        <x:v>50</x:v>
      </x:c>
    </x:row>
    <x:row r="79" ht="96" customHeight="1">
      <x:c r="A79" s="115" t="str">
        <x:v>EXT-MONDE-T074</x:v>
      </x:c>
      <x:c r="B79" s="115" t="str">
        <x:v>Ferroviaire</x:v>
      </x:c>
      <x:c r="C79" s="115" t="str">
        <x:v>Gare terminus</x:v>
      </x:c>
      <x:c r="D79" s="115" t="n">
        <x:v>50</x:v>
      </x:c>
      <x:c r="E79" s="115" t="str">
        <x:v>Inspection physique</x:v>
      </x:c>
      <x:c r="F79" s="115" t="str">
        <x:v>voies; quais; hall; ateliers; aiguillages; réserves; accès voyageurs</x:v>
      </x:c>
      <x:c r="G79" s="115" t="str">
        <x:v>rail continu; fret; route; piétons</x:v>
      </x:c>
      <x:c r="H79" s="115" t="str">
        <x:v>Chaque voie possède destination ou butoir ; aiguilles explicites ; niveau des croisements respecté.</x:v>
      </x:c>
      <x:c r="I79" s="115" t="str">
        <x:v>Emprise 800–800 × 1900–2700 m ; hauteur 7–7,8 m ; choix de composition auteur ; dimensions réelles à documenter.</x:v>
      </x:c>
      <x:c r="J79" s="115" t="str">
        <x:v>https://github.com/darknigthmare/deadwall-last-enclosure/blob/f0ef5a2036d4876ae8f4d4477676da968a032d01/docs/codex/suivi-monde2026/AEROPORTS_RAIL_2026.md</x:v>
      </x:c>
      <x:c r="K79" s="115" t="str">
        <x:v>50 plans inspectables dans le Guide auteur ; géométrie partielle et campagne encore ouvertes.</x:v>
      </x:c>
      <x:c r="L79" t="n">
        <x:f>COUNTIF('Variantes à concevoir'!$B$6:$B$4005,A79)</x:f>
        <x:v>50</x:v>
      </x:c>
    </x:row>
    <x:row r="80" ht="96" customHeight="1">
      <x:c r="A80" s="115" t="str">
        <x:v>EXT-MONDE-T075</x:v>
      </x:c>
      <x:c r="B80" s="115" t="str">
        <x:v>Ferroviaire</x:v>
      </x:c>
      <x:c r="C80" s="115" t="str">
        <x:v>Gare de triage</x:v>
      </x:c>
      <x:c r="D80" s="115" t="n">
        <x:v>50</x:v>
      </x:c>
      <x:c r="E80" s="115" t="str">
        <x:v>Inspection physique</x:v>
      </x:c>
      <x:c r="F80" s="115" t="str">
        <x:v>voies; quais; hall; ateliers; aiguillages; réserves; accès voyageurs</x:v>
      </x:c>
      <x:c r="G80" s="115" t="str">
        <x:v>rail continu; fret; route; piétons</x:v>
      </x:c>
      <x:c r="H80" s="115" t="str">
        <x:v>Chaque voie possède destination ou butoir ; aiguilles explicites ; niveau des croisements respecté.</x:v>
      </x:c>
      <x:c r="I80" s="115" t="str">
        <x:v>Emprise 800–800 × 2500–3300 m ; hauteur 7–7,8 m ; choix de composition auteur ; dimensions réelles à documenter.</x:v>
      </x:c>
      <x:c r="J80" s="115" t="str">
        <x:v>https://github.com/darknigthmare/deadwall-last-enclosure/blob/f0ef5a2036d4876ae8f4d4477676da968a032d01/docs/codex/suivi-monde2026/AEROPORTS_RAIL_2026.md</x:v>
      </x:c>
      <x:c r="K80" s="115" t="str">
        <x:v>50 plans inspectables dans le Guide auteur ; géométrie partielle et campagne encore ouvertes.</x:v>
      </x:c>
      <x:c r="L80" t="n">
        <x:f>COUNTIF('Variantes à concevoir'!$B$6:$B$4005,A80)</x:f>
        <x:v>50</x:v>
      </x:c>
    </x:row>
    <x:row r="81" ht="96" customHeight="1">
      <x:c r="A81" s="115" t="str">
        <x:v>EXT-MONDE-T076</x:v>
      </x:c>
      <x:c r="B81" s="115" t="str">
        <x:v>Ferroviaire</x:v>
      </x:c>
      <x:c r="C81" s="115" t="str">
        <x:v>Dépôt ferroviaire</x:v>
      </x:c>
      <x:c r="D81" s="115" t="n">
        <x:v>50</x:v>
      </x:c>
      <x:c r="E81" s="115" t="str">
        <x:v>Inspection physique</x:v>
      </x:c>
      <x:c r="F81" s="115" t="str">
        <x:v>voies; quais; hall; ateliers; aiguillages; réserves; accès voyageurs</x:v>
      </x:c>
      <x:c r="G81" s="115" t="str">
        <x:v>rail continu; fret; route; piétons</x:v>
      </x:c>
      <x:c r="H81" s="115" t="str">
        <x:v>Chaque voie possède destination ou butoir ; aiguilles explicites ; niveau des croisements respecté.</x:v>
      </x:c>
      <x:c r="I81" s="115" t="str">
        <x:v>Emprise 800–800 × 2100–2740 m ; hauteur 7–7,8 m ; choix de composition auteur ; dimensions réelles à documenter.</x:v>
      </x:c>
      <x:c r="J81" s="115" t="str">
        <x:v>https://github.com/darknigthmare/deadwall-last-enclosure/blob/f0ef5a2036d4876ae8f4d4477676da968a032d01/docs/codex/suivi-monde2026/AEROPORTS_RAIL_2026.md</x:v>
      </x:c>
      <x:c r="K81" s="115" t="str">
        <x:v>50 plans inspectables dans le Guide auteur ; géométrie partielle et campagne encore ouvertes.</x:v>
      </x:c>
      <x:c r="L81" t="n">
        <x:f>COUNTIF('Variantes à concevoir'!$B$6:$B$4005,A81)</x:f>
        <x:v>50</x:v>
      </x:c>
    </x:row>
    <x:row r="82" ht="96" customHeight="1">
      <x:c r="A82" s="115" t="str">
        <x:v>EXT-MONDE-T077</x:v>
      </x:c>
      <x:c r="B82" s="115" t="str">
        <x:v>Îles</x:v>
      </x:c>
      <x:c r="C82" s="115" t="str">
        <x:v>Îlot de phare</x:v>
      </x:c>
      <x:c r="D82" s="115" t="n">
        <x:v>50</x:v>
      </x:c>
      <x:c r="E82" s="115" t="str">
        <x:v>Inspection physique</x:v>
      </x:c>
      <x:c r="F82" s="115" t="str">
        <x:v>littoral; relief; accès; habitats; réserves; services; chemins internes</x:v>
      </x:c>
      <x:c r="G82" s="115" t="str">
        <x:v>liaison nautique; pont si prévu; réseaux locaux</x:v>
      </x:c>
      <x:c r="H82" s="115" t="str">
        <x:v>Taille réelle de l’île et rivage avant bâtiments ; ressources et accès autonomes sans réseaux vers le vide.</x:v>
      </x:c>
      <x:c r="I82" s="115" t="str">
        <x:v>Emprise 336–392 × 276–324 m ; hauteur 32–32 m ; choix de composition auteur ; dimensions réelles à documenter.</x:v>
      </x:c>
      <x:c r="J82" s="115" t="str">
        <x:v>https://github.com/darknigthmare/deadwall-last-enclosure/blob/f0ef5a2036d4876ae8f4d4477676da968a032d01/docs/codex/suivi-monde2026/PORTS_ILES_2026.md</x:v>
      </x:c>
      <x:c r="K82" s="115" t="str">
        <x:v>50 plans inspectables dans le Guide auteur ; géométrie partielle et campagne encore ouvertes.</x:v>
      </x:c>
      <x:c r="L82" t="n">
        <x:f>COUNTIF('Variantes à concevoir'!$B$6:$B$4005,A82)</x:f>
        <x:v>50</x:v>
      </x:c>
    </x:row>
    <x:row r="83" ht="96" customHeight="1">
      <x:c r="A83" s="115" t="str">
        <x:v>EXT-MONDE-T078</x:v>
      </x:c>
      <x:c r="B83" s="115" t="str">
        <x:v>Îles</x:v>
      </x:c>
      <x:c r="C83" s="115" t="str">
        <x:v>Île agricole habitée</x:v>
      </x:c>
      <x:c r="D83" s="115" t="n">
        <x:v>50</x:v>
      </x:c>
      <x:c r="E83" s="115" t="str">
        <x:v>Inspection physique</x:v>
      </x:c>
      <x:c r="F83" s="115" t="str">
        <x:v>littoral; relief; accès; habitats; réserves; services; chemins internes</x:v>
      </x:c>
      <x:c r="G83" s="115" t="str">
        <x:v>liaison nautique; pont si prévu; réseaux locaux</x:v>
      </x:c>
      <x:c r="H83" s="115" t="str">
        <x:v>Taille réelle de l’île et rivage avant bâtiments ; ressources et accès autonomes sans réseaux vers le vide.</x:v>
      </x:c>
      <x:c r="I83" s="115" t="str">
        <x:v>Emprise 576–632 × 556–604 m ; hauteur 14–14 m ; choix de composition auteur ; dimensions réelles à documenter.</x:v>
      </x:c>
      <x:c r="J83" s="115" t="str">
        <x:v>https://github.com/darknigthmare/deadwall-last-enclosure/blob/f0ef5a2036d4876ae8f4d4477676da968a032d01/docs/codex/suivi-monde2026/PORTS_ILES_2026.md</x:v>
      </x:c>
      <x:c r="K83" s="115" t="str">
        <x:v>50 plans inspectables dans le Guide auteur ; géométrie partielle et campagne encore ouvertes.</x:v>
      </x:c>
      <x:c r="L83" t="n">
        <x:f>COUNTIF('Variantes à concevoir'!$B$6:$B$4005,A83)</x:f>
        <x:v>50</x:v>
      </x:c>
    </x:row>
    <x:row r="84" ht="96" customHeight="1">
      <x:c r="A84" s="115" t="str">
        <x:v>EXT-MONDE-T079</x:v>
      </x:c>
      <x:c r="B84" s="115" t="str">
        <x:v>Îles</x:v>
      </x:c>
      <x:c r="C84" s="115" t="str">
        <x:v>Île portuaire industrielle</x:v>
      </x:c>
      <x:c r="D84" s="115" t="n">
        <x:v>50</x:v>
      </x:c>
      <x:c r="E84" s="115" t="str">
        <x:v>Inspection physique</x:v>
      </x:c>
      <x:c r="F84" s="115" t="str">
        <x:v>littoral; relief; accès; habitats; réserves; services; chemins internes</x:v>
      </x:c>
      <x:c r="G84" s="115" t="str">
        <x:v>liaison nautique; pont si prévu; réseaux locaux</x:v>
      </x:c>
      <x:c r="H84" s="115" t="str">
        <x:v>Taille réelle de l’île et rivage avant bâtiments ; ressources et accès autonomes sans réseaux vers le vide.</x:v>
      </x:c>
      <x:c r="I84" s="115" t="str">
        <x:v>Emprise 696–752 × 716–764 m ; hauteur 30–30 m ; choix de composition auteur ; dimensions réelles à documenter.</x:v>
      </x:c>
      <x:c r="J84" s="115" t="str">
        <x:v>https://github.com/darknigthmare/deadwall-last-enclosure/blob/f0ef5a2036d4876ae8f4d4477676da968a032d01/docs/codex/suivi-monde2026/PORTS_ILES_2026.md</x:v>
      </x:c>
      <x:c r="K84" s="115" t="str">
        <x:v>50 plans inspectables dans le Guide auteur ; géométrie partielle et campagne encore ouvertes.</x:v>
      </x:c>
      <x:c r="L84" t="n">
        <x:f>COUNTIF('Variantes à concevoir'!$B$6:$B$4005,A84)</x:f>
        <x:v>50</x:v>
      </x:c>
    </x:row>
    <x:row r="85" ht="96" customHeight="1">
      <x:c r="A85" s="115" t="str">
        <x:v>EXT-MONDE-T080</x:v>
      </x:c>
      <x:c r="B85" s="115" t="str">
        <x:v>Îles</x:v>
      </x:c>
      <x:c r="C85" s="115" t="str">
        <x:v>Grande île mixte</x:v>
      </x:c>
      <x:c r="D85" s="115" t="n">
        <x:v>50</x:v>
      </x:c>
      <x:c r="E85" s="115" t="str">
        <x:v>Inspection physique</x:v>
      </x:c>
      <x:c r="F85" s="115" t="str">
        <x:v>littoral; relief; accès; habitats; réserves; services; chemins internes</x:v>
      </x:c>
      <x:c r="G85" s="115" t="str">
        <x:v>liaison nautique; pont si prévu; réseaux locaux</x:v>
      </x:c>
      <x:c r="H85" s="115" t="str">
        <x:v>Taille réelle de l’île et rivage avant bâtiments ; ressources et accès autonomes sans réseaux vers le vide.</x:v>
      </x:c>
      <x:c r="I85" s="115" t="str">
        <x:v>Emprise 856–912 × 896–944 m ; hauteur 8–8 m ; choix de composition auteur ; dimensions réelles à documenter.</x:v>
      </x:c>
      <x:c r="J85" s="115" t="str">
        <x:v>https://github.com/darknigthmare/deadwall-last-enclosure/blob/f0ef5a2036d4876ae8f4d4477676da968a032d01/docs/codex/suivi-monde2026/PORTS_ILES_2026.md</x:v>
      </x:c>
      <x:c r="K85" s="115" t="str">
        <x:v>50 plans inspectables dans le Guide auteur ; géométrie partielle et campagne encore ouvertes.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48be88acc15d46bc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96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Inspection physique</x:v>
      </x:c>
      <x:c r="G6" s="16" t="str">
        <x:v>1 niveaux ; 26 pièces ; 198 segments de mur ; 0 transitions. Inspection physique ; architecture complète encore ouverte.</x:v>
      </x:c>
      <x:c r="H6" s="16" t="str">
        <x:v>L 242 ; l 200 ; hauteur 5,4 m ; choix de composition auteur ; dimensions réelles à documenter</x:v>
      </x:c>
      <x:c r="I6" s="16" t="str">
        <x:v>À équilibrer</x:v>
      </x:c>
      <x:c r="J6" s="16" t="str">
        <x:v>Non</x:v>
      </x:c>
      <x:c r="K6" s="16" t="str">
        <x:v>Pièces décrites, murs, portes, niveaux et mobilier inspectables à l’échelle. Volumes réservés, raccord au seed, butin, rencontres et services de campagne restent à terminer.</x:v>
      </x:c>
    </x:row>
    <x:row r="7" ht="96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Inspection physique</x:v>
      </x:c>
      <x:c r="G7" s="16" t="str">
        <x:v>1 niveaux ; 26 pièces ; 198 segments de mur ; 0 transitions. Inspection physique ; architecture complète encore ouverte.</x:v>
      </x:c>
      <x:c r="H7" s="16" t="str">
        <x:v>L 242 ; l 200 ; hauteur 5,4 m ; choix de composition auteur ; dimensions réelles à documenter</x:v>
      </x:c>
      <x:c r="I7" s="16" t="str">
        <x:v>À équilibrer</x:v>
      </x:c>
      <x:c r="J7" s="16" t="str">
        <x:v>Non</x:v>
      </x:c>
      <x:c r="K7" s="16" t="str">
        <x:v>Pièces décrites, murs, portes, niveaux et mobilier inspectables à l’échelle. Volumes réservés, raccord au seed, butin, rencontres et services de campagne restent à terminer.</x:v>
      </x:c>
    </x:row>
    <x:row r="8" ht="96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Inspection physique</x:v>
      </x:c>
      <x:c r="G8" s="16" t="str">
        <x:v>1 niveaux ; 26 pièces ; 198 segments de mur ; 0 transitions. Inspection physique ; architecture complète encore ouverte.</x:v>
      </x:c>
      <x:c r="H8" s="16" t="str">
        <x:v>L 242 ; l 200 ; hauteur 5,4 m ; choix de composition auteur ; dimensions réelles à documenter</x:v>
      </x:c>
      <x:c r="I8" s="16" t="str">
        <x:v>À équilibrer</x:v>
      </x:c>
      <x:c r="J8" s="16" t="str">
        <x:v>Non</x:v>
      </x:c>
      <x:c r="K8" s="16" t="str">
        <x:v>Pièces décrites, murs, portes, niveaux et mobilier inspectables à l’échelle. Volumes réservés, raccord au seed, butin, rencontres et services de campagne restent à terminer.</x:v>
      </x:c>
    </x:row>
    <x:row r="9" ht="96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Inspection physique</x:v>
      </x:c>
      <x:c r="G9" s="16" t="str">
        <x:v>1 niveaux ; 26 pièces ; 198 segments de mur ; 0 transitions. Inspection physique ; architecture complète encore ouverte.</x:v>
      </x:c>
      <x:c r="H9" s="16" t="str">
        <x:v>L 242 ; l 200 ; hauteur 5,4 m ; choix de composition auteur ; dimensions réelles à documenter</x:v>
      </x:c>
      <x:c r="I9" s="16" t="str">
        <x:v>À équilibrer</x:v>
      </x:c>
      <x:c r="J9" s="16" t="str">
        <x:v>Non</x:v>
      </x:c>
      <x:c r="K9" s="16" t="str">
        <x:v>Pièces décrites, murs, portes, niveaux et mobilier inspectables à l’échelle. Volumes réservés, raccord au seed, butin, rencontres et services de campagne restent à terminer.</x:v>
      </x:c>
    </x:row>
    <x:row r="10" ht="96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Inspection physique</x:v>
      </x:c>
      <x:c r="G10" s="16" t="str">
        <x:v>1 niveaux ; 26 pièces ; 198 segments de mur ; 0 transitions. Inspection physique ; architecture complète encore ouverte.</x:v>
      </x:c>
      <x:c r="H10" s="16" t="str">
        <x:v>L 242 ; l 200 ; hauteur 5,4 m ; choix de composition auteur ; dimensions réelles à documenter</x:v>
      </x:c>
      <x:c r="I10" s="16" t="str">
        <x:v>À équilibrer</x:v>
      </x:c>
      <x:c r="J10" s="16" t="str">
        <x:v>Non</x:v>
      </x:c>
      <x:c r="K10" s="16" t="str">
        <x:v>Pièces décrites, murs, portes, niveaux et mobilier inspectables à l’échelle. Volumes réservés, raccord au seed, butin, rencontres et services de campagne restent à terminer.</x:v>
      </x:c>
    </x:row>
    <x:row r="11" ht="96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Inspection physique</x:v>
      </x:c>
      <x:c r="G11" s="16" t="str">
        <x:v>1 niveaux ; 26 pièces ; 198 segments de mur ; 0 transitions. Inspection physique ; architecture complète encore ouverte.</x:v>
      </x:c>
      <x:c r="H11" s="16" t="str">
        <x:v>L 242 ; l 200 ; hauteur 5,4 m ; choix de composition auteur ; dimensions réelles à documenter</x:v>
      </x:c>
      <x:c r="I11" s="16" t="str">
        <x:v>À équilibrer</x:v>
      </x:c>
      <x:c r="J11" s="16" t="str">
        <x:v>Non</x:v>
      </x:c>
      <x:c r="K11" s="16" t="str">
        <x:v>Pièces décrites, murs, portes, niveaux et mobilier inspectables à l’échelle. Volumes réservés, raccord au seed, butin, rencontres et services de campagne restent à terminer.</x:v>
      </x:c>
    </x:row>
    <x:row r="12" ht="96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Inspection physique</x:v>
      </x:c>
      <x:c r="G12" s="16" t="str">
        <x:v>1 niveaux ; 26 pièces ; 198 segments de mur ; 0 transitions. Inspection physique ; architecture complète encore ouverte.</x:v>
      </x:c>
      <x:c r="H12" s="16" t="str">
        <x:v>L 242 ; l 200 ; hauteur 5,4 m ; choix de composition auteur ; dimensions réelles à documenter</x:v>
      </x:c>
      <x:c r="I12" s="16" t="str">
        <x:v>À équilibrer</x:v>
      </x:c>
      <x:c r="J12" s="16" t="str">
        <x:v>Non</x:v>
      </x:c>
      <x:c r="K12" s="16" t="str">
        <x:v>Pièces décrites, murs, portes, niveaux et mobilier inspectables à l’échelle. Volumes réservés, raccord au seed, butin, rencontres et services de campagne restent à terminer.</x:v>
      </x:c>
    </x:row>
    <x:row r="13" ht="96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Inspection physique</x:v>
      </x:c>
      <x:c r="G13" s="16" t="str">
        <x:v>1 niveaux ; 26 pièces ; 198 segments de mur ; 0 transitions. Inspection physique ; architecture complète encore ouverte.</x:v>
      </x:c>
      <x:c r="H13" s="16" t="str">
        <x:v>L 242 ; l 200 ; hauteur 5,4 m ; choix de composition auteur ; dimensions réelles à documenter</x:v>
      </x:c>
      <x:c r="I13" s="16" t="str">
        <x:v>À équilibrer</x:v>
      </x:c>
      <x:c r="J13" s="16" t="str">
        <x:v>Non</x:v>
      </x:c>
      <x:c r="K13" s="16" t="str">
        <x:v>Pièces décrites, murs, portes, niveaux et mobilier inspectables à l’échelle. Volumes réservés, raccord au seed, butin, rencontres et services de campagne restent à terminer.</x:v>
      </x:c>
    </x:row>
    <x:row r="14" ht="96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Inspection physique</x:v>
      </x:c>
      <x:c r="G14" s="16" t="str">
        <x:v>1 niveaux ; 26 pièces ; 198 segments de mur ; 0 transitions. Inspection physique ; architecture complète encore ouverte.</x:v>
      </x:c>
      <x:c r="H14" s="16" t="str">
        <x:v>L 242 ; l 200 ; hauteur 5,4 m ; choix de composition auteur ; dimensions réelles à documenter</x:v>
      </x:c>
      <x:c r="I14" s="16" t="str">
        <x:v>À équilibrer</x:v>
      </x:c>
      <x:c r="J14" s="16" t="str">
        <x:v>Non</x:v>
      </x:c>
      <x:c r="K14" s="16" t="str">
        <x:v>Pièces décrites, murs, portes, niveaux et mobilier inspectables à l’échelle. Volumes réservés, raccord au seed, butin, rencontres et services de campagne restent à terminer.</x:v>
      </x:c>
    </x:row>
    <x:row r="15" ht="96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Inspection physique</x:v>
      </x:c>
      <x:c r="G15" s="16" t="str">
        <x:v>1 niveaux ; 26 pièces ; 198 segments de mur ; 0 transitions. Inspection physique ; architecture complète encore ouverte.</x:v>
      </x:c>
      <x:c r="H15" s="16" t="str">
        <x:v>L 242 ; l 200 ; hauteur 5,4 m ; choix de composition auteur ; dimensions réelles à documenter</x:v>
      </x:c>
      <x:c r="I15" s="16" t="str">
        <x:v>À équilibrer</x:v>
      </x:c>
      <x:c r="J15" s="16" t="str">
        <x:v>Non</x:v>
      </x:c>
      <x:c r="K15" s="16" t="str">
        <x:v>Pièces décrites, murs, portes, niveaux et mobilier inspectables à l’échelle. Volumes réservés, raccord au seed, butin, rencontres et services de campagne restent à terminer.</x:v>
      </x:c>
    </x:row>
    <x:row r="16" ht="96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Inspection physique</x:v>
      </x:c>
      <x:c r="G16" s="16" t="str">
        <x:v>1 niveaux ; 26 pièces ; 198 segments de mur ; 0 transitions. Inspection physique ; architecture complète encore ouverte.</x:v>
      </x:c>
      <x:c r="H16" s="16" t="str">
        <x:v>L 256 ; l 216 ; hauteur 5,55 m ; choix de composition auteur ; dimensions réelles à documenter</x:v>
      </x:c>
      <x:c r="I16" s="16" t="str">
        <x:v>À équilibrer</x:v>
      </x:c>
      <x:c r="J16" s="16" t="str">
        <x:v>Non</x:v>
      </x:c>
      <x:c r="K16" s="16" t="str">
        <x:v>Pièces décrites, murs, portes, niveaux et mobilier inspectables à l’échelle. Volumes réservés, raccord au seed, butin, rencontres et services de campagne restent à terminer.</x:v>
      </x:c>
    </x:row>
    <x:row r="17" ht="96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Inspection physique</x:v>
      </x:c>
      <x:c r="G17" s="16" t="str">
        <x:v>1 niveaux ; 26 pièces ; 198 segments de mur ; 0 transitions. Inspection physique ; architecture complète encore ouverte.</x:v>
      </x:c>
      <x:c r="H17" s="16" t="str">
        <x:v>L 256 ; l 216 ; hauteur 5,55 m ; choix de composition auteur ; dimensions réelles à documenter</x:v>
      </x:c>
      <x:c r="I17" s="16" t="str">
        <x:v>À équilibrer</x:v>
      </x:c>
      <x:c r="J17" s="16" t="str">
        <x:v>Non</x:v>
      </x:c>
      <x:c r="K17" s="16" t="str">
        <x:v>Pièces décrites, murs, portes, niveaux et mobilier inspectables à l’échelle. Volumes réservés, raccord au seed, butin, rencontres et services de campagne restent à terminer.</x:v>
      </x:c>
    </x:row>
    <x:row r="18" ht="96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Inspection physique</x:v>
      </x:c>
      <x:c r="G18" s="16" t="str">
        <x:v>1 niveaux ; 26 pièces ; 198 segments de mur ; 0 transitions. Inspection physique ; architecture complète encore ouverte.</x:v>
      </x:c>
      <x:c r="H18" s="16" t="str">
        <x:v>L 256 ; l 216 ; hauteur 5,55 m ; choix de composition auteur ; dimensions réelles à documenter</x:v>
      </x:c>
      <x:c r="I18" s="16" t="str">
        <x:v>À équilibrer</x:v>
      </x:c>
      <x:c r="J18" s="16" t="str">
        <x:v>Non</x:v>
      </x:c>
      <x:c r="K18" s="16" t="str">
        <x:v>Pièces décrites, murs, portes, niveaux et mobilier inspectables à l’échelle. Volumes réservés, raccord au seed, butin, rencontres et services de campagne restent à terminer.</x:v>
      </x:c>
    </x:row>
    <x:row r="19" ht="96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Inspection physique</x:v>
      </x:c>
      <x:c r="G19" s="16" t="str">
        <x:v>1 niveaux ; 26 pièces ; 198 segments de mur ; 0 transitions. Inspection physique ; architecture complète encore ouverte.</x:v>
      </x:c>
      <x:c r="H19" s="16" t="str">
        <x:v>L 256 ; l 216 ; hauteur 5,55 m ; choix de composition auteur ; dimensions réelles à documenter</x:v>
      </x:c>
      <x:c r="I19" s="16" t="str">
        <x:v>À équilibrer</x:v>
      </x:c>
      <x:c r="J19" s="16" t="str">
        <x:v>Non</x:v>
      </x:c>
      <x:c r="K19" s="16" t="str">
        <x:v>Pièces décrites, murs, portes, niveaux et mobilier inspectables à l’échelle. Volumes réservés, raccord au seed, butin, rencontres et services de campagne restent à terminer.</x:v>
      </x:c>
    </x:row>
    <x:row r="20" ht="96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Inspection physique</x:v>
      </x:c>
      <x:c r="G20" s="16" t="str">
        <x:v>1 niveaux ; 26 pièces ; 198 segments de mur ; 0 transitions. Inspection physique ; architecture complète encore ouverte.</x:v>
      </x:c>
      <x:c r="H20" s="16" t="str">
        <x:v>L 256 ; l 216 ; hauteur 5,55 m ; choix de composition auteur ; dimensions réelles à documenter</x:v>
      </x:c>
      <x:c r="I20" s="16" t="str">
        <x:v>À équilibrer</x:v>
      </x:c>
      <x:c r="J20" s="16" t="str">
        <x:v>Non</x:v>
      </x:c>
      <x:c r="K20" s="16" t="str">
        <x:v>Pièces décrites, murs, portes, niveaux et mobilier inspectables à l’échelle. Volumes réservés, raccord au seed, butin, rencontres et services de campagne restent à terminer.</x:v>
      </x:c>
    </x:row>
    <x:row r="21" ht="96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Inspection physique</x:v>
      </x:c>
      <x:c r="G21" s="16" t="str">
        <x:v>1 niveaux ; 26 pièces ; 198 segments de mur ; 0 transitions. Inspection physique ; architecture complète encore ouverte.</x:v>
      </x:c>
      <x:c r="H21" s="16" t="str">
        <x:v>L 256 ; l 216 ; hauteur 5,55 m ; choix de composition auteur ; dimensions réelles à documenter</x:v>
      </x:c>
      <x:c r="I21" s="16" t="str">
        <x:v>À équilibrer</x:v>
      </x:c>
      <x:c r="J21" s="16" t="str">
        <x:v>Non</x:v>
      </x:c>
      <x:c r="K21" s="16" t="str">
        <x:v>Pièces décrites, murs, portes, niveaux et mobilier inspectables à l’échelle. Volumes réservés, raccord au seed, butin, rencontres et services de campagne restent à terminer.</x:v>
      </x:c>
    </x:row>
    <x:row r="22" ht="96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Inspection physique</x:v>
      </x:c>
      <x:c r="G22" s="16" t="str">
        <x:v>1 niveaux ; 26 pièces ; 198 segments de mur ; 0 transitions. Inspection physique ; architecture complète encore ouverte.</x:v>
      </x:c>
      <x:c r="H22" s="16" t="str">
        <x:v>L 256 ; l 216 ; hauteur 5,55 m ; choix de composition auteur ; dimensions réelles à documenter</x:v>
      </x:c>
      <x:c r="I22" s="16" t="str">
        <x:v>À équilibrer</x:v>
      </x:c>
      <x:c r="J22" s="16" t="str">
        <x:v>Non</x:v>
      </x:c>
      <x:c r="K22" s="16" t="str">
        <x:v>Pièces décrites, murs, portes, niveaux et mobilier inspectables à l’échelle. Volumes réservés, raccord au seed, butin, rencontres et services de campagne restent à terminer.</x:v>
      </x:c>
    </x:row>
    <x:row r="23" ht="96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Inspection physique</x:v>
      </x:c>
      <x:c r="G23" s="16" t="str">
        <x:v>1 niveaux ; 26 pièces ; 198 segments de mur ; 0 transitions. Inspection physique ; architecture complète encore ouverte.</x:v>
      </x:c>
      <x:c r="H23" s="16" t="str">
        <x:v>L 256 ; l 216 ; hauteur 5,55 m ; choix de composition auteur ; dimensions réelles à documenter</x:v>
      </x:c>
      <x:c r="I23" s="16" t="str">
        <x:v>À équilibrer</x:v>
      </x:c>
      <x:c r="J23" s="16" t="str">
        <x:v>Non</x:v>
      </x:c>
      <x:c r="K23" s="16" t="str">
        <x:v>Pièces décrites, murs, portes, niveaux et mobilier inspectables à l’échelle. Volumes réservés, raccord au seed, butin, rencontres et services de campagne restent à terminer.</x:v>
      </x:c>
    </x:row>
    <x:row r="24" ht="96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Inspection physique</x:v>
      </x:c>
      <x:c r="G24" s="16" t="str">
        <x:v>1 niveaux ; 26 pièces ; 198 segments de mur ; 0 transitions. Inspection physique ; architecture complète encore ouverte.</x:v>
      </x:c>
      <x:c r="H24" s="16" t="str">
        <x:v>L 256 ; l 216 ; hauteur 5,55 m ; choix de composition auteur ; dimensions réelles à documenter</x:v>
      </x:c>
      <x:c r="I24" s="16" t="str">
        <x:v>À équilibrer</x:v>
      </x:c>
      <x:c r="J24" s="16" t="str">
        <x:v>Non</x:v>
      </x:c>
      <x:c r="K24" s="16" t="str">
        <x:v>Pièces décrites, murs, portes, niveaux et mobilier inspectables à l’échelle. Volumes réservés, raccord au seed, butin, rencontres et services de campagne restent à terminer.</x:v>
      </x:c>
    </x:row>
    <x:row r="25" ht="96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Inspection physique</x:v>
      </x:c>
      <x:c r="G25" s="16" t="str">
        <x:v>1 niveaux ; 26 pièces ; 198 segments de mur ; 0 transitions. Inspection physique ; architecture complète encore ouverte.</x:v>
      </x:c>
      <x:c r="H25" s="16" t="str">
        <x:v>L 256 ; l 216 ; hauteur 5,55 m ; choix de composition auteur ; dimensions réelles à documenter</x:v>
      </x:c>
      <x:c r="I25" s="16" t="str">
        <x:v>À équilibrer</x:v>
      </x:c>
      <x:c r="J25" s="16" t="str">
        <x:v>Non</x:v>
      </x:c>
      <x:c r="K25" s="16" t="str">
        <x:v>Pièces décrites, murs, portes, niveaux et mobilier inspectables à l’échelle. Volumes réservés, raccord au seed, butin, rencontres et services de campagne restent à terminer.</x:v>
      </x:c>
    </x:row>
    <x:row r="26" ht="96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Inspection physique</x:v>
      </x:c>
      <x:c r="G26" s="16" t="str">
        <x:v>1 niveaux ; 26 pièces ; 198 segments de mur ; 0 transitions. Inspection physique ; architecture complète encore ouverte.</x:v>
      </x:c>
      <x:c r="H26" s="16" t="str">
        <x:v>L 270 ; l 232 ; hauteur 5,7 m ; choix de composition auteur ; dimensions réelles à documenter</x:v>
      </x:c>
      <x:c r="I26" s="16" t="str">
        <x:v>À équilibrer</x:v>
      </x:c>
      <x:c r="J26" s="16" t="str">
        <x:v>Non</x:v>
      </x:c>
      <x:c r="K26" s="16" t="str">
        <x:v>Pièces décrites, murs, portes, niveaux et mobilier inspectables à l’échelle. Volumes réservés, raccord au seed, butin, rencontres et services de campagne restent à terminer.</x:v>
      </x:c>
    </x:row>
    <x:row r="27" ht="96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Inspection physique</x:v>
      </x:c>
      <x:c r="G27" s="16" t="str">
        <x:v>1 niveaux ; 26 pièces ; 198 segments de mur ; 0 transitions. Inspection physique ; architecture complète encore ouverte.</x:v>
      </x:c>
      <x:c r="H27" s="16" t="str">
        <x:v>L 270 ; l 232 ; hauteur 5,7 m ; choix de composition auteur ; dimensions réelles à documenter</x:v>
      </x:c>
      <x:c r="I27" s="16" t="str">
        <x:v>À équilibrer</x:v>
      </x:c>
      <x:c r="J27" s="16" t="str">
        <x:v>Non</x:v>
      </x:c>
      <x:c r="K27" s="16" t="str">
        <x:v>Pièces décrites, murs, portes, niveaux et mobilier inspectables à l’échelle. Volumes réservés, raccord au seed, butin, rencontres et services de campagne restent à terminer.</x:v>
      </x:c>
    </x:row>
    <x:row r="28" ht="96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Inspection physique</x:v>
      </x:c>
      <x:c r="G28" s="16" t="str">
        <x:v>1 niveaux ; 26 pièces ; 198 segments de mur ; 0 transitions. Inspection physique ; architecture complète encore ouverte.</x:v>
      </x:c>
      <x:c r="H28" s="16" t="str">
        <x:v>L 270 ; l 232 ; hauteur 5,7 m ; choix de composition auteur ; dimensions réelles à documenter</x:v>
      </x:c>
      <x:c r="I28" s="16" t="str">
        <x:v>À équilibrer</x:v>
      </x:c>
      <x:c r="J28" s="16" t="str">
        <x:v>Non</x:v>
      </x:c>
      <x:c r="K28" s="16" t="str">
        <x:v>Pièces décrites, murs, portes, niveaux et mobilier inspectables à l’échelle. Volumes réservés, raccord au seed, butin, rencontres et services de campagne restent à terminer.</x:v>
      </x:c>
    </x:row>
    <x:row r="29" ht="96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Inspection physique</x:v>
      </x:c>
      <x:c r="G29" s="16" t="str">
        <x:v>1 niveaux ; 26 pièces ; 198 segments de mur ; 0 transitions. Inspection physique ; architecture complète encore ouverte.</x:v>
      </x:c>
      <x:c r="H29" s="16" t="str">
        <x:v>L 270 ; l 232 ; hauteur 5,7 m ; choix de composition auteur ; dimensions réelles à documenter</x:v>
      </x:c>
      <x:c r="I29" s="16" t="str">
        <x:v>À équilibrer</x:v>
      </x:c>
      <x:c r="J29" s="16" t="str">
        <x:v>Non</x:v>
      </x:c>
      <x:c r="K29" s="16" t="str">
        <x:v>Pièces décrites, murs, portes, niveaux et mobilier inspectables à l’échelle. Volumes réservés, raccord au seed, butin, rencontres et services de campagne restent à terminer.</x:v>
      </x:c>
    </x:row>
    <x:row r="30" ht="96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Inspection physique</x:v>
      </x:c>
      <x:c r="G30" s="16" t="str">
        <x:v>1 niveaux ; 26 pièces ; 198 segments de mur ; 0 transitions. Inspection physique ; architecture complète encore ouverte.</x:v>
      </x:c>
      <x:c r="H30" s="16" t="str">
        <x:v>L 270 ; l 232 ; hauteur 5,7 m ; choix de composition auteur ; dimensions réelles à documenter</x:v>
      </x:c>
      <x:c r="I30" s="16" t="str">
        <x:v>À équilibrer</x:v>
      </x:c>
      <x:c r="J30" s="16" t="str">
        <x:v>Non</x:v>
      </x:c>
      <x:c r="K30" s="16" t="str">
        <x:v>Pièces décrites, murs, portes, niveaux et mobilier inspectables à l’échelle. Volumes réservés, raccord au seed, butin, rencontres et services de campagne restent à terminer.</x:v>
      </x:c>
    </x:row>
    <x:row r="31" ht="96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Inspection physique</x:v>
      </x:c>
      <x:c r="G31" s="16" t="str">
        <x:v>1 niveaux ; 26 pièces ; 198 segments de mur ; 0 transitions. Inspection physique ; architecture complète encore ouverte.</x:v>
      </x:c>
      <x:c r="H31" s="16" t="str">
        <x:v>L 270 ; l 232 ; hauteur 5,7 m ; choix de composition auteur ; dimensions réelles à documenter</x:v>
      </x:c>
      <x:c r="I31" s="16" t="str">
        <x:v>À équilibrer</x:v>
      </x:c>
      <x:c r="J31" s="16" t="str">
        <x:v>Non</x:v>
      </x:c>
      <x:c r="K31" s="16" t="str">
        <x:v>Pièces décrites, murs, portes, niveaux et mobilier inspectables à l’échelle. Volumes réservés, raccord au seed, butin, rencontres et services de campagne restent à terminer.</x:v>
      </x:c>
    </x:row>
    <x:row r="32" ht="96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Inspection physique</x:v>
      </x:c>
      <x:c r="G32" s="16" t="str">
        <x:v>1 niveaux ; 26 pièces ; 198 segments de mur ; 0 transitions. Inspection physique ; architecture complète encore ouverte.</x:v>
      </x:c>
      <x:c r="H32" s="16" t="str">
        <x:v>L 270 ; l 232 ; hauteur 5,7 m ; choix de composition auteur ; dimensions réelles à documenter</x:v>
      </x:c>
      <x:c r="I32" s="16" t="str">
        <x:v>À équilibrer</x:v>
      </x:c>
      <x:c r="J32" s="16" t="str">
        <x:v>Non</x:v>
      </x:c>
      <x:c r="K32" s="16" t="str">
        <x:v>Pièces décrites, murs, portes, niveaux et mobilier inspectables à l’échelle. Volumes réservés, raccord au seed, butin, rencontres et services de campagne restent à terminer.</x:v>
      </x:c>
    </x:row>
    <x:row r="33" ht="96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Inspection physique</x:v>
      </x:c>
      <x:c r="G33" s="16" t="str">
        <x:v>1 niveaux ; 26 pièces ; 198 segments de mur ; 0 transitions. Inspection physique ; architecture complète encore ouverte.</x:v>
      </x:c>
      <x:c r="H33" s="16" t="str">
        <x:v>L 270 ; l 232 ; hauteur 5,7 m ; choix de composition auteur ; dimensions réelles à documenter</x:v>
      </x:c>
      <x:c r="I33" s="16" t="str">
        <x:v>À équilibrer</x:v>
      </x:c>
      <x:c r="J33" s="16" t="str">
        <x:v>Non</x:v>
      </x:c>
      <x:c r="K33" s="16" t="str">
        <x:v>Pièces décrites, murs, portes, niveaux et mobilier inspectables à l’échelle. Volumes réservés, raccord au seed, butin, rencontres et services de campagne restent à terminer.</x:v>
      </x:c>
    </x:row>
    <x:row r="34" ht="96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Inspection physique</x:v>
      </x:c>
      <x:c r="G34" s="16" t="str">
        <x:v>1 niveaux ; 26 pièces ; 198 segments de mur ; 0 transitions. Inspection physique ; architecture complète encore ouverte.</x:v>
      </x:c>
      <x:c r="H34" s="16" t="str">
        <x:v>L 270 ; l 232 ; hauteur 5,7 m ; choix de composition auteur ; dimensions réelles à documenter</x:v>
      </x:c>
      <x:c r="I34" s="16" t="str">
        <x:v>À équilibrer</x:v>
      </x:c>
      <x:c r="J34" s="16" t="str">
        <x:v>Non</x:v>
      </x:c>
      <x:c r="K34" s="16" t="str">
        <x:v>Pièces décrites, murs, portes, niveaux et mobilier inspectables à l’échelle. Volumes réservés, raccord au seed, butin, rencontres et services de campagne restent à terminer.</x:v>
      </x:c>
    </x:row>
    <x:row r="35" ht="96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Inspection physique</x:v>
      </x:c>
      <x:c r="G35" s="16" t="str">
        <x:v>1 niveaux ; 26 pièces ; 198 segments de mur ; 0 transitions. Inspection physique ; architecture complète encore ouverte.</x:v>
      </x:c>
      <x:c r="H35" s="16" t="str">
        <x:v>L 270 ; l 232 ; hauteur 5,7 m ; choix de composition auteur ; dimensions réelles à documenter</x:v>
      </x:c>
      <x:c r="I35" s="16" t="str">
        <x:v>À équilibrer</x:v>
      </x:c>
      <x:c r="J35" s="16" t="str">
        <x:v>Non</x:v>
      </x:c>
      <x:c r="K35" s="16" t="str">
        <x:v>Pièces décrites, murs, portes, niveaux et mobilier inspectables à l’échelle. Volumes réservés, raccord au seed, butin, rencontres et services de campagne restent à terminer.</x:v>
      </x:c>
    </x:row>
    <x:row r="36" ht="96" customHeight="1">
      <x:c r="A36" s="115" t="str">
        <x:v>EXT-MONDE-T001-V31</x:v>
      </x:c>
      <x:c r="B36" s="115" t="str">
        <x:v>EXT-MONDE-T001</x:v>
      </x:c>
      <x:c r="C36" s="115" t="str">
        <x:v>Lacs</x:v>
      </x:c>
      <x:c r="D36" s="115" t="str">
        <x:v>Base nautique lacustre</x:v>
      </x:c>
      <x:c r="E36" s="115" t="n">
        <x:v>31</x:v>
      </x:c>
      <x:c r="F36" s="115" t="str">
        <x:v>Inspection physique</x:v>
      </x:c>
      <x:c r="G36" s="115" t="str">
        <x:v>1 niveaux ; 26 pièces ; 198 segments de mur ; 0 transitions. Inspection physique ; architecture complète encore ouverte.</x:v>
      </x:c>
      <x:c r="H36" s="115" t="str">
        <x:v>L 284 ; l 248 ; hauteur 5,85 m ; choix de composition auteur ; dimensions réelles à documenter</x:v>
      </x:c>
      <x:c r="I36" s="115" t="str">
        <x:v>À équilibrer</x:v>
      </x:c>
      <x:c r="J36" s="115" t="str">
        <x:v>Non</x:v>
      </x:c>
      <x:c r="K36" s="115" t="str">
        <x:v>Pièces décrites, murs, portes, niveaux et mobilier inspectables à l’échelle. Volumes réservés, raccord au seed, butin, rencontres et services de campagne restent à terminer.</x:v>
      </x:c>
    </x:row>
    <x:row r="37" ht="96" customHeight="1">
      <x:c r="A37" s="115" t="str">
        <x:v>EXT-MONDE-T001-V32</x:v>
      </x:c>
      <x:c r="B37" s="115" t="str">
        <x:v>EXT-MONDE-T001</x:v>
      </x:c>
      <x:c r="C37" s="115" t="str">
        <x:v>Lacs</x:v>
      </x:c>
      <x:c r="D37" s="115" t="str">
        <x:v>Base nautique lacustre</x:v>
      </x:c>
      <x:c r="E37" s="115" t="n">
        <x:v>32</x:v>
      </x:c>
      <x:c r="F37" s="115" t="str">
        <x:v>Inspection physique</x:v>
      </x:c>
      <x:c r="G37" s="115" t="str">
        <x:v>1 niveaux ; 26 pièces ; 198 segments de mur ; 0 transitions. Inspection physique ; architecture complète encore ouverte.</x:v>
      </x:c>
      <x:c r="H37" s="115" t="str">
        <x:v>L 284 ; l 248 ; hauteur 5,85 m ; choix de composition auteur ; dimensions réelles à documenter</x:v>
      </x:c>
      <x:c r="I37" s="115" t="str">
        <x:v>À équilibrer</x:v>
      </x:c>
      <x:c r="J37" s="115" t="str">
        <x:v>Non</x:v>
      </x:c>
      <x:c r="K37" s="115" t="str">
        <x:v>Pièces décrites, murs, portes, niveaux et mobilier inspectables à l’échelle. Volumes réservés, raccord au seed, butin, rencontres et services de campagne restent à terminer.</x:v>
      </x:c>
    </x:row>
    <x:row r="38" ht="96" customHeight="1">
      <x:c r="A38" s="115" t="str">
        <x:v>EXT-MONDE-T001-V33</x:v>
      </x:c>
      <x:c r="B38" s="115" t="str">
        <x:v>EXT-MONDE-T001</x:v>
      </x:c>
      <x:c r="C38" s="115" t="str">
        <x:v>Lacs</x:v>
      </x:c>
      <x:c r="D38" s="115" t="str">
        <x:v>Base nautique lacustre</x:v>
      </x:c>
      <x:c r="E38" s="115" t="n">
        <x:v>33</x:v>
      </x:c>
      <x:c r="F38" s="115" t="str">
        <x:v>Inspection physique</x:v>
      </x:c>
      <x:c r="G38" s="115" t="str">
        <x:v>1 niveaux ; 26 pièces ; 198 segments de mur ; 0 transitions. Inspection physique ; architecture complète encore ouverte.</x:v>
      </x:c>
      <x:c r="H38" s="115" t="str">
        <x:v>L 284 ; l 248 ; hauteur 5,85 m ; choix de composition auteur ; dimensions réelles à documenter</x:v>
      </x:c>
      <x:c r="I38" s="115" t="str">
        <x:v>À équilibrer</x:v>
      </x:c>
      <x:c r="J38" s="115" t="str">
        <x:v>Non</x:v>
      </x:c>
      <x:c r="K38" s="115" t="str">
        <x:v>Pièces décrites, murs, portes, niveaux et mobilier inspectables à l’échelle. Volumes réservés, raccord au seed, butin, rencontres et services de campagne restent à terminer.</x:v>
      </x:c>
    </x:row>
    <x:row r="39" ht="96" customHeight="1">
      <x:c r="A39" s="115" t="str">
        <x:v>EXT-MONDE-T001-V34</x:v>
      </x:c>
      <x:c r="B39" s="115" t="str">
        <x:v>EXT-MONDE-T001</x:v>
      </x:c>
      <x:c r="C39" s="115" t="str">
        <x:v>Lacs</x:v>
      </x:c>
      <x:c r="D39" s="115" t="str">
        <x:v>Base nautique lacustre</x:v>
      </x:c>
      <x:c r="E39" s="115" t="n">
        <x:v>34</x:v>
      </x:c>
      <x:c r="F39" s="115" t="str">
        <x:v>Inspection physique</x:v>
      </x:c>
      <x:c r="G39" s="115" t="str">
        <x:v>1 niveaux ; 26 pièces ; 198 segments de mur ; 0 transitions. Inspection physique ; architecture complète encore ouverte.</x:v>
      </x:c>
      <x:c r="H39" s="115" t="str">
        <x:v>L 284 ; l 248 ; hauteur 5,85 m ; choix de composition auteur ; dimensions réelles à documenter</x:v>
      </x:c>
      <x:c r="I39" s="115" t="str">
        <x:v>À équilibrer</x:v>
      </x:c>
      <x:c r="J39" s="115" t="str">
        <x:v>Non</x:v>
      </x:c>
      <x:c r="K39" s="115" t="str">
        <x:v>Pièces décrites, murs, portes, niveaux et mobilier inspectables à l’échelle. Volumes réservés, raccord au seed, butin, rencontres et services de campagne restent à terminer.</x:v>
      </x:c>
    </x:row>
    <x:row r="40" ht="96" customHeight="1">
      <x:c r="A40" s="115" t="str">
        <x:v>EXT-MONDE-T001-V35</x:v>
      </x:c>
      <x:c r="B40" s="115" t="str">
        <x:v>EXT-MONDE-T001</x:v>
      </x:c>
      <x:c r="C40" s="115" t="str">
        <x:v>Lacs</x:v>
      </x:c>
      <x:c r="D40" s="115" t="str">
        <x:v>Base nautique lacustre</x:v>
      </x:c>
      <x:c r="E40" s="115" t="n">
        <x:v>35</x:v>
      </x:c>
      <x:c r="F40" s="115" t="str">
        <x:v>Inspection physique</x:v>
      </x:c>
      <x:c r="G40" s="115" t="str">
        <x:v>1 niveaux ; 26 pièces ; 198 segments de mur ; 0 transitions. Inspection physique ; architecture complète encore ouverte.</x:v>
      </x:c>
      <x:c r="H40" s="115" t="str">
        <x:v>L 284 ; l 248 ; hauteur 5,85 m ; choix de composition auteur ; dimensions réelles à documenter</x:v>
      </x:c>
      <x:c r="I40" s="115" t="str">
        <x:v>À équilibrer</x:v>
      </x:c>
      <x:c r="J40" s="115" t="str">
        <x:v>Non</x:v>
      </x:c>
      <x:c r="K40" s="115" t="str">
        <x:v>Pièces décrites, murs, portes, niveaux et mobilier inspectables à l’échelle. Volumes réservés, raccord au seed, butin, rencontres et services de campagne restent à terminer.</x:v>
      </x:c>
    </x:row>
    <x:row r="41" ht="96" customHeight="1">
      <x:c r="A41" s="115" t="str">
        <x:v>EXT-MONDE-T001-V36</x:v>
      </x:c>
      <x:c r="B41" s="115" t="str">
        <x:v>EXT-MONDE-T001</x:v>
      </x:c>
      <x:c r="C41" s="115" t="str">
        <x:v>Lacs</x:v>
      </x:c>
      <x:c r="D41" s="115" t="str">
        <x:v>Base nautique lacustre</x:v>
      </x:c>
      <x:c r="E41" s="115" t="n">
        <x:v>36</x:v>
      </x:c>
      <x:c r="F41" s="115" t="str">
        <x:v>Inspection physique</x:v>
      </x:c>
      <x:c r="G41" s="115" t="str">
        <x:v>1 niveaux ; 26 pièces ; 198 segments de mur ; 0 transitions. Inspection physique ; architecture complète encore ouverte.</x:v>
      </x:c>
      <x:c r="H41" s="115" t="str">
        <x:v>L 284 ; l 248 ; hauteur 5,85 m ; choix de composition auteur ; dimensions réelles à documenter</x:v>
      </x:c>
      <x:c r="I41" s="115" t="str">
        <x:v>À équilibrer</x:v>
      </x:c>
      <x:c r="J41" s="115" t="str">
        <x:v>Non</x:v>
      </x:c>
      <x:c r="K41" s="115" t="str">
        <x:v>Pièces décrites, murs, portes, niveaux et mobilier inspectables à l’échelle. Volumes réservés, raccord au seed, butin, rencontres et services de campagne restent à terminer.</x:v>
      </x:c>
    </x:row>
    <x:row r="42" ht="96" customHeight="1">
      <x:c r="A42" s="115" t="str">
        <x:v>EXT-MONDE-T001-V37</x:v>
      </x:c>
      <x:c r="B42" s="115" t="str">
        <x:v>EXT-MONDE-T001</x:v>
      </x:c>
      <x:c r="C42" s="115" t="str">
        <x:v>Lacs</x:v>
      </x:c>
      <x:c r="D42" s="115" t="str">
        <x:v>Base nautique lacustre</x:v>
      </x:c>
      <x:c r="E42" s="115" t="n">
        <x:v>37</x:v>
      </x:c>
      <x:c r="F42" s="115" t="str">
        <x:v>Inspection physique</x:v>
      </x:c>
      <x:c r="G42" s="115" t="str">
        <x:v>1 niveaux ; 26 pièces ; 198 segments de mur ; 0 transitions. Inspection physique ; architecture complète encore ouverte.</x:v>
      </x:c>
      <x:c r="H42" s="115" t="str">
        <x:v>L 284 ; l 248 ; hauteur 5,85 m ; choix de composition auteur ; dimensions réelles à documenter</x:v>
      </x:c>
      <x:c r="I42" s="115" t="str">
        <x:v>À équilibrer</x:v>
      </x:c>
      <x:c r="J42" s="115" t="str">
        <x:v>Non</x:v>
      </x:c>
      <x:c r="K42" s="115" t="str">
        <x:v>Pièces décrites, murs, portes, niveaux et mobilier inspectables à l’échelle. Volumes réservés, raccord au seed, butin, rencontres et services de campagne restent à terminer.</x:v>
      </x:c>
    </x:row>
    <x:row r="43" ht="96" customHeight="1">
      <x:c r="A43" s="115" t="str">
        <x:v>EXT-MONDE-T001-V38</x:v>
      </x:c>
      <x:c r="B43" s="115" t="str">
        <x:v>EXT-MONDE-T001</x:v>
      </x:c>
      <x:c r="C43" s="115" t="str">
        <x:v>Lacs</x:v>
      </x:c>
      <x:c r="D43" s="115" t="str">
        <x:v>Base nautique lacustre</x:v>
      </x:c>
      <x:c r="E43" s="115" t="n">
        <x:v>38</x:v>
      </x:c>
      <x:c r="F43" s="115" t="str">
        <x:v>Inspection physique</x:v>
      </x:c>
      <x:c r="G43" s="115" t="str">
        <x:v>1 niveaux ; 26 pièces ; 198 segments de mur ; 0 transitions. Inspection physique ; architecture complète encore ouverte.</x:v>
      </x:c>
      <x:c r="H43" s="115" t="str">
        <x:v>L 284 ; l 248 ; hauteur 5,85 m ; choix de composition auteur ; dimensions réelles à documenter</x:v>
      </x:c>
      <x:c r="I43" s="115" t="str">
        <x:v>À équilibrer</x:v>
      </x:c>
      <x:c r="J43" s="115" t="str">
        <x:v>Non</x:v>
      </x:c>
      <x:c r="K43" s="115" t="str">
        <x:v>Pièces décrites, murs, portes, niveaux et mobilier inspectables à l’échelle. Volumes réservés, raccord au seed, butin, rencontres et services de campagne restent à terminer.</x:v>
      </x:c>
    </x:row>
    <x:row r="44" ht="96" customHeight="1">
      <x:c r="A44" s="115" t="str">
        <x:v>EXT-MONDE-T001-V39</x:v>
      </x:c>
      <x:c r="B44" s="115" t="str">
        <x:v>EXT-MONDE-T001</x:v>
      </x:c>
      <x:c r="C44" s="115" t="str">
        <x:v>Lacs</x:v>
      </x:c>
      <x:c r="D44" s="115" t="str">
        <x:v>Base nautique lacustre</x:v>
      </x:c>
      <x:c r="E44" s="115" t="n">
        <x:v>39</x:v>
      </x:c>
      <x:c r="F44" s="115" t="str">
        <x:v>Inspection physique</x:v>
      </x:c>
      <x:c r="G44" s="115" t="str">
        <x:v>1 niveaux ; 26 pièces ; 198 segments de mur ; 0 transitions. Inspection physique ; architecture complète encore ouverte.</x:v>
      </x:c>
      <x:c r="H44" s="115" t="str">
        <x:v>L 284 ; l 248 ; hauteur 5,85 m ; choix de composition auteur ; dimensions réelles à documenter</x:v>
      </x:c>
      <x:c r="I44" s="115" t="str">
        <x:v>À équilibrer</x:v>
      </x:c>
      <x:c r="J44" s="115" t="str">
        <x:v>Non</x:v>
      </x:c>
      <x:c r="K44" s="115" t="str">
        <x:v>Pièces décrites, murs, portes, niveaux et mobilier inspectables à l’échelle. Volumes réservés, raccord au seed, butin, rencontres et services de campagne restent à terminer.</x:v>
      </x:c>
    </x:row>
    <x:row r="45" ht="96" customHeight="1">
      <x:c r="A45" s="115" t="str">
        <x:v>EXT-MONDE-T001-V40</x:v>
      </x:c>
      <x:c r="B45" s="115" t="str">
        <x:v>EXT-MONDE-T001</x:v>
      </x:c>
      <x:c r="C45" s="115" t="str">
        <x:v>Lacs</x:v>
      </x:c>
      <x:c r="D45" s="115" t="str">
        <x:v>Base nautique lacustre</x:v>
      </x:c>
      <x:c r="E45" s="115" t="n">
        <x:v>40</x:v>
      </x:c>
      <x:c r="F45" s="115" t="str">
        <x:v>Inspection physique</x:v>
      </x:c>
      <x:c r="G45" s="115" t="str">
        <x:v>1 niveaux ; 26 pièces ; 198 segments de mur ; 0 transitions. Inspection physique ; architecture complète encore ouverte.</x:v>
      </x:c>
      <x:c r="H45" s="115" t="str">
        <x:v>L 284 ; l 248 ; hauteur 5,85 m ; choix de composition auteur ; dimensions réelles à documenter</x:v>
      </x:c>
      <x:c r="I45" s="115" t="str">
        <x:v>À équilibrer</x:v>
      </x:c>
      <x:c r="J45" s="115" t="str">
        <x:v>Non</x:v>
      </x:c>
      <x:c r="K45" s="115" t="str">
        <x:v>Pièces décrites, murs, portes, niveaux et mobilier inspectables à l’échelle. Volumes réservés, raccord au seed, butin, rencontres et services de campagne restent à terminer.</x:v>
      </x:c>
    </x:row>
    <x:row r="46" ht="96" customHeight="1">
      <x:c r="A46" s="115" t="str">
        <x:v>EXT-MONDE-T001-V41</x:v>
      </x:c>
      <x:c r="B46" s="115" t="str">
        <x:v>EXT-MONDE-T001</x:v>
      </x:c>
      <x:c r="C46" s="115" t="str">
        <x:v>Lacs</x:v>
      </x:c>
      <x:c r="D46" s="115" t="str">
        <x:v>Base nautique lacustre</x:v>
      </x:c>
      <x:c r="E46" s="115" t="n">
        <x:v>41</x:v>
      </x:c>
      <x:c r="F46" s="115" t="str">
        <x:v>Inspection physique</x:v>
      </x:c>
      <x:c r="G46" s="115" t="str">
        <x:v>1 niveaux ; 26 pièces ; 198 segments de mur ; 0 transitions. Inspection physique ; architecture complète encore ouverte.</x:v>
      </x:c>
      <x:c r="H46" s="115" t="str">
        <x:v>L 298 ; l 264 ; hauteur 6 m ; choix de composition auteur ; dimensions réelles à documenter</x:v>
      </x:c>
      <x:c r="I46" s="115" t="str">
        <x:v>À équilibrer</x:v>
      </x:c>
      <x:c r="J46" s="115" t="str">
        <x:v>Non</x:v>
      </x:c>
      <x:c r="K46" s="115" t="str">
        <x:v>Pièces décrites, murs, portes, niveaux et mobilier inspectables à l’échelle. Volumes réservés, raccord au seed, butin, rencontres et services de campagne restent à terminer.</x:v>
      </x:c>
    </x:row>
    <x:row r="47" ht="96" customHeight="1">
      <x:c r="A47" s="115" t="str">
        <x:v>EXT-MONDE-T001-V42</x:v>
      </x:c>
      <x:c r="B47" s="115" t="str">
        <x:v>EXT-MONDE-T001</x:v>
      </x:c>
      <x:c r="C47" s="115" t="str">
        <x:v>Lacs</x:v>
      </x:c>
      <x:c r="D47" s="115" t="str">
        <x:v>Base nautique lacustre</x:v>
      </x:c>
      <x:c r="E47" s="115" t="n">
        <x:v>42</x:v>
      </x:c>
      <x:c r="F47" s="115" t="str">
        <x:v>Inspection physique</x:v>
      </x:c>
      <x:c r="G47" s="115" t="str">
        <x:v>1 niveaux ; 26 pièces ; 198 segments de mur ; 0 transitions. Inspection physique ; architecture complète encore ouverte.</x:v>
      </x:c>
      <x:c r="H47" s="115" t="str">
        <x:v>L 298 ; l 264 ; hauteur 6 m ; choix de composition auteur ; dimensions réelles à documenter</x:v>
      </x:c>
      <x:c r="I47" s="115" t="str">
        <x:v>À équilibrer</x:v>
      </x:c>
      <x:c r="J47" s="115" t="str">
        <x:v>Non</x:v>
      </x:c>
      <x:c r="K47" s="115" t="str">
        <x:v>Pièces décrites, murs, portes, niveaux et mobilier inspectables à l’échelle. Volumes réservés, raccord au seed, butin, rencontres et services de campagne restent à terminer.</x:v>
      </x:c>
    </x:row>
    <x:row r="48" ht="96" customHeight="1">
      <x:c r="A48" s="115" t="str">
        <x:v>EXT-MONDE-T001-V43</x:v>
      </x:c>
      <x:c r="B48" s="115" t="str">
        <x:v>EXT-MONDE-T001</x:v>
      </x:c>
      <x:c r="C48" s="115" t="str">
        <x:v>Lacs</x:v>
      </x:c>
      <x:c r="D48" s="115" t="str">
        <x:v>Base nautique lacustre</x:v>
      </x:c>
      <x:c r="E48" s="115" t="n">
        <x:v>43</x:v>
      </x:c>
      <x:c r="F48" s="115" t="str">
        <x:v>Inspection physique</x:v>
      </x:c>
      <x:c r="G48" s="115" t="str">
        <x:v>1 niveaux ; 26 pièces ; 198 segments de mur ; 0 transitions. Inspection physique ; architecture complète encore ouverte.</x:v>
      </x:c>
      <x:c r="H48" s="115" t="str">
        <x:v>L 298 ; l 264 ; hauteur 6 m ; choix de composition auteur ; dimensions réelles à documenter</x:v>
      </x:c>
      <x:c r="I48" s="115" t="str">
        <x:v>À équilibrer</x:v>
      </x:c>
      <x:c r="J48" s="115" t="str">
        <x:v>Non</x:v>
      </x:c>
      <x:c r="K48" s="115" t="str">
        <x:v>Pièces décrites, murs, portes, niveaux et mobilier inspectables à l’échelle. Volumes réservés, raccord au seed, butin, rencontres et services de campagne restent à terminer.</x:v>
      </x:c>
    </x:row>
    <x:row r="49" ht="96" customHeight="1">
      <x:c r="A49" s="115" t="str">
        <x:v>EXT-MONDE-T001-V44</x:v>
      </x:c>
      <x:c r="B49" s="115" t="str">
        <x:v>EXT-MONDE-T001</x:v>
      </x:c>
      <x:c r="C49" s="115" t="str">
        <x:v>Lacs</x:v>
      </x:c>
      <x:c r="D49" s="115" t="str">
        <x:v>Base nautique lacustre</x:v>
      </x:c>
      <x:c r="E49" s="115" t="n">
        <x:v>44</x:v>
      </x:c>
      <x:c r="F49" s="115" t="str">
        <x:v>Inspection physique</x:v>
      </x:c>
      <x:c r="G49" s="115" t="str">
        <x:v>1 niveaux ; 26 pièces ; 198 segments de mur ; 0 transitions. Inspection physique ; architecture complète encore ouverte.</x:v>
      </x:c>
      <x:c r="H49" s="115" t="str">
        <x:v>L 298 ; l 264 ; hauteur 6 m ; choix de composition auteur ; dimensions réelles à documenter</x:v>
      </x:c>
      <x:c r="I49" s="115" t="str">
        <x:v>À équilibrer</x:v>
      </x:c>
      <x:c r="J49" s="115" t="str">
        <x:v>Non</x:v>
      </x:c>
      <x:c r="K49" s="115" t="str">
        <x:v>Pièces décrites, murs, portes, niveaux et mobilier inspectables à l’échelle. Volumes réservés, raccord au seed, butin, rencontres et services de campagne restent à terminer.</x:v>
      </x:c>
    </x:row>
    <x:row r="50" ht="96" customHeight="1">
      <x:c r="A50" s="115" t="str">
        <x:v>EXT-MONDE-T001-V45</x:v>
      </x:c>
      <x:c r="B50" s="115" t="str">
        <x:v>EXT-MONDE-T001</x:v>
      </x:c>
      <x:c r="C50" s="115" t="str">
        <x:v>Lacs</x:v>
      </x:c>
      <x:c r="D50" s="115" t="str">
        <x:v>Base nautique lacustre</x:v>
      </x:c>
      <x:c r="E50" s="115" t="n">
        <x:v>45</x:v>
      </x:c>
      <x:c r="F50" s="115" t="str">
        <x:v>Inspection physique</x:v>
      </x:c>
      <x:c r="G50" s="115" t="str">
        <x:v>1 niveaux ; 26 pièces ; 198 segments de mur ; 0 transitions. Inspection physique ; architecture complète encore ouverte.</x:v>
      </x:c>
      <x:c r="H50" s="115" t="str">
        <x:v>L 298 ; l 264 ; hauteur 6 m ; choix de composition auteur ; dimensions réelles à documenter</x:v>
      </x:c>
      <x:c r="I50" s="115" t="str">
        <x:v>À équilibrer</x:v>
      </x:c>
      <x:c r="J50" s="115" t="str">
        <x:v>Non</x:v>
      </x:c>
      <x:c r="K50" s="115" t="str">
        <x:v>Pièces décrites, murs, portes, niveaux et mobilier inspectables à l’échelle. Volumes réservés, raccord au seed, butin, rencontres et services de campagne restent à terminer.</x:v>
      </x:c>
    </x:row>
    <x:row r="51" ht="96" customHeight="1">
      <x:c r="A51" s="115" t="str">
        <x:v>EXT-MONDE-T001-V46</x:v>
      </x:c>
      <x:c r="B51" s="115" t="str">
        <x:v>EXT-MONDE-T001</x:v>
      </x:c>
      <x:c r="C51" s="115" t="str">
        <x:v>Lacs</x:v>
      </x:c>
      <x:c r="D51" s="115" t="str">
        <x:v>Base nautique lacustre</x:v>
      </x:c>
      <x:c r="E51" s="115" t="n">
        <x:v>46</x:v>
      </x:c>
      <x:c r="F51" s="115" t="str">
        <x:v>Inspection physique</x:v>
      </x:c>
      <x:c r="G51" s="115" t="str">
        <x:v>1 niveaux ; 26 pièces ; 198 segments de mur ; 0 transitions. Inspection physique ; architecture complète encore ouverte.</x:v>
      </x:c>
      <x:c r="H51" s="115" t="str">
        <x:v>L 298 ; l 264 ; hauteur 6 m ; choix de composition auteur ; dimensions réelles à documenter</x:v>
      </x:c>
      <x:c r="I51" s="115" t="str">
        <x:v>À équilibrer</x:v>
      </x:c>
      <x:c r="J51" s="115" t="str">
        <x:v>Non</x:v>
      </x:c>
      <x:c r="K51" s="115" t="str">
        <x:v>Pièces décrites, murs, portes, niveaux et mobilier inspectables à l’échelle. Volumes réservés, raccord au seed, butin, rencontres et services de campagne restent à terminer.</x:v>
      </x:c>
    </x:row>
    <x:row r="52" ht="96" customHeight="1">
      <x:c r="A52" s="115" t="str">
        <x:v>EXT-MONDE-T001-V47</x:v>
      </x:c>
      <x:c r="B52" s="115" t="str">
        <x:v>EXT-MONDE-T001</x:v>
      </x:c>
      <x:c r="C52" s="115" t="str">
        <x:v>Lacs</x:v>
      </x:c>
      <x:c r="D52" s="115" t="str">
        <x:v>Base nautique lacustre</x:v>
      </x:c>
      <x:c r="E52" s="115" t="n">
        <x:v>47</x:v>
      </x:c>
      <x:c r="F52" s="115" t="str">
        <x:v>Inspection physique</x:v>
      </x:c>
      <x:c r="G52" s="115" t="str">
        <x:v>1 niveaux ; 26 pièces ; 198 segments de mur ; 0 transitions. Inspection physique ; architecture complète encore ouverte.</x:v>
      </x:c>
      <x:c r="H52" s="115" t="str">
        <x:v>L 298 ; l 264 ; hauteur 6 m ; choix de composition auteur ; dimensions réelles à documenter</x:v>
      </x:c>
      <x:c r="I52" s="115" t="str">
        <x:v>À équilibrer</x:v>
      </x:c>
      <x:c r="J52" s="115" t="str">
        <x:v>Non</x:v>
      </x:c>
      <x:c r="K52" s="115" t="str">
        <x:v>Pièces décrites, murs, portes, niveaux et mobilier inspectables à l’échelle. Volumes réservés, raccord au seed, butin, rencontres et services de campagne restent à terminer.</x:v>
      </x:c>
    </x:row>
    <x:row r="53" ht="96" customHeight="1">
      <x:c r="A53" s="115" t="str">
        <x:v>EXT-MONDE-T001-V48</x:v>
      </x:c>
      <x:c r="B53" s="115" t="str">
        <x:v>EXT-MONDE-T001</x:v>
      </x:c>
      <x:c r="C53" s="115" t="str">
        <x:v>Lacs</x:v>
      </x:c>
      <x:c r="D53" s="115" t="str">
        <x:v>Base nautique lacustre</x:v>
      </x:c>
      <x:c r="E53" s="115" t="n">
        <x:v>48</x:v>
      </x:c>
      <x:c r="F53" s="115" t="str">
        <x:v>Inspection physique</x:v>
      </x:c>
      <x:c r="G53" s="115" t="str">
        <x:v>1 niveaux ; 26 pièces ; 198 segments de mur ; 0 transitions. Inspection physique ; architecture complète encore ouverte.</x:v>
      </x:c>
      <x:c r="H53" s="115" t="str">
        <x:v>L 298 ; l 264 ; hauteur 6 m ; choix de composition auteur ; dimensions réelles à documenter</x:v>
      </x:c>
      <x:c r="I53" s="115" t="str">
        <x:v>À équilibrer</x:v>
      </x:c>
      <x:c r="J53" s="115" t="str">
        <x:v>Non</x:v>
      </x:c>
      <x:c r="K53" s="115" t="str">
        <x:v>Pièces décrites, murs, portes, niveaux et mobilier inspectables à l’échelle. Volumes réservés, raccord au seed, butin, rencontres et services de campagne restent à terminer.</x:v>
      </x:c>
    </x:row>
    <x:row r="54" ht="96" customHeight="1">
      <x:c r="A54" s="115" t="str">
        <x:v>EXT-MONDE-T001-V49</x:v>
      </x:c>
      <x:c r="B54" s="115" t="str">
        <x:v>EXT-MONDE-T001</x:v>
      </x:c>
      <x:c r="C54" s="115" t="str">
        <x:v>Lacs</x:v>
      </x:c>
      <x:c r="D54" s="115" t="str">
        <x:v>Base nautique lacustre</x:v>
      </x:c>
      <x:c r="E54" s="115" t="n">
        <x:v>49</x:v>
      </x:c>
      <x:c r="F54" s="115" t="str">
        <x:v>Inspection physique</x:v>
      </x:c>
      <x:c r="G54" s="115" t="str">
        <x:v>1 niveaux ; 26 pièces ; 198 segments de mur ; 0 transitions. Inspection physique ; architecture complète encore ouverte.</x:v>
      </x:c>
      <x:c r="H54" s="115" t="str">
        <x:v>L 298 ; l 264 ; hauteur 6 m ; choix de composition auteur ; dimensions réelles à documenter</x:v>
      </x:c>
      <x:c r="I54" s="115" t="str">
        <x:v>À équilibrer</x:v>
      </x:c>
      <x:c r="J54" s="115" t="str">
        <x:v>Non</x:v>
      </x:c>
      <x:c r="K54" s="115" t="str">
        <x:v>Pièces décrites, murs, portes, niveaux et mobilier inspectables à l’échelle. Volumes réservés, raccord au seed, butin, rencontres et services de campagne restent à terminer.</x:v>
      </x:c>
    </x:row>
    <x:row r="55" ht="96" customHeight="1">
      <x:c r="A55" s="115" t="str">
        <x:v>EXT-MONDE-T001-V50</x:v>
      </x:c>
      <x:c r="B55" s="115" t="str">
        <x:v>EXT-MONDE-T001</x:v>
      </x:c>
      <x:c r="C55" s="115" t="str">
        <x:v>Lacs</x:v>
      </x:c>
      <x:c r="D55" s="115" t="str">
        <x:v>Base nautique lacustre</x:v>
      </x:c>
      <x:c r="E55" s="115" t="n">
        <x:v>50</x:v>
      </x:c>
      <x:c r="F55" s="115" t="str">
        <x:v>Inspection physique</x:v>
      </x:c>
      <x:c r="G55" s="115" t="str">
        <x:v>1 niveaux ; 26 pièces ; 198 segments de mur ; 0 transitions. Inspection physique ; architecture complète encore ouverte.</x:v>
      </x:c>
      <x:c r="H55" s="115" t="str">
        <x:v>L 298 ; l 264 ; hauteur 6 m ; choix de composition auteur ; dimensions réelles à documenter</x:v>
      </x:c>
      <x:c r="I55" s="115" t="str">
        <x:v>À équilibrer</x:v>
      </x:c>
      <x:c r="J55" s="115" t="str">
        <x:v>Non</x:v>
      </x:c>
      <x:c r="K55" s="115" t="str">
        <x:v>Pièces décrites, murs, portes, niveaux et mobilier inspectables à l’échelle. Volumes réservés, raccord au seed, butin, rencontres et services de campagne restent à terminer.</x:v>
      </x:c>
    </x:row>
    <x:row r="56" ht="96" customHeight="1">
      <x:c r="A56" s="115" t="str">
        <x:v>EXT-MONDE-T002-V01</x:v>
      </x:c>
      <x:c r="B56" s="115" t="str">
        <x:v>EXT-MONDE-T002</x:v>
      </x:c>
      <x:c r="C56" s="115" t="str">
        <x:v>Lacs</x:v>
      </x:c>
      <x:c r="D56" s="115" t="str">
        <x:v>Village de pêche lacustre</x:v>
      </x:c>
      <x:c r="E56" s="115" t="n">
        <x:v>1</x:v>
      </x:c>
      <x:c r="F56" s="115" t="str">
        <x:v>Inspection physique</x:v>
      </x:c>
      <x:c r="G56" s="115" t="str">
        <x:v>1 niveaux ; 24 pièces ; 186 segments de mur ; 0 transitions. Inspection physique ; architecture complète encore ouverte.</x:v>
      </x:c>
      <x:c r="H56" s="115" t="str">
        <x:v>L 242 ; l 200 ; hauteur 4,6 m ; choix de composition auteur ; dimensions réelles à documenter</x:v>
      </x:c>
      <x:c r="I56" s="115" t="str">
        <x:v>À équilibrer</x:v>
      </x:c>
      <x:c r="J56" s="115" t="str">
        <x:v>Non</x:v>
      </x:c>
      <x:c r="K56" s="115" t="str">
        <x:v>Pièces décrites, murs, portes, niveaux et mobilier inspectables à l’échelle. Volumes réservés, raccord au seed, butin, rencontres et services de campagne restent à terminer.</x:v>
      </x:c>
    </x:row>
    <x:row r="57" ht="96" customHeight="1">
      <x:c r="A57" s="115" t="str">
        <x:v>EXT-MONDE-T002-V02</x:v>
      </x:c>
      <x:c r="B57" s="115" t="str">
        <x:v>EXT-MONDE-T002</x:v>
      </x:c>
      <x:c r="C57" s="115" t="str">
        <x:v>Lacs</x:v>
      </x:c>
      <x:c r="D57" s="115" t="str">
        <x:v>Village de pêche lacustre</x:v>
      </x:c>
      <x:c r="E57" s="115" t="n">
        <x:v>2</x:v>
      </x:c>
      <x:c r="F57" s="115" t="str">
        <x:v>Inspection physique</x:v>
      </x:c>
      <x:c r="G57" s="115" t="str">
        <x:v>1 niveaux ; 24 pièces ; 186 segments de mur ; 0 transitions. Inspection physique ; architecture complète encore ouverte.</x:v>
      </x:c>
      <x:c r="H57" s="115" t="str">
        <x:v>L 242 ; l 200 ; hauteur 4,6 m ; choix de composition auteur ; dimensions réelles à documenter</x:v>
      </x:c>
      <x:c r="I57" s="115" t="str">
        <x:v>À équilibrer</x:v>
      </x:c>
      <x:c r="J57" s="115" t="str">
        <x:v>Non</x:v>
      </x:c>
      <x:c r="K57" s="115" t="str">
        <x:v>Pièces décrites, murs, portes, niveaux et mobilier inspectables à l’échelle. Volumes réservés, raccord au seed, butin, rencontres et services de campagne restent à terminer.</x:v>
      </x:c>
    </x:row>
    <x:row r="58" ht="96" customHeight="1">
      <x:c r="A58" s="115" t="str">
        <x:v>EXT-MONDE-T002-V03</x:v>
      </x:c>
      <x:c r="B58" s="115" t="str">
        <x:v>EXT-MONDE-T002</x:v>
      </x:c>
      <x:c r="C58" s="115" t="str">
        <x:v>Lacs</x:v>
      </x:c>
      <x:c r="D58" s="115" t="str">
        <x:v>Village de pêche lacustre</x:v>
      </x:c>
      <x:c r="E58" s="115" t="n">
        <x:v>3</x:v>
      </x:c>
      <x:c r="F58" s="115" t="str">
        <x:v>Inspection physique</x:v>
      </x:c>
      <x:c r="G58" s="115" t="str">
        <x:v>1 niveaux ; 24 pièces ; 186 segments de mur ; 0 transitions. Inspection physique ; architecture complète encore ouverte.</x:v>
      </x:c>
      <x:c r="H58" s="115" t="str">
        <x:v>L 242 ; l 200 ; hauteur 4,6 m ; choix de composition auteur ; dimensions réelles à documenter</x:v>
      </x:c>
      <x:c r="I58" s="115" t="str">
        <x:v>À équilibrer</x:v>
      </x:c>
      <x:c r="J58" s="115" t="str">
        <x:v>Non</x:v>
      </x:c>
      <x:c r="K58" s="115" t="str">
        <x:v>Pièces décrites, murs, portes, niveaux et mobilier inspectables à l’échelle. Volumes réservés, raccord au seed, butin, rencontres et services de campagne restent à terminer.</x:v>
      </x:c>
    </x:row>
    <x:row r="59" ht="96" customHeight="1">
      <x:c r="A59" s="115" t="str">
        <x:v>EXT-MONDE-T002-V04</x:v>
      </x:c>
      <x:c r="B59" s="115" t="str">
        <x:v>EXT-MONDE-T002</x:v>
      </x:c>
      <x:c r="C59" s="115" t="str">
        <x:v>Lacs</x:v>
      </x:c>
      <x:c r="D59" s="115" t="str">
        <x:v>Village de pêche lacustre</x:v>
      </x:c>
      <x:c r="E59" s="115" t="n">
        <x:v>4</x:v>
      </x:c>
      <x:c r="F59" s="115" t="str">
        <x:v>Inspection physique</x:v>
      </x:c>
      <x:c r="G59" s="115" t="str">
        <x:v>1 niveaux ; 24 pièces ; 186 segments de mur ; 0 transitions. Inspection physique ; architecture complète encore ouverte.</x:v>
      </x:c>
      <x:c r="H59" s="115" t="str">
        <x:v>L 242 ; l 200 ; hauteur 4,6 m ; choix de composition auteur ; dimensions réelles à documenter</x:v>
      </x:c>
      <x:c r="I59" s="115" t="str">
        <x:v>À équilibrer</x:v>
      </x:c>
      <x:c r="J59" s="115" t="str">
        <x:v>Non</x:v>
      </x:c>
      <x:c r="K59" s="115" t="str">
        <x:v>Pièces décrites, murs, portes, niveaux et mobilier inspectables à l’échelle. Volumes réservés, raccord au seed, butin, rencontres et services de campagne restent à terminer.</x:v>
      </x:c>
    </x:row>
    <x:row r="60" ht="96" customHeight="1">
      <x:c r="A60" s="115" t="str">
        <x:v>EXT-MONDE-T002-V05</x:v>
      </x:c>
      <x:c r="B60" s="115" t="str">
        <x:v>EXT-MONDE-T002</x:v>
      </x:c>
      <x:c r="C60" s="115" t="str">
        <x:v>Lacs</x:v>
      </x:c>
      <x:c r="D60" s="115" t="str">
        <x:v>Village de pêche lacustre</x:v>
      </x:c>
      <x:c r="E60" s="115" t="n">
        <x:v>5</x:v>
      </x:c>
      <x:c r="F60" s="115" t="str">
        <x:v>Inspection physique</x:v>
      </x:c>
      <x:c r="G60" s="115" t="str">
        <x:v>1 niveaux ; 24 pièces ; 186 segments de mur ; 0 transitions. Inspection physique ; architecture complète encore ouverte.</x:v>
      </x:c>
      <x:c r="H60" s="115" t="str">
        <x:v>L 242 ; l 200 ; hauteur 4,6 m ; choix de composition auteur ; dimensions réelles à documenter</x:v>
      </x:c>
      <x:c r="I60" s="115" t="str">
        <x:v>À équilibrer</x:v>
      </x:c>
      <x:c r="J60" s="115" t="str">
        <x:v>Non</x:v>
      </x:c>
      <x:c r="K60" s="115" t="str">
        <x:v>Pièces décrites, murs, portes, niveaux et mobilier inspectables à l’échelle. Volumes réservés, raccord au seed, butin, rencontres et services de campagne restent à terminer.</x:v>
      </x:c>
    </x:row>
    <x:row r="61" ht="96" customHeight="1">
      <x:c r="A61" s="115" t="str">
        <x:v>EXT-MONDE-T002-V06</x:v>
      </x:c>
      <x:c r="B61" s="115" t="str">
        <x:v>EXT-MONDE-T002</x:v>
      </x:c>
      <x:c r="C61" s="115" t="str">
        <x:v>Lacs</x:v>
      </x:c>
      <x:c r="D61" s="115" t="str">
        <x:v>Village de pêche lacustre</x:v>
      </x:c>
      <x:c r="E61" s="115" t="n">
        <x:v>6</x:v>
      </x:c>
      <x:c r="F61" s="115" t="str">
        <x:v>Inspection physique</x:v>
      </x:c>
      <x:c r="G61" s="115" t="str">
        <x:v>1 niveaux ; 24 pièces ; 186 segments de mur ; 0 transitions. Inspection physique ; architecture complète encore ouverte.</x:v>
      </x:c>
      <x:c r="H61" s="115" t="str">
        <x:v>L 242 ; l 200 ; hauteur 4,6 m ; choix de composition auteur ; dimensions réelles à documenter</x:v>
      </x:c>
      <x:c r="I61" s="115" t="str">
        <x:v>À équilibrer</x:v>
      </x:c>
      <x:c r="J61" s="115" t="str">
        <x:v>Non</x:v>
      </x:c>
      <x:c r="K61" s="115" t="str">
        <x:v>Pièces décrites, murs, portes, niveaux et mobilier inspectables à l’échelle. Volumes réservés, raccord au seed, butin, rencontres et services de campagne restent à terminer.</x:v>
      </x:c>
    </x:row>
    <x:row r="62" ht="96" customHeight="1">
      <x:c r="A62" s="115" t="str">
        <x:v>EXT-MONDE-T002-V07</x:v>
      </x:c>
      <x:c r="B62" s="115" t="str">
        <x:v>EXT-MONDE-T002</x:v>
      </x:c>
      <x:c r="C62" s="115" t="str">
        <x:v>Lacs</x:v>
      </x:c>
      <x:c r="D62" s="115" t="str">
        <x:v>Village de pêche lacustre</x:v>
      </x:c>
      <x:c r="E62" s="115" t="n">
        <x:v>7</x:v>
      </x:c>
      <x:c r="F62" s="115" t="str">
        <x:v>Inspection physique</x:v>
      </x:c>
      <x:c r="G62" s="115" t="str">
        <x:v>1 niveaux ; 24 pièces ; 186 segments de mur ; 0 transitions. Inspection physique ; architecture complète encore ouverte.</x:v>
      </x:c>
      <x:c r="H62" s="115" t="str">
        <x:v>L 242 ; l 200 ; hauteur 4,6 m ; choix de composition auteur ; dimensions réelles à documenter</x:v>
      </x:c>
      <x:c r="I62" s="115" t="str">
        <x:v>À équilibrer</x:v>
      </x:c>
      <x:c r="J62" s="115" t="str">
        <x:v>Non</x:v>
      </x:c>
      <x:c r="K62" s="115" t="str">
        <x:v>Pièces décrites, murs, portes, niveaux et mobilier inspectables à l’échelle. Volumes réservés, raccord au seed, butin, rencontres et services de campagne restent à terminer.</x:v>
      </x:c>
    </x:row>
    <x:row r="63" ht="96" customHeight="1">
      <x:c r="A63" s="115" t="str">
        <x:v>EXT-MONDE-T002-V08</x:v>
      </x:c>
      <x:c r="B63" s="115" t="str">
        <x:v>EXT-MONDE-T002</x:v>
      </x:c>
      <x:c r="C63" s="115" t="str">
        <x:v>Lacs</x:v>
      </x:c>
      <x:c r="D63" s="115" t="str">
        <x:v>Village de pêche lacustre</x:v>
      </x:c>
      <x:c r="E63" s="115" t="n">
        <x:v>8</x:v>
      </x:c>
      <x:c r="F63" s="115" t="str">
        <x:v>Inspection physique</x:v>
      </x:c>
      <x:c r="G63" s="115" t="str">
        <x:v>1 niveaux ; 24 pièces ; 186 segments de mur ; 0 transitions. Inspection physique ; architecture complète encore ouverte.</x:v>
      </x:c>
      <x:c r="H63" s="115" t="str">
        <x:v>L 242 ; l 200 ; hauteur 4,6 m ; choix de composition auteur ; dimensions réelles à documenter</x:v>
      </x:c>
      <x:c r="I63" s="115" t="str">
        <x:v>À équilibrer</x:v>
      </x:c>
      <x:c r="J63" s="115" t="str">
        <x:v>Non</x:v>
      </x:c>
      <x:c r="K63" s="115" t="str">
        <x:v>Pièces décrites, murs, portes, niveaux et mobilier inspectables à l’échelle. Volumes réservés, raccord au seed, butin, rencontres et services de campagne restent à terminer.</x:v>
      </x:c>
    </x:row>
    <x:row r="64" ht="96" customHeight="1">
      <x:c r="A64" s="115" t="str">
        <x:v>EXT-MONDE-T002-V09</x:v>
      </x:c>
      <x:c r="B64" s="115" t="str">
        <x:v>EXT-MONDE-T002</x:v>
      </x:c>
      <x:c r="C64" s="115" t="str">
        <x:v>Lacs</x:v>
      </x:c>
      <x:c r="D64" s="115" t="str">
        <x:v>Village de pêche lacustre</x:v>
      </x:c>
      <x:c r="E64" s="115" t="n">
        <x:v>9</x:v>
      </x:c>
      <x:c r="F64" s="115" t="str">
        <x:v>Inspection physique</x:v>
      </x:c>
      <x:c r="G64" s="115" t="str">
        <x:v>1 niveaux ; 24 pièces ; 186 segments de mur ; 0 transitions. Inspection physique ; architecture complète encore ouverte.</x:v>
      </x:c>
      <x:c r="H64" s="115" t="str">
        <x:v>L 242 ; l 200 ; hauteur 4,6 m ; choix de composition auteur ; dimensions réelles à documenter</x:v>
      </x:c>
      <x:c r="I64" s="115" t="str">
        <x:v>À équilibrer</x:v>
      </x:c>
      <x:c r="J64" s="115" t="str">
        <x:v>Non</x:v>
      </x:c>
      <x:c r="K64" s="115" t="str">
        <x:v>Pièces décrites, murs, portes, niveaux et mobilier inspectables à l’échelle. Volumes réservés, raccord au seed, butin, rencontres et services de campagne restent à terminer.</x:v>
      </x:c>
    </x:row>
    <x:row r="65" ht="96" customHeight="1">
      <x:c r="A65" s="115" t="str">
        <x:v>EXT-MONDE-T002-V10</x:v>
      </x:c>
      <x:c r="B65" s="115" t="str">
        <x:v>EXT-MONDE-T002</x:v>
      </x:c>
      <x:c r="C65" s="115" t="str">
        <x:v>Lacs</x:v>
      </x:c>
      <x:c r="D65" s="115" t="str">
        <x:v>Village de pêche lacustre</x:v>
      </x:c>
      <x:c r="E65" s="115" t="n">
        <x:v>10</x:v>
      </x:c>
      <x:c r="F65" s="115" t="str">
        <x:v>Inspection physique</x:v>
      </x:c>
      <x:c r="G65" s="115" t="str">
        <x:v>1 niveaux ; 24 pièces ; 186 segments de mur ; 0 transitions. Inspection physique ; architecture complète encore ouverte.</x:v>
      </x:c>
      <x:c r="H65" s="115" t="str">
        <x:v>L 242 ; l 200 ; hauteur 4,6 m ; choix de composition auteur ; dimensions réelles à documenter</x:v>
      </x:c>
      <x:c r="I65" s="115" t="str">
        <x:v>À équilibrer</x:v>
      </x:c>
      <x:c r="J65" s="115" t="str">
        <x:v>Non</x:v>
      </x:c>
      <x:c r="K65" s="115" t="str">
        <x:v>Pièces décrites, murs, portes, niveaux et mobilier inspectables à l’échelle. Volumes réservés, raccord au seed, butin, rencontres et services de campagne restent à terminer.</x:v>
      </x:c>
    </x:row>
    <x:row r="66" ht="96" customHeight="1">
      <x:c r="A66" s="115" t="str">
        <x:v>EXT-MONDE-T002-V11</x:v>
      </x:c>
      <x:c r="B66" s="115" t="str">
        <x:v>EXT-MONDE-T002</x:v>
      </x:c>
      <x:c r="C66" s="115" t="str">
        <x:v>Lacs</x:v>
      </x:c>
      <x:c r="D66" s="115" t="str">
        <x:v>Village de pêche lacustre</x:v>
      </x:c>
      <x:c r="E66" s="115" t="n">
        <x:v>11</x:v>
      </x:c>
      <x:c r="F66" s="115" t="str">
        <x:v>Inspection physique</x:v>
      </x:c>
      <x:c r="G66" s="115" t="str">
        <x:v>1 niveaux ; 24 pièces ; 186 segments de mur ; 0 transitions. Inspection physique ; architecture complète encore ouverte.</x:v>
      </x:c>
      <x:c r="H66" s="115" t="str">
        <x:v>L 256 ; l 216 ; hauteur 4,75 m ; choix de composition auteur ; dimensions réelles à documenter</x:v>
      </x:c>
      <x:c r="I66" s="115" t="str">
        <x:v>À équilibrer</x:v>
      </x:c>
      <x:c r="J66" s="115" t="str">
        <x:v>Non</x:v>
      </x:c>
      <x:c r="K66" s="115" t="str">
        <x:v>Pièces décrites, murs, portes, niveaux et mobilier inspectables à l’échelle. Volumes réservés, raccord au seed, butin, rencontres et services de campagne restent à terminer.</x:v>
      </x:c>
    </x:row>
    <x:row r="67" ht="96" customHeight="1">
      <x:c r="A67" s="115" t="str">
        <x:v>EXT-MONDE-T002-V12</x:v>
      </x:c>
      <x:c r="B67" s="115" t="str">
        <x:v>EXT-MONDE-T002</x:v>
      </x:c>
      <x:c r="C67" s="115" t="str">
        <x:v>Lacs</x:v>
      </x:c>
      <x:c r="D67" s="115" t="str">
        <x:v>Village de pêche lacustre</x:v>
      </x:c>
      <x:c r="E67" s="115" t="n">
        <x:v>12</x:v>
      </x:c>
      <x:c r="F67" s="115" t="str">
        <x:v>Inspection physique</x:v>
      </x:c>
      <x:c r="G67" s="115" t="str">
        <x:v>1 niveaux ; 24 pièces ; 186 segments de mur ; 0 transitions. Inspection physique ; architecture complète encore ouverte.</x:v>
      </x:c>
      <x:c r="H67" s="115" t="str">
        <x:v>L 256 ; l 216 ; hauteur 4,75 m ; choix de composition auteur ; dimensions réelles à documenter</x:v>
      </x:c>
      <x:c r="I67" s="115" t="str">
        <x:v>À équilibrer</x:v>
      </x:c>
      <x:c r="J67" s="115" t="str">
        <x:v>Non</x:v>
      </x:c>
      <x:c r="K67" s="115" t="str">
        <x:v>Pièces décrites, murs, portes, niveaux et mobilier inspectables à l’échelle. Volumes réservés, raccord au seed, butin, rencontres et services de campagne restent à terminer.</x:v>
      </x:c>
    </x:row>
    <x:row r="68" ht="96" customHeight="1">
      <x:c r="A68" s="115" t="str">
        <x:v>EXT-MONDE-T002-V13</x:v>
      </x:c>
      <x:c r="B68" s="115" t="str">
        <x:v>EXT-MONDE-T002</x:v>
      </x:c>
      <x:c r="C68" s="115" t="str">
        <x:v>Lacs</x:v>
      </x:c>
      <x:c r="D68" s="115" t="str">
        <x:v>Village de pêche lacustre</x:v>
      </x:c>
      <x:c r="E68" s="115" t="n">
        <x:v>13</x:v>
      </x:c>
      <x:c r="F68" s="115" t="str">
        <x:v>Inspection physique</x:v>
      </x:c>
      <x:c r="G68" s="115" t="str">
        <x:v>1 niveaux ; 24 pièces ; 186 segments de mur ; 0 transitions. Inspection physique ; architecture complète encore ouverte.</x:v>
      </x:c>
      <x:c r="H68" s="115" t="str">
        <x:v>L 256 ; l 216 ; hauteur 4,75 m ; choix de composition auteur ; dimensions réelles à documenter</x:v>
      </x:c>
      <x:c r="I68" s="115" t="str">
        <x:v>À équilibrer</x:v>
      </x:c>
      <x:c r="J68" s="115" t="str">
        <x:v>Non</x:v>
      </x:c>
      <x:c r="K68" s="115" t="str">
        <x:v>Pièces décrites, murs, portes, niveaux et mobilier inspectables à l’échelle. Volumes réservés, raccord au seed, butin, rencontres et services de campagne restent à terminer.</x:v>
      </x:c>
    </x:row>
    <x:row r="69" ht="96" customHeight="1">
      <x:c r="A69" s="115" t="str">
        <x:v>EXT-MONDE-T002-V14</x:v>
      </x:c>
      <x:c r="B69" s="115" t="str">
        <x:v>EXT-MONDE-T002</x:v>
      </x:c>
      <x:c r="C69" s="115" t="str">
        <x:v>Lacs</x:v>
      </x:c>
      <x:c r="D69" s="115" t="str">
        <x:v>Village de pêche lacustre</x:v>
      </x:c>
      <x:c r="E69" s="115" t="n">
        <x:v>14</x:v>
      </x:c>
      <x:c r="F69" s="115" t="str">
        <x:v>Inspection physique</x:v>
      </x:c>
      <x:c r="G69" s="115" t="str">
        <x:v>1 niveaux ; 24 pièces ; 186 segments de mur ; 0 transitions. Inspection physique ; architecture complète encore ouverte.</x:v>
      </x:c>
      <x:c r="H69" s="115" t="str">
        <x:v>L 256 ; l 216 ; hauteur 4,75 m ; choix de composition auteur ; dimensions réelles à documenter</x:v>
      </x:c>
      <x:c r="I69" s="115" t="str">
        <x:v>À équilibrer</x:v>
      </x:c>
      <x:c r="J69" s="115" t="str">
        <x:v>Non</x:v>
      </x:c>
      <x:c r="K69" s="115" t="str">
        <x:v>Pièces décrites, murs, portes, niveaux et mobilier inspectables à l’échelle. Volumes réservés, raccord au seed, butin, rencontres et services de campagne restent à terminer.</x:v>
      </x:c>
    </x:row>
    <x:row r="70" ht="96" customHeight="1">
      <x:c r="A70" s="115" t="str">
        <x:v>EXT-MONDE-T002-V15</x:v>
      </x:c>
      <x:c r="B70" s="115" t="str">
        <x:v>EXT-MONDE-T002</x:v>
      </x:c>
      <x:c r="C70" s="115" t="str">
        <x:v>Lacs</x:v>
      </x:c>
      <x:c r="D70" s="115" t="str">
        <x:v>Village de pêche lacustre</x:v>
      </x:c>
      <x:c r="E70" s="115" t="n">
        <x:v>15</x:v>
      </x:c>
      <x:c r="F70" s="115" t="str">
        <x:v>Inspection physique</x:v>
      </x:c>
      <x:c r="G70" s="115" t="str">
        <x:v>1 niveaux ; 24 pièces ; 186 segments de mur ; 0 transitions. Inspection physique ; architecture complète encore ouverte.</x:v>
      </x:c>
      <x:c r="H70" s="115" t="str">
        <x:v>L 256 ; l 216 ; hauteur 4,75 m ; choix de composition auteur ; dimensions réelles à documenter</x:v>
      </x:c>
      <x:c r="I70" s="115" t="str">
        <x:v>À équilibrer</x:v>
      </x:c>
      <x:c r="J70" s="115" t="str">
        <x:v>Non</x:v>
      </x:c>
      <x:c r="K70" s="115" t="str">
        <x:v>Pièces décrites, murs, portes, niveaux et mobilier inspectables à l’échelle. Volumes réservés, raccord au seed, butin, rencontres et services de campagne restent à terminer.</x:v>
      </x:c>
    </x:row>
    <x:row r="71" ht="96" customHeight="1">
      <x:c r="A71" s="115" t="str">
        <x:v>EXT-MONDE-T002-V16</x:v>
      </x:c>
      <x:c r="B71" s="115" t="str">
        <x:v>EXT-MONDE-T002</x:v>
      </x:c>
      <x:c r="C71" s="115" t="str">
        <x:v>Lacs</x:v>
      </x:c>
      <x:c r="D71" s="115" t="str">
        <x:v>Village de pêche lacustre</x:v>
      </x:c>
      <x:c r="E71" s="115" t="n">
        <x:v>16</x:v>
      </x:c>
      <x:c r="F71" s="115" t="str">
        <x:v>Inspection physique</x:v>
      </x:c>
      <x:c r="G71" s="115" t="str">
        <x:v>1 niveaux ; 24 pièces ; 186 segments de mur ; 0 transitions. Inspection physique ; architecture complète encore ouverte.</x:v>
      </x:c>
      <x:c r="H71" s="115" t="str">
        <x:v>L 256 ; l 216 ; hauteur 4,75 m ; choix de composition auteur ; dimensions réelles à documenter</x:v>
      </x:c>
      <x:c r="I71" s="115" t="str">
        <x:v>À équilibrer</x:v>
      </x:c>
      <x:c r="J71" s="115" t="str">
        <x:v>Non</x:v>
      </x:c>
      <x:c r="K71" s="115" t="str">
        <x:v>Pièces décrites, murs, portes, niveaux et mobilier inspectables à l’échelle. Volumes réservés, raccord au seed, butin, rencontres et services de campagne restent à terminer.</x:v>
      </x:c>
    </x:row>
    <x:row r="72" ht="96" customHeight="1">
      <x:c r="A72" s="115" t="str">
        <x:v>EXT-MONDE-T002-V17</x:v>
      </x:c>
      <x:c r="B72" s="115" t="str">
        <x:v>EXT-MONDE-T002</x:v>
      </x:c>
      <x:c r="C72" s="115" t="str">
        <x:v>Lacs</x:v>
      </x:c>
      <x:c r="D72" s="115" t="str">
        <x:v>Village de pêche lacustre</x:v>
      </x:c>
      <x:c r="E72" s="115" t="n">
        <x:v>17</x:v>
      </x:c>
      <x:c r="F72" s="115" t="str">
        <x:v>Inspection physique</x:v>
      </x:c>
      <x:c r="G72" s="115" t="str">
        <x:v>1 niveaux ; 24 pièces ; 186 segments de mur ; 0 transitions. Inspection physique ; architecture complète encore ouverte.</x:v>
      </x:c>
      <x:c r="H72" s="115" t="str">
        <x:v>L 256 ; l 216 ; hauteur 4,75 m ; choix de composition auteur ; dimensions réelles à documenter</x:v>
      </x:c>
      <x:c r="I72" s="115" t="str">
        <x:v>À équilibrer</x:v>
      </x:c>
      <x:c r="J72" s="115" t="str">
        <x:v>Non</x:v>
      </x:c>
      <x:c r="K72" s="115" t="str">
        <x:v>Pièces décrites, murs, portes, niveaux et mobilier inspectables à l’échelle. Volumes réservés, raccord au seed, butin, rencontres et services de campagne restent à terminer.</x:v>
      </x:c>
    </x:row>
    <x:row r="73" ht="96" customHeight="1">
      <x:c r="A73" s="115" t="str">
        <x:v>EXT-MONDE-T002-V18</x:v>
      </x:c>
      <x:c r="B73" s="115" t="str">
        <x:v>EXT-MONDE-T002</x:v>
      </x:c>
      <x:c r="C73" s="115" t="str">
        <x:v>Lacs</x:v>
      </x:c>
      <x:c r="D73" s="115" t="str">
        <x:v>Village de pêche lacustre</x:v>
      </x:c>
      <x:c r="E73" s="115" t="n">
        <x:v>18</x:v>
      </x:c>
      <x:c r="F73" s="115" t="str">
        <x:v>Inspection physique</x:v>
      </x:c>
      <x:c r="G73" s="115" t="str">
        <x:v>1 niveaux ; 24 pièces ; 186 segments de mur ; 0 transitions. Inspection physique ; architecture complète encore ouverte.</x:v>
      </x:c>
      <x:c r="H73" s="115" t="str">
        <x:v>L 256 ; l 216 ; hauteur 4,75 m ; choix de composition auteur ; dimensions réelles à documenter</x:v>
      </x:c>
      <x:c r="I73" s="115" t="str">
        <x:v>À équilibrer</x:v>
      </x:c>
      <x:c r="J73" s="115" t="str">
        <x:v>Non</x:v>
      </x:c>
      <x:c r="K73" s="115" t="str">
        <x:v>Pièces décrites, murs, portes, niveaux et mobilier inspectables à l’échelle. Volumes réservés, raccord au seed, butin, rencontres et services de campagne restent à terminer.</x:v>
      </x:c>
    </x:row>
    <x:row r="74" ht="96" customHeight="1">
      <x:c r="A74" s="115" t="str">
        <x:v>EXT-MONDE-T002-V19</x:v>
      </x:c>
      <x:c r="B74" s="115" t="str">
        <x:v>EXT-MONDE-T002</x:v>
      </x:c>
      <x:c r="C74" s="115" t="str">
        <x:v>Lacs</x:v>
      </x:c>
      <x:c r="D74" s="115" t="str">
        <x:v>Village de pêche lacustre</x:v>
      </x:c>
      <x:c r="E74" s="115" t="n">
        <x:v>19</x:v>
      </x:c>
      <x:c r="F74" s="115" t="str">
        <x:v>Inspection physique</x:v>
      </x:c>
      <x:c r="G74" s="115" t="str">
        <x:v>1 niveaux ; 24 pièces ; 186 segments de mur ; 0 transitions. Inspection physique ; architecture complète encore ouverte.</x:v>
      </x:c>
      <x:c r="H74" s="115" t="str">
        <x:v>L 256 ; l 216 ; hauteur 4,75 m ; choix de composition auteur ; dimensions réelles à documenter</x:v>
      </x:c>
      <x:c r="I74" s="115" t="str">
        <x:v>À équilibrer</x:v>
      </x:c>
      <x:c r="J74" s="115" t="str">
        <x:v>Non</x:v>
      </x:c>
      <x:c r="K74" s="115" t="str">
        <x:v>Pièces décrites, murs, portes, niveaux et mobilier inspectables à l’échelle. Volumes réservés, raccord au seed, butin, rencontres et services de campagne restent à terminer.</x:v>
      </x:c>
    </x:row>
    <x:row r="75" ht="96" customHeight="1">
      <x:c r="A75" s="115" t="str">
        <x:v>EXT-MONDE-T002-V20</x:v>
      </x:c>
      <x:c r="B75" s="115" t="str">
        <x:v>EXT-MONDE-T002</x:v>
      </x:c>
      <x:c r="C75" s="115" t="str">
        <x:v>Lacs</x:v>
      </x:c>
      <x:c r="D75" s="115" t="str">
        <x:v>Village de pêche lacustre</x:v>
      </x:c>
      <x:c r="E75" s="115" t="n">
        <x:v>20</x:v>
      </x:c>
      <x:c r="F75" s="115" t="str">
        <x:v>Inspection physique</x:v>
      </x:c>
      <x:c r="G75" s="115" t="str">
        <x:v>1 niveaux ; 24 pièces ; 186 segments de mur ; 0 transitions. Inspection physique ; architecture complète encore ouverte.</x:v>
      </x:c>
      <x:c r="H75" s="115" t="str">
        <x:v>L 256 ; l 216 ; hauteur 4,75 m ; choix de composition auteur ; dimensions réelles à documenter</x:v>
      </x:c>
      <x:c r="I75" s="115" t="str">
        <x:v>À équilibrer</x:v>
      </x:c>
      <x:c r="J75" s="115" t="str">
        <x:v>Non</x:v>
      </x:c>
      <x:c r="K75" s="115" t="str">
        <x:v>Pièces décrites, murs, portes, niveaux et mobilier inspectables à l’échelle. Volumes réservés, raccord au seed, butin, rencontres et services de campagne restent à terminer.</x:v>
      </x:c>
    </x:row>
    <x:row r="76" ht="96" customHeight="1">
      <x:c r="A76" s="115" t="str">
        <x:v>EXT-MONDE-T002-V21</x:v>
      </x:c>
      <x:c r="B76" s="115" t="str">
        <x:v>EXT-MONDE-T002</x:v>
      </x:c>
      <x:c r="C76" s="115" t="str">
        <x:v>Lacs</x:v>
      </x:c>
      <x:c r="D76" s="115" t="str">
        <x:v>Village de pêche lacustre</x:v>
      </x:c>
      <x:c r="E76" s="115" t="n">
        <x:v>21</x:v>
      </x:c>
      <x:c r="F76" s="115" t="str">
        <x:v>Inspection physique</x:v>
      </x:c>
      <x:c r="G76" s="115" t="str">
        <x:v>1 niveaux ; 24 pièces ; 186 segments de mur ; 0 transitions. Inspection physique ; architecture complète encore ouverte.</x:v>
      </x:c>
      <x:c r="H76" s="115" t="str">
        <x:v>L 270 ; l 232 ; hauteur 4,9 m ; choix de composition auteur ; dimensions réelles à documenter</x:v>
      </x:c>
      <x:c r="I76" s="115" t="str">
        <x:v>À équilibrer</x:v>
      </x:c>
      <x:c r="J76" s="115" t="str">
        <x:v>Non</x:v>
      </x:c>
      <x:c r="K76" s="115" t="str">
        <x:v>Pièces décrites, murs, portes, niveaux et mobilier inspectables à l’échelle. Volumes réservés, raccord au seed, butin, rencontres et services de campagne restent à terminer.</x:v>
      </x:c>
    </x:row>
    <x:row r="77" ht="96" customHeight="1">
      <x:c r="A77" s="115" t="str">
        <x:v>EXT-MONDE-T002-V22</x:v>
      </x:c>
      <x:c r="B77" s="115" t="str">
        <x:v>EXT-MONDE-T002</x:v>
      </x:c>
      <x:c r="C77" s="115" t="str">
        <x:v>Lacs</x:v>
      </x:c>
      <x:c r="D77" s="115" t="str">
        <x:v>Village de pêche lacustre</x:v>
      </x:c>
      <x:c r="E77" s="115" t="n">
        <x:v>22</x:v>
      </x:c>
      <x:c r="F77" s="115" t="str">
        <x:v>Inspection physique</x:v>
      </x:c>
      <x:c r="G77" s="115" t="str">
        <x:v>1 niveaux ; 24 pièces ; 186 segments de mur ; 0 transitions. Inspection physique ; architecture complète encore ouverte.</x:v>
      </x:c>
      <x:c r="H77" s="115" t="str">
        <x:v>L 270 ; l 232 ; hauteur 4,9 m ; choix de composition auteur ; dimensions réelles à documenter</x:v>
      </x:c>
      <x:c r="I77" s="115" t="str">
        <x:v>À équilibrer</x:v>
      </x:c>
      <x:c r="J77" s="115" t="str">
        <x:v>Non</x:v>
      </x:c>
      <x:c r="K77" s="115" t="str">
        <x:v>Pièces décrites, murs, portes, niveaux et mobilier inspectables à l’échelle. Volumes réservés, raccord au seed, butin, rencontres et services de campagne restent à terminer.</x:v>
      </x:c>
    </x:row>
    <x:row r="78" ht="96" customHeight="1">
      <x:c r="A78" s="115" t="str">
        <x:v>EXT-MONDE-T002-V23</x:v>
      </x:c>
      <x:c r="B78" s="115" t="str">
        <x:v>EXT-MONDE-T002</x:v>
      </x:c>
      <x:c r="C78" s="115" t="str">
        <x:v>Lacs</x:v>
      </x:c>
      <x:c r="D78" s="115" t="str">
        <x:v>Village de pêche lacustre</x:v>
      </x:c>
      <x:c r="E78" s="115" t="n">
        <x:v>23</x:v>
      </x:c>
      <x:c r="F78" s="115" t="str">
        <x:v>Inspection physique</x:v>
      </x:c>
      <x:c r="G78" s="115" t="str">
        <x:v>1 niveaux ; 24 pièces ; 186 segments de mur ; 0 transitions. Inspection physique ; architecture complète encore ouverte.</x:v>
      </x:c>
      <x:c r="H78" s="115" t="str">
        <x:v>L 270 ; l 232 ; hauteur 4,9 m ; choix de composition auteur ; dimensions réelles à documenter</x:v>
      </x:c>
      <x:c r="I78" s="115" t="str">
        <x:v>À équilibrer</x:v>
      </x:c>
      <x:c r="J78" s="115" t="str">
        <x:v>Non</x:v>
      </x:c>
      <x:c r="K78" s="115" t="str">
        <x:v>Pièces décrites, murs, portes, niveaux et mobilier inspectables à l’échelle. Volumes réservés, raccord au seed, butin, rencontres et services de campagne restent à terminer.</x:v>
      </x:c>
    </x:row>
    <x:row r="79" ht="96" customHeight="1">
      <x:c r="A79" s="115" t="str">
        <x:v>EXT-MONDE-T002-V24</x:v>
      </x:c>
      <x:c r="B79" s="115" t="str">
        <x:v>EXT-MONDE-T002</x:v>
      </x:c>
      <x:c r="C79" s="115" t="str">
        <x:v>Lacs</x:v>
      </x:c>
      <x:c r="D79" s="115" t="str">
        <x:v>Village de pêche lacustre</x:v>
      </x:c>
      <x:c r="E79" s="115" t="n">
        <x:v>24</x:v>
      </x:c>
      <x:c r="F79" s="115" t="str">
        <x:v>Inspection physique</x:v>
      </x:c>
      <x:c r="G79" s="115" t="str">
        <x:v>1 niveaux ; 24 pièces ; 186 segments de mur ; 0 transitions. Inspection physique ; architecture complète encore ouverte.</x:v>
      </x:c>
      <x:c r="H79" s="115" t="str">
        <x:v>L 270 ; l 232 ; hauteur 4,9 m ; choix de composition auteur ; dimensions réelles à documenter</x:v>
      </x:c>
      <x:c r="I79" s="115" t="str">
        <x:v>À équilibrer</x:v>
      </x:c>
      <x:c r="J79" s="115" t="str">
        <x:v>Non</x:v>
      </x:c>
      <x:c r="K79" s="115" t="str">
        <x:v>Pièces décrites, murs, portes, niveaux et mobilier inspectables à l’échelle. Volumes réservés, raccord au seed, butin, rencontres et services de campagne restent à terminer.</x:v>
      </x:c>
    </x:row>
    <x:row r="80" ht="96" customHeight="1">
      <x:c r="A80" s="115" t="str">
        <x:v>EXT-MONDE-T002-V25</x:v>
      </x:c>
      <x:c r="B80" s="115" t="str">
        <x:v>EXT-MONDE-T002</x:v>
      </x:c>
      <x:c r="C80" s="115" t="str">
        <x:v>Lacs</x:v>
      </x:c>
      <x:c r="D80" s="115" t="str">
        <x:v>Village de pêche lacustre</x:v>
      </x:c>
      <x:c r="E80" s="115" t="n">
        <x:v>25</x:v>
      </x:c>
      <x:c r="F80" s="115" t="str">
        <x:v>Inspection physique</x:v>
      </x:c>
      <x:c r="G80" s="115" t="str">
        <x:v>1 niveaux ; 24 pièces ; 186 segments de mur ; 0 transitions. Inspection physique ; architecture complète encore ouverte.</x:v>
      </x:c>
      <x:c r="H80" s="115" t="str">
        <x:v>L 270 ; l 232 ; hauteur 4,9 m ; choix de composition auteur ; dimensions réelles à documenter</x:v>
      </x:c>
      <x:c r="I80" s="115" t="str">
        <x:v>À équilibrer</x:v>
      </x:c>
      <x:c r="J80" s="115" t="str">
        <x:v>Non</x:v>
      </x:c>
      <x:c r="K80" s="115" t="str">
        <x:v>Pièces décrites, murs, portes, niveaux et mobilier inspectables à l’échelle. Volumes réservés, raccord au seed, butin, rencontres et services de campagne restent à terminer.</x:v>
      </x:c>
    </x:row>
    <x:row r="81" ht="96" customHeight="1">
      <x:c r="A81" s="115" t="str">
        <x:v>EXT-MONDE-T002-V26</x:v>
      </x:c>
      <x:c r="B81" s="115" t="str">
        <x:v>EXT-MONDE-T002</x:v>
      </x:c>
      <x:c r="C81" s="115" t="str">
        <x:v>Lacs</x:v>
      </x:c>
      <x:c r="D81" s="115" t="str">
        <x:v>Village de pêche lacustre</x:v>
      </x:c>
      <x:c r="E81" s="115" t="n">
        <x:v>26</x:v>
      </x:c>
      <x:c r="F81" s="115" t="str">
        <x:v>Inspection physique</x:v>
      </x:c>
      <x:c r="G81" s="115" t="str">
        <x:v>1 niveaux ; 24 pièces ; 186 segments de mur ; 0 transitions. Inspection physique ; architecture complète encore ouverte.</x:v>
      </x:c>
      <x:c r="H81" s="115" t="str">
        <x:v>L 270 ; l 232 ; hauteur 4,9 m ; choix de composition auteur ; dimensions réelles à documenter</x:v>
      </x:c>
      <x:c r="I81" s="115" t="str">
        <x:v>À équilibrer</x:v>
      </x:c>
      <x:c r="J81" s="115" t="str">
        <x:v>Non</x:v>
      </x:c>
      <x:c r="K81" s="115" t="str">
        <x:v>Pièces décrites, murs, portes, niveaux et mobilier inspectables à l’échelle. Volumes réservés, raccord au seed, butin, rencontres et services de campagne restent à terminer.</x:v>
      </x:c>
    </x:row>
    <x:row r="82" ht="96" customHeight="1">
      <x:c r="A82" s="115" t="str">
        <x:v>EXT-MONDE-T002-V27</x:v>
      </x:c>
      <x:c r="B82" s="115" t="str">
        <x:v>EXT-MONDE-T002</x:v>
      </x:c>
      <x:c r="C82" s="115" t="str">
        <x:v>Lacs</x:v>
      </x:c>
      <x:c r="D82" s="115" t="str">
        <x:v>Village de pêche lacustre</x:v>
      </x:c>
      <x:c r="E82" s="115" t="n">
        <x:v>27</x:v>
      </x:c>
      <x:c r="F82" s="115" t="str">
        <x:v>Inspection physique</x:v>
      </x:c>
      <x:c r="G82" s="115" t="str">
        <x:v>1 niveaux ; 24 pièces ; 186 segments de mur ; 0 transitions. Inspection physique ; architecture complète encore ouverte.</x:v>
      </x:c>
      <x:c r="H82" s="115" t="str">
        <x:v>L 270 ; l 232 ; hauteur 4,9 m ; choix de composition auteur ; dimensions réelles à documenter</x:v>
      </x:c>
      <x:c r="I82" s="115" t="str">
        <x:v>À équilibrer</x:v>
      </x:c>
      <x:c r="J82" s="115" t="str">
        <x:v>Non</x:v>
      </x:c>
      <x:c r="K82" s="115" t="str">
        <x:v>Pièces décrites, murs, portes, niveaux et mobilier inspectables à l’échelle. Volumes réservés, raccord au seed, butin, rencontres et services de campagne restent à terminer.</x:v>
      </x:c>
    </x:row>
    <x:row r="83" ht="96" customHeight="1">
      <x:c r="A83" s="115" t="str">
        <x:v>EXT-MONDE-T002-V28</x:v>
      </x:c>
      <x:c r="B83" s="115" t="str">
        <x:v>EXT-MONDE-T002</x:v>
      </x:c>
      <x:c r="C83" s="115" t="str">
        <x:v>Lacs</x:v>
      </x:c>
      <x:c r="D83" s="115" t="str">
        <x:v>Village de pêche lacustre</x:v>
      </x:c>
      <x:c r="E83" s="115" t="n">
        <x:v>28</x:v>
      </x:c>
      <x:c r="F83" s="115" t="str">
        <x:v>Inspection physique</x:v>
      </x:c>
      <x:c r="G83" s="115" t="str">
        <x:v>1 niveaux ; 24 pièces ; 186 segments de mur ; 0 transitions. Inspection physique ; architecture complète encore ouverte.</x:v>
      </x:c>
      <x:c r="H83" s="115" t="str">
        <x:v>L 270 ; l 232 ; hauteur 4,9 m ; choix de composition auteur ; dimensions réelles à documenter</x:v>
      </x:c>
      <x:c r="I83" s="115" t="str">
        <x:v>À équilibrer</x:v>
      </x:c>
      <x:c r="J83" s="115" t="str">
        <x:v>Non</x:v>
      </x:c>
      <x:c r="K83" s="115" t="str">
        <x:v>Pièces décrites, murs, portes, niveaux et mobilier inspectables à l’échelle. Volumes réservés, raccord au seed, butin, rencontres et services de campagne restent à terminer.</x:v>
      </x:c>
    </x:row>
    <x:row r="84" ht="96" customHeight="1">
      <x:c r="A84" s="115" t="str">
        <x:v>EXT-MONDE-T002-V29</x:v>
      </x:c>
      <x:c r="B84" s="115" t="str">
        <x:v>EXT-MONDE-T002</x:v>
      </x:c>
      <x:c r="C84" s="115" t="str">
        <x:v>Lacs</x:v>
      </x:c>
      <x:c r="D84" s="115" t="str">
        <x:v>Village de pêche lacustre</x:v>
      </x:c>
      <x:c r="E84" s="115" t="n">
        <x:v>29</x:v>
      </x:c>
      <x:c r="F84" s="115" t="str">
        <x:v>Inspection physique</x:v>
      </x:c>
      <x:c r="G84" s="115" t="str">
        <x:v>1 niveaux ; 24 pièces ; 186 segments de mur ; 0 transitions. Inspection physique ; architecture complète encore ouverte.</x:v>
      </x:c>
      <x:c r="H84" s="115" t="str">
        <x:v>L 270 ; l 232 ; hauteur 4,9 m ; choix de composition auteur ; dimensions réelles à documenter</x:v>
      </x:c>
      <x:c r="I84" s="115" t="str">
        <x:v>À équilibrer</x:v>
      </x:c>
      <x:c r="J84" s="115" t="str">
        <x:v>Non</x:v>
      </x:c>
      <x:c r="K84" s="115" t="str">
        <x:v>Pièces décrites, murs, portes, niveaux et mobilier inspectables à l’échelle. Volumes réservés, raccord au seed, butin, rencontres et services de campagne restent à terminer.</x:v>
      </x:c>
    </x:row>
    <x:row r="85" ht="96" customHeight="1">
      <x:c r="A85" s="115" t="str">
        <x:v>EXT-MONDE-T002-V30</x:v>
      </x:c>
      <x:c r="B85" s="115" t="str">
        <x:v>EXT-MONDE-T002</x:v>
      </x:c>
      <x:c r="C85" s="115" t="str">
        <x:v>Lacs</x:v>
      </x:c>
      <x:c r="D85" s="115" t="str">
        <x:v>Village de pêche lacustre</x:v>
      </x:c>
      <x:c r="E85" s="115" t="n">
        <x:v>30</x:v>
      </x:c>
      <x:c r="F85" s="115" t="str">
        <x:v>Inspection physique</x:v>
      </x:c>
      <x:c r="G85" s="115" t="str">
        <x:v>1 niveaux ; 24 pièces ; 186 segments de mur ; 0 transitions. Inspection physique ; architecture complète encore ouverte.</x:v>
      </x:c>
      <x:c r="H85" s="115" t="str">
        <x:v>L 270 ; l 232 ; hauteur 4,9 m ; choix de composition auteur ; dimensions réelles à documenter</x:v>
      </x:c>
      <x:c r="I85" s="115" t="str">
        <x:v>À équilibrer</x:v>
      </x:c>
      <x:c r="J85" s="115" t="str">
        <x:v>Non</x:v>
      </x:c>
      <x:c r="K85" s="115" t="str">
        <x:v>Pièces décrites, murs, portes, niveaux et mobilier inspectables à l’échelle. Volumes réservés, raccord au seed, butin, rencontres et services de campagne restent à terminer.</x:v>
      </x:c>
    </x:row>
    <x:row r="86" ht="96" customHeight="1">
      <x:c r="A86" s="115" t="str">
        <x:v>EXT-MONDE-T002-V31</x:v>
      </x:c>
      <x:c r="B86" s="115" t="str">
        <x:v>EXT-MONDE-T002</x:v>
      </x:c>
      <x:c r="C86" s="115" t="str">
        <x:v>Lacs</x:v>
      </x:c>
      <x:c r="D86" s="115" t="str">
        <x:v>Village de pêche lacustre</x:v>
      </x:c>
      <x:c r="E86" s="115" t="n">
        <x:v>31</x:v>
      </x:c>
      <x:c r="F86" s="115" t="str">
        <x:v>Inspection physique</x:v>
      </x:c>
      <x:c r="G86" s="115" t="str">
        <x:v>1 niveaux ; 24 pièces ; 186 segments de mur ; 0 transitions. Inspection physique ; architecture complète encore ouverte.</x:v>
      </x:c>
      <x:c r="H86" s="115" t="str">
        <x:v>L 284 ; l 248 ; hauteur 5,05 m ; choix de composition auteur ; dimensions réelles à documenter</x:v>
      </x:c>
      <x:c r="I86" s="115" t="str">
        <x:v>À équilibrer</x:v>
      </x:c>
      <x:c r="J86" s="115" t="str">
        <x:v>Non</x:v>
      </x:c>
      <x:c r="K86" s="115" t="str">
        <x:v>Pièces décrites, murs, portes, niveaux et mobilier inspectables à l’échelle. Volumes réservés, raccord au seed, butin, rencontres et services de campagne restent à terminer.</x:v>
      </x:c>
    </x:row>
    <x:row r="87" ht="96" customHeight="1">
      <x:c r="A87" s="115" t="str">
        <x:v>EXT-MONDE-T002-V32</x:v>
      </x:c>
      <x:c r="B87" s="115" t="str">
        <x:v>EXT-MONDE-T002</x:v>
      </x:c>
      <x:c r="C87" s="115" t="str">
        <x:v>Lacs</x:v>
      </x:c>
      <x:c r="D87" s="115" t="str">
        <x:v>Village de pêche lacustre</x:v>
      </x:c>
      <x:c r="E87" s="115" t="n">
        <x:v>32</x:v>
      </x:c>
      <x:c r="F87" s="115" t="str">
        <x:v>Inspection physique</x:v>
      </x:c>
      <x:c r="G87" s="115" t="str">
        <x:v>1 niveaux ; 24 pièces ; 186 segments de mur ; 0 transitions. Inspection physique ; architecture complète encore ouverte.</x:v>
      </x:c>
      <x:c r="H87" s="115" t="str">
        <x:v>L 284 ; l 248 ; hauteur 5,05 m ; choix de composition auteur ; dimensions réelles à documenter</x:v>
      </x:c>
      <x:c r="I87" s="115" t="str">
        <x:v>À équilibrer</x:v>
      </x:c>
      <x:c r="J87" s="115" t="str">
        <x:v>Non</x:v>
      </x:c>
      <x:c r="K87" s="115" t="str">
        <x:v>Pièces décrites, murs, portes, niveaux et mobilier inspectables à l’échelle. Volumes réservés, raccord au seed, butin, rencontres et services de campagne restent à terminer.</x:v>
      </x:c>
    </x:row>
    <x:row r="88" ht="96" customHeight="1">
      <x:c r="A88" s="115" t="str">
        <x:v>EXT-MONDE-T002-V33</x:v>
      </x:c>
      <x:c r="B88" s="115" t="str">
        <x:v>EXT-MONDE-T002</x:v>
      </x:c>
      <x:c r="C88" s="115" t="str">
        <x:v>Lacs</x:v>
      </x:c>
      <x:c r="D88" s="115" t="str">
        <x:v>Village de pêche lacustre</x:v>
      </x:c>
      <x:c r="E88" s="115" t="n">
        <x:v>33</x:v>
      </x:c>
      <x:c r="F88" s="115" t="str">
        <x:v>Inspection physique</x:v>
      </x:c>
      <x:c r="G88" s="115" t="str">
        <x:v>1 niveaux ; 24 pièces ; 186 segments de mur ; 0 transitions. Inspection physique ; architecture complète encore ouverte.</x:v>
      </x:c>
      <x:c r="H88" s="115" t="str">
        <x:v>L 284 ; l 248 ; hauteur 5,05 m ; choix de composition auteur ; dimensions réelles à documenter</x:v>
      </x:c>
      <x:c r="I88" s="115" t="str">
        <x:v>À équilibrer</x:v>
      </x:c>
      <x:c r="J88" s="115" t="str">
        <x:v>Non</x:v>
      </x:c>
      <x:c r="K88" s="115" t="str">
        <x:v>Pièces décrites, murs, portes, niveaux et mobilier inspectables à l’échelle. Volumes réservés, raccord au seed, butin, rencontres et services de campagne restent à terminer.</x:v>
      </x:c>
    </x:row>
    <x:row r="89" ht="96" customHeight="1">
      <x:c r="A89" s="115" t="str">
        <x:v>EXT-MONDE-T002-V34</x:v>
      </x:c>
      <x:c r="B89" s="115" t="str">
        <x:v>EXT-MONDE-T002</x:v>
      </x:c>
      <x:c r="C89" s="115" t="str">
        <x:v>Lacs</x:v>
      </x:c>
      <x:c r="D89" s="115" t="str">
        <x:v>Village de pêche lacustre</x:v>
      </x:c>
      <x:c r="E89" s="115" t="n">
        <x:v>34</x:v>
      </x:c>
      <x:c r="F89" s="115" t="str">
        <x:v>Inspection physique</x:v>
      </x:c>
      <x:c r="G89" s="115" t="str">
        <x:v>1 niveaux ; 24 pièces ; 186 segments de mur ; 0 transitions. Inspection physique ; architecture complète encore ouverte.</x:v>
      </x:c>
      <x:c r="H89" s="115" t="str">
        <x:v>L 284 ; l 248 ; hauteur 5,05 m ; choix de composition auteur ; dimensions réelles à documenter</x:v>
      </x:c>
      <x:c r="I89" s="115" t="str">
        <x:v>À équilibrer</x:v>
      </x:c>
      <x:c r="J89" s="115" t="str">
        <x:v>Non</x:v>
      </x:c>
      <x:c r="K89" s="115" t="str">
        <x:v>Pièces décrites, murs, portes, niveaux et mobilier inspectables à l’échelle. Volumes réservés, raccord au seed, butin, rencontres et services de campagne restent à terminer.</x:v>
      </x:c>
    </x:row>
    <x:row r="90" ht="96" customHeight="1">
      <x:c r="A90" s="115" t="str">
        <x:v>EXT-MONDE-T002-V35</x:v>
      </x:c>
      <x:c r="B90" s="115" t="str">
        <x:v>EXT-MONDE-T002</x:v>
      </x:c>
      <x:c r="C90" s="115" t="str">
        <x:v>Lacs</x:v>
      </x:c>
      <x:c r="D90" s="115" t="str">
        <x:v>Village de pêche lacustre</x:v>
      </x:c>
      <x:c r="E90" s="115" t="n">
        <x:v>35</x:v>
      </x:c>
      <x:c r="F90" s="115" t="str">
        <x:v>Inspection physique</x:v>
      </x:c>
      <x:c r="G90" s="115" t="str">
        <x:v>1 niveaux ; 24 pièces ; 186 segments de mur ; 0 transitions. Inspection physique ; architecture complète encore ouverte.</x:v>
      </x:c>
      <x:c r="H90" s="115" t="str">
        <x:v>L 284 ; l 248 ; hauteur 5,05 m ; choix de composition auteur ; dimensions réelles à documenter</x:v>
      </x:c>
      <x:c r="I90" s="115" t="str">
        <x:v>À équilibrer</x:v>
      </x:c>
      <x:c r="J90" s="115" t="str">
        <x:v>Non</x:v>
      </x:c>
      <x:c r="K90" s="115" t="str">
        <x:v>Pièces décrites, murs, portes, niveaux et mobilier inspectables à l’échelle. Volumes réservés, raccord au seed, butin, rencontres et services de campagne restent à terminer.</x:v>
      </x:c>
    </x:row>
    <x:row r="91" ht="96" customHeight="1">
      <x:c r="A91" s="115" t="str">
        <x:v>EXT-MONDE-T002-V36</x:v>
      </x:c>
      <x:c r="B91" s="115" t="str">
        <x:v>EXT-MONDE-T002</x:v>
      </x:c>
      <x:c r="C91" s="115" t="str">
        <x:v>Lacs</x:v>
      </x:c>
      <x:c r="D91" s="115" t="str">
        <x:v>Village de pêche lacustre</x:v>
      </x:c>
      <x:c r="E91" s="115" t="n">
        <x:v>36</x:v>
      </x:c>
      <x:c r="F91" s="115" t="str">
        <x:v>Inspection physique</x:v>
      </x:c>
      <x:c r="G91" s="115" t="str">
        <x:v>1 niveaux ; 24 pièces ; 186 segments de mur ; 0 transitions. Inspection physique ; architecture complète encore ouverte.</x:v>
      </x:c>
      <x:c r="H91" s="115" t="str">
        <x:v>L 284 ; l 248 ; hauteur 5,05 m ; choix de composition auteur ; dimensions réelles à documenter</x:v>
      </x:c>
      <x:c r="I91" s="115" t="str">
        <x:v>À équilibrer</x:v>
      </x:c>
      <x:c r="J91" s="115" t="str">
        <x:v>Non</x:v>
      </x:c>
      <x:c r="K91" s="115" t="str">
        <x:v>Pièces décrites, murs, portes, niveaux et mobilier inspectables à l’échelle. Volumes réservés, raccord au seed, butin, rencontres et services de campagne restent à terminer.</x:v>
      </x:c>
    </x:row>
    <x:row r="92" ht="96" customHeight="1">
      <x:c r="A92" s="115" t="str">
        <x:v>EXT-MONDE-T002-V37</x:v>
      </x:c>
      <x:c r="B92" s="115" t="str">
        <x:v>EXT-MONDE-T002</x:v>
      </x:c>
      <x:c r="C92" s="115" t="str">
        <x:v>Lacs</x:v>
      </x:c>
      <x:c r="D92" s="115" t="str">
        <x:v>Village de pêche lacustre</x:v>
      </x:c>
      <x:c r="E92" s="115" t="n">
        <x:v>37</x:v>
      </x:c>
      <x:c r="F92" s="115" t="str">
        <x:v>Inspection physique</x:v>
      </x:c>
      <x:c r="G92" s="115" t="str">
        <x:v>1 niveaux ; 24 pièces ; 186 segments de mur ; 0 transitions. Inspection physique ; architecture complète encore ouverte.</x:v>
      </x:c>
      <x:c r="H92" s="115" t="str">
        <x:v>L 284 ; l 248 ; hauteur 5,05 m ; choix de composition auteur ; dimensions réelles à documenter</x:v>
      </x:c>
      <x:c r="I92" s="115" t="str">
        <x:v>À équilibrer</x:v>
      </x:c>
      <x:c r="J92" s="115" t="str">
        <x:v>Non</x:v>
      </x:c>
      <x:c r="K92" s="115" t="str">
        <x:v>Pièces décrites, murs, portes, niveaux et mobilier inspectables à l’échelle. Volumes réservés, raccord au seed, butin, rencontres et services de campagne restent à terminer.</x:v>
      </x:c>
    </x:row>
    <x:row r="93" ht="96" customHeight="1">
      <x:c r="A93" s="115" t="str">
        <x:v>EXT-MONDE-T002-V38</x:v>
      </x:c>
      <x:c r="B93" s="115" t="str">
        <x:v>EXT-MONDE-T002</x:v>
      </x:c>
      <x:c r="C93" s="115" t="str">
        <x:v>Lacs</x:v>
      </x:c>
      <x:c r="D93" s="115" t="str">
        <x:v>Village de pêche lacustre</x:v>
      </x:c>
      <x:c r="E93" s="115" t="n">
        <x:v>38</x:v>
      </x:c>
      <x:c r="F93" s="115" t="str">
        <x:v>Inspection physique</x:v>
      </x:c>
      <x:c r="G93" s="115" t="str">
        <x:v>1 niveaux ; 24 pièces ; 186 segments de mur ; 0 transitions. Inspection physique ; architecture complète encore ouverte.</x:v>
      </x:c>
      <x:c r="H93" s="115" t="str">
        <x:v>L 284 ; l 248 ; hauteur 5,05 m ; choix de composition auteur ; dimensions réelles à documenter</x:v>
      </x:c>
      <x:c r="I93" s="115" t="str">
        <x:v>À équilibrer</x:v>
      </x:c>
      <x:c r="J93" s="115" t="str">
        <x:v>Non</x:v>
      </x:c>
      <x:c r="K93" s="115" t="str">
        <x:v>Pièces décrites, murs, portes, niveaux et mobilier inspectables à l’échelle. Volumes réservés, raccord au seed, butin, rencontres et services de campagne restent à terminer.</x:v>
      </x:c>
    </x:row>
    <x:row r="94" ht="96" customHeight="1">
      <x:c r="A94" s="115" t="str">
        <x:v>EXT-MONDE-T002-V39</x:v>
      </x:c>
      <x:c r="B94" s="115" t="str">
        <x:v>EXT-MONDE-T002</x:v>
      </x:c>
      <x:c r="C94" s="115" t="str">
        <x:v>Lacs</x:v>
      </x:c>
      <x:c r="D94" s="115" t="str">
        <x:v>Village de pêche lacustre</x:v>
      </x:c>
      <x:c r="E94" s="115" t="n">
        <x:v>39</x:v>
      </x:c>
      <x:c r="F94" s="115" t="str">
        <x:v>Inspection physique</x:v>
      </x:c>
      <x:c r="G94" s="115" t="str">
        <x:v>1 niveaux ; 24 pièces ; 186 segments de mur ; 0 transitions. Inspection physique ; architecture complète encore ouverte.</x:v>
      </x:c>
      <x:c r="H94" s="115" t="str">
        <x:v>L 284 ; l 248 ; hauteur 5,05 m ; choix de composition auteur ; dimensions réelles à documenter</x:v>
      </x:c>
      <x:c r="I94" s="115" t="str">
        <x:v>À équilibrer</x:v>
      </x:c>
      <x:c r="J94" s="115" t="str">
        <x:v>Non</x:v>
      </x:c>
      <x:c r="K94" s="115" t="str">
        <x:v>Pièces décrites, murs, portes, niveaux et mobilier inspectables à l’échelle. Volumes réservés, raccord au seed, butin, rencontres et services de campagne restent à terminer.</x:v>
      </x:c>
    </x:row>
    <x:row r="95" ht="96" customHeight="1">
      <x:c r="A95" s="115" t="str">
        <x:v>EXT-MONDE-T002-V40</x:v>
      </x:c>
      <x:c r="B95" s="115" t="str">
        <x:v>EXT-MONDE-T002</x:v>
      </x:c>
      <x:c r="C95" s="115" t="str">
        <x:v>Lacs</x:v>
      </x:c>
      <x:c r="D95" s="115" t="str">
        <x:v>Village de pêche lacustre</x:v>
      </x:c>
      <x:c r="E95" s="115" t="n">
        <x:v>40</x:v>
      </x:c>
      <x:c r="F95" s="115" t="str">
        <x:v>Inspection physique</x:v>
      </x:c>
      <x:c r="G95" s="115" t="str">
        <x:v>1 niveaux ; 24 pièces ; 186 segments de mur ; 0 transitions. Inspection physique ; architecture complète encore ouverte.</x:v>
      </x:c>
      <x:c r="H95" s="115" t="str">
        <x:v>L 284 ; l 248 ; hauteur 5,05 m ; choix de composition auteur ; dimensions réelles à documenter</x:v>
      </x:c>
      <x:c r="I95" s="115" t="str">
        <x:v>À équilibrer</x:v>
      </x:c>
      <x:c r="J95" s="115" t="str">
        <x:v>Non</x:v>
      </x:c>
      <x:c r="K95" s="115" t="str">
        <x:v>Pièces décrites, murs, portes, niveaux et mobilier inspectables à l’échelle. Volumes réservés, raccord au seed, butin, rencontres et services de campagne restent à terminer.</x:v>
      </x:c>
    </x:row>
    <x:row r="96" ht="96" customHeight="1">
      <x:c r="A96" s="115" t="str">
        <x:v>EXT-MONDE-T002-V41</x:v>
      </x:c>
      <x:c r="B96" s="115" t="str">
        <x:v>EXT-MONDE-T002</x:v>
      </x:c>
      <x:c r="C96" s="115" t="str">
        <x:v>Lacs</x:v>
      </x:c>
      <x:c r="D96" s="115" t="str">
        <x:v>Village de pêche lacustre</x:v>
      </x:c>
      <x:c r="E96" s="115" t="n">
        <x:v>41</x:v>
      </x:c>
      <x:c r="F96" s="115" t="str">
        <x:v>Inspection physique</x:v>
      </x:c>
      <x:c r="G96" s="115" t="str">
        <x:v>1 niveaux ; 24 pièces ; 186 segments de mur ; 0 transitions. Inspection physique ; architecture complète encore ouverte.</x:v>
      </x:c>
      <x:c r="H96" s="115" t="str">
        <x:v>L 298 ; l 264 ; hauteur 5,2 m ; choix de composition auteur ; dimensions réelles à documenter</x:v>
      </x:c>
      <x:c r="I96" s="115" t="str">
        <x:v>À équilibrer</x:v>
      </x:c>
      <x:c r="J96" s="115" t="str">
        <x:v>Non</x:v>
      </x:c>
      <x:c r="K96" s="115" t="str">
        <x:v>Pièces décrites, murs, portes, niveaux et mobilier inspectables à l’échelle. Volumes réservés, raccord au seed, butin, rencontres et services de campagne restent à terminer.</x:v>
      </x:c>
    </x:row>
    <x:row r="97" ht="96" customHeight="1">
      <x:c r="A97" s="115" t="str">
        <x:v>EXT-MONDE-T002-V42</x:v>
      </x:c>
      <x:c r="B97" s="115" t="str">
        <x:v>EXT-MONDE-T002</x:v>
      </x:c>
      <x:c r="C97" s="115" t="str">
        <x:v>Lacs</x:v>
      </x:c>
      <x:c r="D97" s="115" t="str">
        <x:v>Village de pêche lacustre</x:v>
      </x:c>
      <x:c r="E97" s="115" t="n">
        <x:v>42</x:v>
      </x:c>
      <x:c r="F97" s="115" t="str">
        <x:v>Inspection physique</x:v>
      </x:c>
      <x:c r="G97" s="115" t="str">
        <x:v>1 niveaux ; 24 pièces ; 186 segments de mur ; 0 transitions. Inspection physique ; architecture complète encore ouverte.</x:v>
      </x:c>
      <x:c r="H97" s="115" t="str">
        <x:v>L 298 ; l 264 ; hauteur 5,2 m ; choix de composition auteur ; dimensions réelles à documenter</x:v>
      </x:c>
      <x:c r="I97" s="115" t="str">
        <x:v>À équilibrer</x:v>
      </x:c>
      <x:c r="J97" s="115" t="str">
        <x:v>Non</x:v>
      </x:c>
      <x:c r="K97" s="115" t="str">
        <x:v>Pièces décrites, murs, portes, niveaux et mobilier inspectables à l’échelle. Volumes réservés, raccord au seed, butin, rencontres et services de campagne restent à terminer.</x:v>
      </x:c>
    </x:row>
    <x:row r="98" ht="96" customHeight="1">
      <x:c r="A98" s="115" t="str">
        <x:v>EXT-MONDE-T002-V43</x:v>
      </x:c>
      <x:c r="B98" s="115" t="str">
        <x:v>EXT-MONDE-T002</x:v>
      </x:c>
      <x:c r="C98" s="115" t="str">
        <x:v>Lacs</x:v>
      </x:c>
      <x:c r="D98" s="115" t="str">
        <x:v>Village de pêche lacustre</x:v>
      </x:c>
      <x:c r="E98" s="115" t="n">
        <x:v>43</x:v>
      </x:c>
      <x:c r="F98" s="115" t="str">
        <x:v>Inspection physique</x:v>
      </x:c>
      <x:c r="G98" s="115" t="str">
        <x:v>1 niveaux ; 24 pièces ; 186 segments de mur ; 0 transitions. Inspection physique ; architecture complète encore ouverte.</x:v>
      </x:c>
      <x:c r="H98" s="115" t="str">
        <x:v>L 298 ; l 264 ; hauteur 5,2 m ; choix de composition auteur ; dimensions réelles à documenter</x:v>
      </x:c>
      <x:c r="I98" s="115" t="str">
        <x:v>À équilibrer</x:v>
      </x:c>
      <x:c r="J98" s="115" t="str">
        <x:v>Non</x:v>
      </x:c>
      <x:c r="K98" s="115" t="str">
        <x:v>Pièces décrites, murs, portes, niveaux et mobilier inspectables à l’échelle. Volumes réservés, raccord au seed, butin, rencontres et services de campagne restent à terminer.</x:v>
      </x:c>
    </x:row>
    <x:row r="99" ht="96" customHeight="1">
      <x:c r="A99" s="115" t="str">
        <x:v>EXT-MONDE-T002-V44</x:v>
      </x:c>
      <x:c r="B99" s="115" t="str">
        <x:v>EXT-MONDE-T002</x:v>
      </x:c>
      <x:c r="C99" s="115" t="str">
        <x:v>Lacs</x:v>
      </x:c>
      <x:c r="D99" s="115" t="str">
        <x:v>Village de pêche lacustre</x:v>
      </x:c>
      <x:c r="E99" s="115" t="n">
        <x:v>44</x:v>
      </x:c>
      <x:c r="F99" s="115" t="str">
        <x:v>Inspection physique</x:v>
      </x:c>
      <x:c r="G99" s="115" t="str">
        <x:v>1 niveaux ; 24 pièces ; 186 segments de mur ; 0 transitions. Inspection physique ; architecture complète encore ouverte.</x:v>
      </x:c>
      <x:c r="H99" s="115" t="str">
        <x:v>L 298 ; l 264 ; hauteur 5,2 m ; choix de composition auteur ; dimensions réelles à documenter</x:v>
      </x:c>
      <x:c r="I99" s="115" t="str">
        <x:v>À équilibrer</x:v>
      </x:c>
      <x:c r="J99" s="115" t="str">
        <x:v>Non</x:v>
      </x:c>
      <x:c r="K99" s="115" t="str">
        <x:v>Pièces décrites, murs, portes, niveaux et mobilier inspectables à l’échelle. Volumes réservés, raccord au seed, butin, rencontres et services de campagne restent à terminer.</x:v>
      </x:c>
    </x:row>
    <x:row r="100" ht="96" customHeight="1">
      <x:c r="A100" s="115" t="str">
        <x:v>EXT-MONDE-T002-V45</x:v>
      </x:c>
      <x:c r="B100" s="115" t="str">
        <x:v>EXT-MONDE-T002</x:v>
      </x:c>
      <x:c r="C100" s="115" t="str">
        <x:v>Lacs</x:v>
      </x:c>
      <x:c r="D100" s="115" t="str">
        <x:v>Village de pêche lacustre</x:v>
      </x:c>
      <x:c r="E100" s="115" t="n">
        <x:v>45</x:v>
      </x:c>
      <x:c r="F100" s="115" t="str">
        <x:v>Inspection physique</x:v>
      </x:c>
      <x:c r="G100" s="115" t="str">
        <x:v>1 niveaux ; 24 pièces ; 186 segments de mur ; 0 transitions. Inspection physique ; architecture complète encore ouverte.</x:v>
      </x:c>
      <x:c r="H100" s="115" t="str">
        <x:v>L 298 ; l 264 ; hauteur 5,2 m ; choix de composition auteur ; dimensions réelles à documenter</x:v>
      </x:c>
      <x:c r="I100" s="115" t="str">
        <x:v>À équilibrer</x:v>
      </x:c>
      <x:c r="J100" s="115" t="str">
        <x:v>Non</x:v>
      </x:c>
      <x:c r="K100" s="115" t="str">
        <x:v>Pièces décrites, murs, portes, niveaux et mobilier inspectables à l’échelle. Volumes réservés, raccord au seed, butin, rencontres et services de campagne restent à terminer.</x:v>
      </x:c>
    </x:row>
    <x:row r="101" ht="96" customHeight="1">
      <x:c r="A101" s="115" t="str">
        <x:v>EXT-MONDE-T002-V46</x:v>
      </x:c>
      <x:c r="B101" s="115" t="str">
        <x:v>EXT-MONDE-T002</x:v>
      </x:c>
      <x:c r="C101" s="115" t="str">
        <x:v>Lacs</x:v>
      </x:c>
      <x:c r="D101" s="115" t="str">
        <x:v>Village de pêche lacustre</x:v>
      </x:c>
      <x:c r="E101" s="115" t="n">
        <x:v>46</x:v>
      </x:c>
      <x:c r="F101" s="115" t="str">
        <x:v>Inspection physique</x:v>
      </x:c>
      <x:c r="G101" s="115" t="str">
        <x:v>1 niveaux ; 24 pièces ; 186 segments de mur ; 0 transitions. Inspection physique ; architecture complète encore ouverte.</x:v>
      </x:c>
      <x:c r="H101" s="115" t="str">
        <x:v>L 298 ; l 264 ; hauteur 5,2 m ; choix de composition auteur ; dimensions réelles à documenter</x:v>
      </x:c>
      <x:c r="I101" s="115" t="str">
        <x:v>À équilibrer</x:v>
      </x:c>
      <x:c r="J101" s="115" t="str">
        <x:v>Non</x:v>
      </x:c>
      <x:c r="K101" s="115" t="str">
        <x:v>Pièces décrites, murs, portes, niveaux et mobilier inspectables à l’échelle. Volumes réservés, raccord au seed, butin, rencontres et services de campagne restent à terminer.</x:v>
      </x:c>
    </x:row>
    <x:row r="102" ht="96" customHeight="1">
      <x:c r="A102" s="115" t="str">
        <x:v>EXT-MONDE-T002-V47</x:v>
      </x:c>
      <x:c r="B102" s="115" t="str">
        <x:v>EXT-MONDE-T002</x:v>
      </x:c>
      <x:c r="C102" s="115" t="str">
        <x:v>Lacs</x:v>
      </x:c>
      <x:c r="D102" s="115" t="str">
        <x:v>Village de pêche lacustre</x:v>
      </x:c>
      <x:c r="E102" s="115" t="n">
        <x:v>47</x:v>
      </x:c>
      <x:c r="F102" s="115" t="str">
        <x:v>Inspection physique</x:v>
      </x:c>
      <x:c r="G102" s="115" t="str">
        <x:v>1 niveaux ; 24 pièces ; 186 segments de mur ; 0 transitions. Inspection physique ; architecture complète encore ouverte.</x:v>
      </x:c>
      <x:c r="H102" s="115" t="str">
        <x:v>L 298 ; l 264 ; hauteur 5,2 m ; choix de composition auteur ; dimensions réelles à documenter</x:v>
      </x:c>
      <x:c r="I102" s="115" t="str">
        <x:v>À équilibrer</x:v>
      </x:c>
      <x:c r="J102" s="115" t="str">
        <x:v>Non</x:v>
      </x:c>
      <x:c r="K102" s="115" t="str">
        <x:v>Pièces décrites, murs, portes, niveaux et mobilier inspectables à l’échelle. Volumes réservés, raccord au seed, butin, rencontres et services de campagne restent à terminer.</x:v>
      </x:c>
    </x:row>
    <x:row r="103" ht="96" customHeight="1">
      <x:c r="A103" s="115" t="str">
        <x:v>EXT-MONDE-T002-V48</x:v>
      </x:c>
      <x:c r="B103" s="115" t="str">
        <x:v>EXT-MONDE-T002</x:v>
      </x:c>
      <x:c r="C103" s="115" t="str">
        <x:v>Lacs</x:v>
      </x:c>
      <x:c r="D103" s="115" t="str">
        <x:v>Village de pêche lacustre</x:v>
      </x:c>
      <x:c r="E103" s="115" t="n">
        <x:v>48</x:v>
      </x:c>
      <x:c r="F103" s="115" t="str">
        <x:v>Inspection physique</x:v>
      </x:c>
      <x:c r="G103" s="115" t="str">
        <x:v>1 niveaux ; 24 pièces ; 186 segments de mur ; 0 transitions. Inspection physique ; architecture complète encore ouverte.</x:v>
      </x:c>
      <x:c r="H103" s="115" t="str">
        <x:v>L 298 ; l 264 ; hauteur 5,2 m ; choix de composition auteur ; dimensions réelles à documenter</x:v>
      </x:c>
      <x:c r="I103" s="115" t="str">
        <x:v>À équilibrer</x:v>
      </x:c>
      <x:c r="J103" s="115" t="str">
        <x:v>Non</x:v>
      </x:c>
      <x:c r="K103" s="115" t="str">
        <x:v>Pièces décrites, murs, portes, niveaux et mobilier inspectables à l’échelle. Volumes réservés, raccord au seed, butin, rencontres et services de campagne restent à terminer.</x:v>
      </x:c>
    </x:row>
    <x:row r="104" ht="96" customHeight="1">
      <x:c r="A104" s="115" t="str">
        <x:v>EXT-MONDE-T002-V49</x:v>
      </x:c>
      <x:c r="B104" s="115" t="str">
        <x:v>EXT-MONDE-T002</x:v>
      </x:c>
      <x:c r="C104" s="115" t="str">
        <x:v>Lacs</x:v>
      </x:c>
      <x:c r="D104" s="115" t="str">
        <x:v>Village de pêche lacustre</x:v>
      </x:c>
      <x:c r="E104" s="115" t="n">
        <x:v>49</x:v>
      </x:c>
      <x:c r="F104" s="115" t="str">
        <x:v>Inspection physique</x:v>
      </x:c>
      <x:c r="G104" s="115" t="str">
        <x:v>1 niveaux ; 24 pièces ; 186 segments de mur ; 0 transitions. Inspection physique ; architecture complète encore ouverte.</x:v>
      </x:c>
      <x:c r="H104" s="115" t="str">
        <x:v>L 298 ; l 264 ; hauteur 5,2 m ; choix de composition auteur ; dimensions réelles à documenter</x:v>
      </x:c>
      <x:c r="I104" s="115" t="str">
        <x:v>À équilibrer</x:v>
      </x:c>
      <x:c r="J104" s="115" t="str">
        <x:v>Non</x:v>
      </x:c>
      <x:c r="K104" s="115" t="str">
        <x:v>Pièces décrites, murs, portes, niveaux et mobilier inspectables à l’échelle. Volumes réservés, raccord au seed, butin, rencontres et services de campagne restent à terminer.</x:v>
      </x:c>
    </x:row>
    <x:row r="105" ht="96" customHeight="1">
      <x:c r="A105" s="115" t="str">
        <x:v>EXT-MONDE-T002-V50</x:v>
      </x:c>
      <x:c r="B105" s="115" t="str">
        <x:v>EXT-MONDE-T002</x:v>
      </x:c>
      <x:c r="C105" s="115" t="str">
        <x:v>Lacs</x:v>
      </x:c>
      <x:c r="D105" s="115" t="str">
        <x:v>Village de pêche lacustre</x:v>
      </x:c>
      <x:c r="E105" s="115" t="n">
        <x:v>50</x:v>
      </x:c>
      <x:c r="F105" s="115" t="str">
        <x:v>Inspection physique</x:v>
      </x:c>
      <x:c r="G105" s="115" t="str">
        <x:v>1 niveaux ; 24 pièces ; 186 segments de mur ; 0 transitions. Inspection physique ; architecture complète encore ouverte.</x:v>
      </x:c>
      <x:c r="H105" s="115" t="str">
        <x:v>L 298 ; l 264 ; hauteur 5,2 m ; choix de composition auteur ; dimensions réelles à documenter</x:v>
      </x:c>
      <x:c r="I105" s="115" t="str">
        <x:v>À équilibrer</x:v>
      </x:c>
      <x:c r="J105" s="115" t="str">
        <x:v>Non</x:v>
      </x:c>
      <x:c r="K105" s="115" t="str">
        <x:v>Pièces décrites, murs, portes, niveaux et mobilier inspectables à l’échelle. Volumes réservés, raccord au seed, butin, rencontres et services de campagne restent à terminer.</x:v>
      </x:c>
    </x:row>
    <x:row r="106" ht="96" customHeight="1">
      <x:c r="A106" s="115" t="str">
        <x:v>EXT-MONDE-T003-V01</x:v>
      </x:c>
      <x:c r="B106" s="115" t="str">
        <x:v>EXT-MONDE-T003</x:v>
      </x:c>
      <x:c r="C106" s="115" t="str">
        <x:v>Lacs</x:v>
      </x:c>
      <x:c r="D106" s="115" t="str">
        <x:v>Station limnologique</x:v>
      </x:c>
      <x:c r="E106" s="115" t="n">
        <x:v>1</x:v>
      </x:c>
      <x:c r="F106" s="115" t="str">
        <x:v>Inspection physique</x:v>
      </x:c>
      <x:c r="G106" s="115" t="str">
        <x:v>1 niveaux ; 24 pièces ; 186 segments de mur ; 0 transitions. Inspection physique ; architecture complète encore ouverte.</x:v>
      </x:c>
      <x:c r="H106" s="115" t="str">
        <x:v>L 242 ; l 200 ; hauteur 4,2 m ; choix de composition auteur ; dimensions réelles à documenter</x:v>
      </x:c>
      <x:c r="I106" s="115" t="str">
        <x:v>À équilibrer</x:v>
      </x:c>
      <x:c r="J106" s="115" t="str">
        <x:v>Non</x:v>
      </x:c>
      <x:c r="K106" s="115" t="str">
        <x:v>Pièces décrites, murs, portes, niveaux et mobilier inspectables à l’échelle. Volumes réservés, raccord au seed, butin, rencontres et services de campagne restent à terminer.</x:v>
      </x:c>
    </x:row>
    <x:row r="107" ht="96" customHeight="1">
      <x:c r="A107" s="115" t="str">
        <x:v>EXT-MONDE-T003-V02</x:v>
      </x:c>
      <x:c r="B107" s="115" t="str">
        <x:v>EXT-MONDE-T003</x:v>
      </x:c>
      <x:c r="C107" s="115" t="str">
        <x:v>Lacs</x:v>
      </x:c>
      <x:c r="D107" s="115" t="str">
        <x:v>Station limnologique</x:v>
      </x:c>
      <x:c r="E107" s="115" t="n">
        <x:v>2</x:v>
      </x:c>
      <x:c r="F107" s="115" t="str">
        <x:v>Inspection physique</x:v>
      </x:c>
      <x:c r="G107" s="115" t="str">
        <x:v>1 niveaux ; 24 pièces ; 186 segments de mur ; 0 transitions. Inspection physique ; architecture complète encore ouverte.</x:v>
      </x:c>
      <x:c r="H107" s="115" t="str">
        <x:v>L 242 ; l 200 ; hauteur 4,2 m ; choix de composition auteur ; dimensions réelles à documenter</x:v>
      </x:c>
      <x:c r="I107" s="115" t="str">
        <x:v>À équilibrer</x:v>
      </x:c>
      <x:c r="J107" s="115" t="str">
        <x:v>Non</x:v>
      </x:c>
      <x:c r="K107" s="115" t="str">
        <x:v>Pièces décrites, murs, portes, niveaux et mobilier inspectables à l’échelle. Volumes réservés, raccord au seed, butin, rencontres et services de campagne restent à terminer.</x:v>
      </x:c>
    </x:row>
    <x:row r="108" ht="96" customHeight="1">
      <x:c r="A108" s="115" t="str">
        <x:v>EXT-MONDE-T003-V03</x:v>
      </x:c>
      <x:c r="B108" s="115" t="str">
        <x:v>EXT-MONDE-T003</x:v>
      </x:c>
      <x:c r="C108" s="115" t="str">
        <x:v>Lacs</x:v>
      </x:c>
      <x:c r="D108" s="115" t="str">
        <x:v>Station limnologique</x:v>
      </x:c>
      <x:c r="E108" s="115" t="n">
        <x:v>3</x:v>
      </x:c>
      <x:c r="F108" s="115" t="str">
        <x:v>Inspection physique</x:v>
      </x:c>
      <x:c r="G108" s="115" t="str">
        <x:v>1 niveaux ; 24 pièces ; 186 segments de mur ; 0 transitions. Inspection physique ; architecture complète encore ouverte.</x:v>
      </x:c>
      <x:c r="H108" s="115" t="str">
        <x:v>L 242 ; l 200 ; hauteur 4,2 m ; choix de composition auteur ; dimensions réelles à documenter</x:v>
      </x:c>
      <x:c r="I108" s="115" t="str">
        <x:v>À équilibrer</x:v>
      </x:c>
      <x:c r="J108" s="115" t="str">
        <x:v>Non</x:v>
      </x:c>
      <x:c r="K108" s="115" t="str">
        <x:v>Pièces décrites, murs, portes, niveaux et mobilier inspectables à l’échelle. Volumes réservés, raccord au seed, butin, rencontres et services de campagne restent à terminer.</x:v>
      </x:c>
    </x:row>
    <x:row r="109" ht="96" customHeight="1">
      <x:c r="A109" s="115" t="str">
        <x:v>EXT-MONDE-T003-V04</x:v>
      </x:c>
      <x:c r="B109" s="115" t="str">
        <x:v>EXT-MONDE-T003</x:v>
      </x:c>
      <x:c r="C109" s="115" t="str">
        <x:v>Lacs</x:v>
      </x:c>
      <x:c r="D109" s="115" t="str">
        <x:v>Station limnologique</x:v>
      </x:c>
      <x:c r="E109" s="115" t="n">
        <x:v>4</x:v>
      </x:c>
      <x:c r="F109" s="115" t="str">
        <x:v>Inspection physique</x:v>
      </x:c>
      <x:c r="G109" s="115" t="str">
        <x:v>1 niveaux ; 24 pièces ; 186 segments de mur ; 0 transitions. Inspection physique ; architecture complète encore ouverte.</x:v>
      </x:c>
      <x:c r="H109" s="115" t="str">
        <x:v>L 242 ; l 200 ; hauteur 4,2 m ; choix de composition auteur ; dimensions réelles à documenter</x:v>
      </x:c>
      <x:c r="I109" s="115" t="str">
        <x:v>À équilibrer</x:v>
      </x:c>
      <x:c r="J109" s="115" t="str">
        <x:v>Non</x:v>
      </x:c>
      <x:c r="K109" s="115" t="str">
        <x:v>Pièces décrites, murs, portes, niveaux et mobilier inspectables à l’échelle. Volumes réservés, raccord au seed, butin, rencontres et services de campagne restent à terminer.</x:v>
      </x:c>
    </x:row>
    <x:row r="110" ht="96" customHeight="1">
      <x:c r="A110" s="115" t="str">
        <x:v>EXT-MONDE-T003-V05</x:v>
      </x:c>
      <x:c r="B110" s="115" t="str">
        <x:v>EXT-MONDE-T003</x:v>
      </x:c>
      <x:c r="C110" s="115" t="str">
        <x:v>Lacs</x:v>
      </x:c>
      <x:c r="D110" s="115" t="str">
        <x:v>Station limnologique</x:v>
      </x:c>
      <x:c r="E110" s="115" t="n">
        <x:v>5</x:v>
      </x:c>
      <x:c r="F110" s="115" t="str">
        <x:v>Inspection physique</x:v>
      </x:c>
      <x:c r="G110" s="115" t="str">
        <x:v>1 niveaux ; 24 pièces ; 186 segments de mur ; 0 transitions. Inspection physique ; architecture complète encore ouverte.</x:v>
      </x:c>
      <x:c r="H110" s="115" t="str">
        <x:v>L 242 ; l 200 ; hauteur 4,2 m ; choix de composition auteur ; dimensions réelles à documenter</x:v>
      </x:c>
      <x:c r="I110" s="115" t="str">
        <x:v>À équilibrer</x:v>
      </x:c>
      <x:c r="J110" s="115" t="str">
        <x:v>Non</x:v>
      </x:c>
      <x:c r="K110" s="115" t="str">
        <x:v>Pièces décrites, murs, portes, niveaux et mobilier inspectables à l’échelle. Volumes réservés, raccord au seed, butin, rencontres et services de campagne restent à terminer.</x:v>
      </x:c>
    </x:row>
    <x:row r="111" ht="96" customHeight="1">
      <x:c r="A111" s="115" t="str">
        <x:v>EXT-MONDE-T003-V06</x:v>
      </x:c>
      <x:c r="B111" s="115" t="str">
        <x:v>EXT-MONDE-T003</x:v>
      </x:c>
      <x:c r="C111" s="115" t="str">
        <x:v>Lacs</x:v>
      </x:c>
      <x:c r="D111" s="115" t="str">
        <x:v>Station limnologique</x:v>
      </x:c>
      <x:c r="E111" s="115" t="n">
        <x:v>6</x:v>
      </x:c>
      <x:c r="F111" s="115" t="str">
        <x:v>Inspection physique</x:v>
      </x:c>
      <x:c r="G111" s="115" t="str">
        <x:v>1 niveaux ; 24 pièces ; 186 segments de mur ; 0 transitions. Inspection physique ; architecture complète encore ouverte.</x:v>
      </x:c>
      <x:c r="H111" s="115" t="str">
        <x:v>L 242 ; l 200 ; hauteur 4,2 m ; choix de composition auteur ; dimensions réelles à documenter</x:v>
      </x:c>
      <x:c r="I111" s="115" t="str">
        <x:v>À équilibrer</x:v>
      </x:c>
      <x:c r="J111" s="115" t="str">
        <x:v>Non</x:v>
      </x:c>
      <x:c r="K111" s="115" t="str">
        <x:v>Pièces décrites, murs, portes, niveaux et mobilier inspectables à l’échelle. Volumes réservés, raccord au seed, butin, rencontres et services de campagne restent à terminer.</x:v>
      </x:c>
    </x:row>
    <x:row r="112" ht="96" customHeight="1">
      <x:c r="A112" s="115" t="str">
        <x:v>EXT-MONDE-T003-V07</x:v>
      </x:c>
      <x:c r="B112" s="115" t="str">
        <x:v>EXT-MONDE-T003</x:v>
      </x:c>
      <x:c r="C112" s="115" t="str">
        <x:v>Lacs</x:v>
      </x:c>
      <x:c r="D112" s="115" t="str">
        <x:v>Station limnologique</x:v>
      </x:c>
      <x:c r="E112" s="115" t="n">
        <x:v>7</x:v>
      </x:c>
      <x:c r="F112" s="115" t="str">
        <x:v>Inspection physique</x:v>
      </x:c>
      <x:c r="G112" s="115" t="str">
        <x:v>1 niveaux ; 24 pièces ; 186 segments de mur ; 0 transitions. Inspection physique ; architecture complète encore ouverte.</x:v>
      </x:c>
      <x:c r="H112" s="115" t="str">
        <x:v>L 242 ; l 200 ; hauteur 4,2 m ; choix de composition auteur ; dimensions réelles à documenter</x:v>
      </x:c>
      <x:c r="I112" s="115" t="str">
        <x:v>À équilibrer</x:v>
      </x:c>
      <x:c r="J112" s="115" t="str">
        <x:v>Non</x:v>
      </x:c>
      <x:c r="K112" s="115" t="str">
        <x:v>Pièces décrites, murs, portes, niveaux et mobilier inspectables à l’échelle. Volumes réservés, raccord au seed, butin, rencontres et services de campagne restent à terminer.</x:v>
      </x:c>
    </x:row>
    <x:row r="113" ht="96" customHeight="1">
      <x:c r="A113" s="115" t="str">
        <x:v>EXT-MONDE-T003-V08</x:v>
      </x:c>
      <x:c r="B113" s="115" t="str">
        <x:v>EXT-MONDE-T003</x:v>
      </x:c>
      <x:c r="C113" s="115" t="str">
        <x:v>Lacs</x:v>
      </x:c>
      <x:c r="D113" s="115" t="str">
        <x:v>Station limnologique</x:v>
      </x:c>
      <x:c r="E113" s="115" t="n">
        <x:v>8</x:v>
      </x:c>
      <x:c r="F113" s="115" t="str">
        <x:v>Inspection physique</x:v>
      </x:c>
      <x:c r="G113" s="115" t="str">
        <x:v>1 niveaux ; 24 pièces ; 186 segments de mur ; 0 transitions. Inspection physique ; architecture complète encore ouverte.</x:v>
      </x:c>
      <x:c r="H113" s="115" t="str">
        <x:v>L 242 ; l 200 ; hauteur 4,2 m ; choix de composition auteur ; dimensions réelles à documenter</x:v>
      </x:c>
      <x:c r="I113" s="115" t="str">
        <x:v>À équilibrer</x:v>
      </x:c>
      <x:c r="J113" s="115" t="str">
        <x:v>Non</x:v>
      </x:c>
      <x:c r="K113" s="115" t="str">
        <x:v>Pièces décrites, murs, portes, niveaux et mobilier inspectables à l’échelle. Volumes réservés, raccord au seed, butin, rencontres et services de campagne restent à terminer.</x:v>
      </x:c>
    </x:row>
    <x:row r="114" ht="96" customHeight="1">
      <x:c r="A114" s="115" t="str">
        <x:v>EXT-MONDE-T003-V09</x:v>
      </x:c>
      <x:c r="B114" s="115" t="str">
        <x:v>EXT-MONDE-T003</x:v>
      </x:c>
      <x:c r="C114" s="115" t="str">
        <x:v>Lacs</x:v>
      </x:c>
      <x:c r="D114" s="115" t="str">
        <x:v>Station limnologique</x:v>
      </x:c>
      <x:c r="E114" s="115" t="n">
        <x:v>9</x:v>
      </x:c>
      <x:c r="F114" s="115" t="str">
        <x:v>Inspection physique</x:v>
      </x:c>
      <x:c r="G114" s="115" t="str">
        <x:v>1 niveaux ; 24 pièces ; 186 segments de mur ; 0 transitions. Inspection physique ; architecture complète encore ouverte.</x:v>
      </x:c>
      <x:c r="H114" s="115" t="str">
        <x:v>L 242 ; l 200 ; hauteur 4,2 m ; choix de composition auteur ; dimensions réelles à documenter</x:v>
      </x:c>
      <x:c r="I114" s="115" t="str">
        <x:v>À équilibrer</x:v>
      </x:c>
      <x:c r="J114" s="115" t="str">
        <x:v>Non</x:v>
      </x:c>
      <x:c r="K114" s="115" t="str">
        <x:v>Pièces décrites, murs, portes, niveaux et mobilier inspectables à l’échelle. Volumes réservés, raccord au seed, butin, rencontres et services de campagne restent à terminer.</x:v>
      </x:c>
    </x:row>
    <x:row r="115" ht="96" customHeight="1">
      <x:c r="A115" s="115" t="str">
        <x:v>EXT-MONDE-T003-V10</x:v>
      </x:c>
      <x:c r="B115" s="115" t="str">
        <x:v>EXT-MONDE-T003</x:v>
      </x:c>
      <x:c r="C115" s="115" t="str">
        <x:v>Lacs</x:v>
      </x:c>
      <x:c r="D115" s="115" t="str">
        <x:v>Station limnologique</x:v>
      </x:c>
      <x:c r="E115" s="115" t="n">
        <x:v>10</x:v>
      </x:c>
      <x:c r="F115" s="115" t="str">
        <x:v>Inspection physique</x:v>
      </x:c>
      <x:c r="G115" s="115" t="str">
        <x:v>1 niveaux ; 24 pièces ; 186 segments de mur ; 0 transitions. Inspection physique ; architecture complète encore ouverte.</x:v>
      </x:c>
      <x:c r="H115" s="115" t="str">
        <x:v>L 242 ; l 200 ; hauteur 4,2 m ; choix de composition auteur ; dimensions réelles à documenter</x:v>
      </x:c>
      <x:c r="I115" s="115" t="str">
        <x:v>À équilibrer</x:v>
      </x:c>
      <x:c r="J115" s="115" t="str">
        <x:v>Non</x:v>
      </x:c>
      <x:c r="K115" s="115" t="str">
        <x:v>Pièces décrites, murs, portes, niveaux et mobilier inspectables à l’échelle. Volumes réservés, raccord au seed, butin, rencontres et services de campagne restent à terminer.</x:v>
      </x:c>
    </x:row>
    <x:row r="116" ht="96" customHeight="1">
      <x:c r="A116" s="115" t="str">
        <x:v>EXT-MONDE-T003-V11</x:v>
      </x:c>
      <x:c r="B116" s="115" t="str">
        <x:v>EXT-MONDE-T003</x:v>
      </x:c>
      <x:c r="C116" s="115" t="str">
        <x:v>Lacs</x:v>
      </x:c>
      <x:c r="D116" s="115" t="str">
        <x:v>Station limnologique</x:v>
      </x:c>
      <x:c r="E116" s="115" t="n">
        <x:v>11</x:v>
      </x:c>
      <x:c r="F116" s="115" t="str">
        <x:v>Inspection physique</x:v>
      </x:c>
      <x:c r="G116" s="115" t="str">
        <x:v>1 niveaux ; 24 pièces ; 186 segments de mur ; 0 transitions. Inspection physique ; architecture complète encore ouverte.</x:v>
      </x:c>
      <x:c r="H116" s="115" t="str">
        <x:v>L 256 ; l 216 ; hauteur 4,35 m ; choix de composition auteur ; dimensions réelles à documenter</x:v>
      </x:c>
      <x:c r="I116" s="115" t="str">
        <x:v>À équilibrer</x:v>
      </x:c>
      <x:c r="J116" s="115" t="str">
        <x:v>Non</x:v>
      </x:c>
      <x:c r="K116" s="115" t="str">
        <x:v>Pièces décrites, murs, portes, niveaux et mobilier inspectables à l’échelle. Volumes réservés, raccord au seed, butin, rencontres et services de campagne restent à terminer.</x:v>
      </x:c>
    </x:row>
    <x:row r="117" ht="96" customHeight="1">
      <x:c r="A117" s="115" t="str">
        <x:v>EXT-MONDE-T003-V12</x:v>
      </x:c>
      <x:c r="B117" s="115" t="str">
        <x:v>EXT-MONDE-T003</x:v>
      </x:c>
      <x:c r="C117" s="115" t="str">
        <x:v>Lacs</x:v>
      </x:c>
      <x:c r="D117" s="115" t="str">
        <x:v>Station limnologique</x:v>
      </x:c>
      <x:c r="E117" s="115" t="n">
        <x:v>12</x:v>
      </x:c>
      <x:c r="F117" s="115" t="str">
        <x:v>Inspection physique</x:v>
      </x:c>
      <x:c r="G117" s="115" t="str">
        <x:v>1 niveaux ; 24 pièces ; 186 segments de mur ; 0 transitions. Inspection physique ; architecture complète encore ouverte.</x:v>
      </x:c>
      <x:c r="H117" s="115" t="str">
        <x:v>L 256 ; l 216 ; hauteur 4,35 m ; choix de composition auteur ; dimensions réelles à documenter</x:v>
      </x:c>
      <x:c r="I117" s="115" t="str">
        <x:v>À équilibrer</x:v>
      </x:c>
      <x:c r="J117" s="115" t="str">
        <x:v>Non</x:v>
      </x:c>
      <x:c r="K117" s="115" t="str">
        <x:v>Pièces décrites, murs, portes, niveaux et mobilier inspectables à l’échelle. Volumes réservés, raccord au seed, butin, rencontres et services de campagne restent à terminer.</x:v>
      </x:c>
    </x:row>
    <x:row r="118" ht="96" customHeight="1">
      <x:c r="A118" s="115" t="str">
        <x:v>EXT-MONDE-T003-V13</x:v>
      </x:c>
      <x:c r="B118" s="115" t="str">
        <x:v>EXT-MONDE-T003</x:v>
      </x:c>
      <x:c r="C118" s="115" t="str">
        <x:v>Lacs</x:v>
      </x:c>
      <x:c r="D118" s="115" t="str">
        <x:v>Station limnologique</x:v>
      </x:c>
      <x:c r="E118" s="115" t="n">
        <x:v>13</x:v>
      </x:c>
      <x:c r="F118" s="115" t="str">
        <x:v>Inspection physique</x:v>
      </x:c>
      <x:c r="G118" s="115" t="str">
        <x:v>1 niveaux ; 24 pièces ; 186 segments de mur ; 0 transitions. Inspection physique ; architecture complète encore ouverte.</x:v>
      </x:c>
      <x:c r="H118" s="115" t="str">
        <x:v>L 256 ; l 216 ; hauteur 4,35 m ; choix de composition auteur ; dimensions réelles à documenter</x:v>
      </x:c>
      <x:c r="I118" s="115" t="str">
        <x:v>À équilibrer</x:v>
      </x:c>
      <x:c r="J118" s="115" t="str">
        <x:v>Non</x:v>
      </x:c>
      <x:c r="K118" s="115" t="str">
        <x:v>Pièces décrites, murs, portes, niveaux et mobilier inspectables à l’échelle. Volumes réservés, raccord au seed, butin, rencontres et services de campagne restent à terminer.</x:v>
      </x:c>
    </x:row>
    <x:row r="119" ht="96" customHeight="1">
      <x:c r="A119" s="115" t="str">
        <x:v>EXT-MONDE-T003-V14</x:v>
      </x:c>
      <x:c r="B119" s="115" t="str">
        <x:v>EXT-MONDE-T003</x:v>
      </x:c>
      <x:c r="C119" s="115" t="str">
        <x:v>Lacs</x:v>
      </x:c>
      <x:c r="D119" s="115" t="str">
        <x:v>Station limnologique</x:v>
      </x:c>
      <x:c r="E119" s="115" t="n">
        <x:v>14</x:v>
      </x:c>
      <x:c r="F119" s="115" t="str">
        <x:v>Inspection physique</x:v>
      </x:c>
      <x:c r="G119" s="115" t="str">
        <x:v>1 niveaux ; 24 pièces ; 186 segments de mur ; 0 transitions. Inspection physique ; architecture complète encore ouverte.</x:v>
      </x:c>
      <x:c r="H119" s="115" t="str">
        <x:v>L 256 ; l 216 ; hauteur 4,35 m ; choix de composition auteur ; dimensions réelles à documenter</x:v>
      </x:c>
      <x:c r="I119" s="115" t="str">
        <x:v>À équilibrer</x:v>
      </x:c>
      <x:c r="J119" s="115" t="str">
        <x:v>Non</x:v>
      </x:c>
      <x:c r="K119" s="115" t="str">
        <x:v>Pièces décrites, murs, portes, niveaux et mobilier inspectables à l’échelle. Volumes réservés, raccord au seed, butin, rencontres et services de campagne restent à terminer.</x:v>
      </x:c>
    </x:row>
    <x:row r="120" ht="96" customHeight="1">
      <x:c r="A120" s="115" t="str">
        <x:v>EXT-MONDE-T003-V15</x:v>
      </x:c>
      <x:c r="B120" s="115" t="str">
        <x:v>EXT-MONDE-T003</x:v>
      </x:c>
      <x:c r="C120" s="115" t="str">
        <x:v>Lacs</x:v>
      </x:c>
      <x:c r="D120" s="115" t="str">
        <x:v>Station limnologique</x:v>
      </x:c>
      <x:c r="E120" s="115" t="n">
        <x:v>15</x:v>
      </x:c>
      <x:c r="F120" s="115" t="str">
        <x:v>Inspection physique</x:v>
      </x:c>
      <x:c r="G120" s="115" t="str">
        <x:v>1 niveaux ; 24 pièces ; 186 segments de mur ; 0 transitions. Inspection physique ; architecture complète encore ouverte.</x:v>
      </x:c>
      <x:c r="H120" s="115" t="str">
        <x:v>L 256 ; l 216 ; hauteur 4,35 m ; choix de composition auteur ; dimensions réelles à documenter</x:v>
      </x:c>
      <x:c r="I120" s="115" t="str">
        <x:v>À équilibrer</x:v>
      </x:c>
      <x:c r="J120" s="115" t="str">
        <x:v>Non</x:v>
      </x:c>
      <x:c r="K120" s="115" t="str">
        <x:v>Pièces décrites, murs, portes, niveaux et mobilier inspectables à l’échelle. Volumes réservés, raccord au seed, butin, rencontres et services de campagne restent à terminer.</x:v>
      </x:c>
    </x:row>
    <x:row r="121" ht="96" customHeight="1">
      <x:c r="A121" s="115" t="str">
        <x:v>EXT-MONDE-T003-V16</x:v>
      </x:c>
      <x:c r="B121" s="115" t="str">
        <x:v>EXT-MONDE-T003</x:v>
      </x:c>
      <x:c r="C121" s="115" t="str">
        <x:v>Lacs</x:v>
      </x:c>
      <x:c r="D121" s="115" t="str">
        <x:v>Station limnologique</x:v>
      </x:c>
      <x:c r="E121" s="115" t="n">
        <x:v>16</x:v>
      </x:c>
      <x:c r="F121" s="115" t="str">
        <x:v>Inspection physique</x:v>
      </x:c>
      <x:c r="G121" s="115" t="str">
        <x:v>1 niveaux ; 24 pièces ; 186 segments de mur ; 0 transitions. Inspection physique ; architecture complète encore ouverte.</x:v>
      </x:c>
      <x:c r="H121" s="115" t="str">
        <x:v>L 256 ; l 216 ; hauteur 4,35 m ; choix de composition auteur ; dimensions réelles à documenter</x:v>
      </x:c>
      <x:c r="I121" s="115" t="str">
        <x:v>À équilibrer</x:v>
      </x:c>
      <x:c r="J121" s="115" t="str">
        <x:v>Non</x:v>
      </x:c>
      <x:c r="K121" s="115" t="str">
        <x:v>Pièces décrites, murs, portes, niveaux et mobilier inspectables à l’échelle. Volumes réservés, raccord au seed, butin, rencontres et services de campagne restent à terminer.</x:v>
      </x:c>
    </x:row>
    <x:row r="122" ht="96" customHeight="1">
      <x:c r="A122" s="115" t="str">
        <x:v>EXT-MONDE-T003-V17</x:v>
      </x:c>
      <x:c r="B122" s="115" t="str">
        <x:v>EXT-MONDE-T003</x:v>
      </x:c>
      <x:c r="C122" s="115" t="str">
        <x:v>Lacs</x:v>
      </x:c>
      <x:c r="D122" s="115" t="str">
        <x:v>Station limnologique</x:v>
      </x:c>
      <x:c r="E122" s="115" t="n">
        <x:v>17</x:v>
      </x:c>
      <x:c r="F122" s="115" t="str">
        <x:v>Inspection physique</x:v>
      </x:c>
      <x:c r="G122" s="115" t="str">
        <x:v>1 niveaux ; 24 pièces ; 186 segments de mur ; 0 transitions. Inspection physique ; architecture complète encore ouverte.</x:v>
      </x:c>
      <x:c r="H122" s="115" t="str">
        <x:v>L 256 ; l 216 ; hauteur 4,35 m ; choix de composition auteur ; dimensions réelles à documenter</x:v>
      </x:c>
      <x:c r="I122" s="115" t="str">
        <x:v>À équilibrer</x:v>
      </x:c>
      <x:c r="J122" s="115" t="str">
        <x:v>Non</x:v>
      </x:c>
      <x:c r="K122" s="115" t="str">
        <x:v>Pièces décrites, murs, portes, niveaux et mobilier inspectables à l’échelle. Volumes réservés, raccord au seed, butin, rencontres et services de campagne restent à terminer.</x:v>
      </x:c>
    </x:row>
    <x:row r="123" ht="96" customHeight="1">
      <x:c r="A123" s="115" t="str">
        <x:v>EXT-MONDE-T003-V18</x:v>
      </x:c>
      <x:c r="B123" s="115" t="str">
        <x:v>EXT-MONDE-T003</x:v>
      </x:c>
      <x:c r="C123" s="115" t="str">
        <x:v>Lacs</x:v>
      </x:c>
      <x:c r="D123" s="115" t="str">
        <x:v>Station limnologique</x:v>
      </x:c>
      <x:c r="E123" s="115" t="n">
        <x:v>18</x:v>
      </x:c>
      <x:c r="F123" s="115" t="str">
        <x:v>Inspection physique</x:v>
      </x:c>
      <x:c r="G123" s="115" t="str">
        <x:v>1 niveaux ; 24 pièces ; 186 segments de mur ; 0 transitions. Inspection physique ; architecture complète encore ouverte.</x:v>
      </x:c>
      <x:c r="H123" s="115" t="str">
        <x:v>L 256 ; l 216 ; hauteur 4,35 m ; choix de composition auteur ; dimensions réelles à documenter</x:v>
      </x:c>
      <x:c r="I123" s="115" t="str">
        <x:v>À équilibrer</x:v>
      </x:c>
      <x:c r="J123" s="115" t="str">
        <x:v>Non</x:v>
      </x:c>
      <x:c r="K123" s="115" t="str">
        <x:v>Pièces décrites, murs, portes, niveaux et mobilier inspectables à l’échelle. Volumes réservés, raccord au seed, butin, rencontres et services de campagne restent à terminer.</x:v>
      </x:c>
    </x:row>
    <x:row r="124" ht="96" customHeight="1">
      <x:c r="A124" s="115" t="str">
        <x:v>EXT-MONDE-T003-V19</x:v>
      </x:c>
      <x:c r="B124" s="115" t="str">
        <x:v>EXT-MONDE-T003</x:v>
      </x:c>
      <x:c r="C124" s="115" t="str">
        <x:v>Lacs</x:v>
      </x:c>
      <x:c r="D124" s="115" t="str">
        <x:v>Station limnologique</x:v>
      </x:c>
      <x:c r="E124" s="115" t="n">
        <x:v>19</x:v>
      </x:c>
      <x:c r="F124" s="115" t="str">
        <x:v>Inspection physique</x:v>
      </x:c>
      <x:c r="G124" s="115" t="str">
        <x:v>1 niveaux ; 24 pièces ; 186 segments de mur ; 0 transitions. Inspection physique ; architecture complète encore ouverte.</x:v>
      </x:c>
      <x:c r="H124" s="115" t="str">
        <x:v>L 256 ; l 216 ; hauteur 4,35 m ; choix de composition auteur ; dimensions réelles à documenter</x:v>
      </x:c>
      <x:c r="I124" s="115" t="str">
        <x:v>À équilibrer</x:v>
      </x:c>
      <x:c r="J124" s="115" t="str">
        <x:v>Non</x:v>
      </x:c>
      <x:c r="K124" s="115" t="str">
        <x:v>Pièces décrites, murs, portes, niveaux et mobilier inspectables à l’échelle. Volumes réservés, raccord au seed, butin, rencontres et services de campagne restent à terminer.</x:v>
      </x:c>
    </x:row>
    <x:row r="125" ht="96" customHeight="1">
      <x:c r="A125" s="115" t="str">
        <x:v>EXT-MONDE-T003-V20</x:v>
      </x:c>
      <x:c r="B125" s="115" t="str">
        <x:v>EXT-MONDE-T003</x:v>
      </x:c>
      <x:c r="C125" s="115" t="str">
        <x:v>Lacs</x:v>
      </x:c>
      <x:c r="D125" s="115" t="str">
        <x:v>Station limnologique</x:v>
      </x:c>
      <x:c r="E125" s="115" t="n">
        <x:v>20</x:v>
      </x:c>
      <x:c r="F125" s="115" t="str">
        <x:v>Inspection physique</x:v>
      </x:c>
      <x:c r="G125" s="115" t="str">
        <x:v>1 niveaux ; 24 pièces ; 186 segments de mur ; 0 transitions. Inspection physique ; architecture complète encore ouverte.</x:v>
      </x:c>
      <x:c r="H125" s="115" t="str">
        <x:v>L 256 ; l 216 ; hauteur 4,35 m ; choix de composition auteur ; dimensions réelles à documenter</x:v>
      </x:c>
      <x:c r="I125" s="115" t="str">
        <x:v>À équilibrer</x:v>
      </x:c>
      <x:c r="J125" s="115" t="str">
        <x:v>Non</x:v>
      </x:c>
      <x:c r="K125" s="115" t="str">
        <x:v>Pièces décrites, murs, portes, niveaux et mobilier inspectables à l’échelle. Volumes réservés, raccord au seed, butin, rencontres et services de campagne restent à terminer.</x:v>
      </x:c>
    </x:row>
    <x:row r="126" ht="96" customHeight="1">
      <x:c r="A126" s="115" t="str">
        <x:v>EXT-MONDE-T003-V21</x:v>
      </x:c>
      <x:c r="B126" s="115" t="str">
        <x:v>EXT-MONDE-T003</x:v>
      </x:c>
      <x:c r="C126" s="115" t="str">
        <x:v>Lacs</x:v>
      </x:c>
      <x:c r="D126" s="115" t="str">
        <x:v>Station limnologique</x:v>
      </x:c>
      <x:c r="E126" s="115" t="n">
        <x:v>21</x:v>
      </x:c>
      <x:c r="F126" s="115" t="str">
        <x:v>Inspection physique</x:v>
      </x:c>
      <x:c r="G126" s="115" t="str">
        <x:v>1 niveaux ; 24 pièces ; 186 segments de mur ; 0 transitions. Inspection physique ; architecture complète encore ouverte.</x:v>
      </x:c>
      <x:c r="H126" s="115" t="str">
        <x:v>L 270 ; l 232 ; hauteur 4,5 m ; choix de composition auteur ; dimensions réelles à documenter</x:v>
      </x:c>
      <x:c r="I126" s="115" t="str">
        <x:v>À équilibrer</x:v>
      </x:c>
      <x:c r="J126" s="115" t="str">
        <x:v>Non</x:v>
      </x:c>
      <x:c r="K126" s="115" t="str">
        <x:v>Pièces décrites, murs, portes, niveaux et mobilier inspectables à l’échelle. Volumes réservés, raccord au seed, butin, rencontres et services de campagne restent à terminer.</x:v>
      </x:c>
    </x:row>
    <x:row r="127" ht="96" customHeight="1">
      <x:c r="A127" s="115" t="str">
        <x:v>EXT-MONDE-T003-V22</x:v>
      </x:c>
      <x:c r="B127" s="115" t="str">
        <x:v>EXT-MONDE-T003</x:v>
      </x:c>
      <x:c r="C127" s="115" t="str">
        <x:v>Lacs</x:v>
      </x:c>
      <x:c r="D127" s="115" t="str">
        <x:v>Station limnologique</x:v>
      </x:c>
      <x:c r="E127" s="115" t="n">
        <x:v>22</x:v>
      </x:c>
      <x:c r="F127" s="115" t="str">
        <x:v>Inspection physique</x:v>
      </x:c>
      <x:c r="G127" s="115" t="str">
        <x:v>1 niveaux ; 24 pièces ; 186 segments de mur ; 0 transitions. Inspection physique ; architecture complète encore ouverte.</x:v>
      </x:c>
      <x:c r="H127" s="115" t="str">
        <x:v>L 270 ; l 232 ; hauteur 4,5 m ; choix de composition auteur ; dimensions réelles à documenter</x:v>
      </x:c>
      <x:c r="I127" s="115" t="str">
        <x:v>À équilibrer</x:v>
      </x:c>
      <x:c r="J127" s="115" t="str">
        <x:v>Non</x:v>
      </x:c>
      <x:c r="K127" s="115" t="str">
        <x:v>Pièces décrites, murs, portes, niveaux et mobilier inspectables à l’échelle. Volumes réservés, raccord au seed, butin, rencontres et services de campagne restent à terminer.</x:v>
      </x:c>
    </x:row>
    <x:row r="128" ht="96" customHeight="1">
      <x:c r="A128" s="115" t="str">
        <x:v>EXT-MONDE-T003-V23</x:v>
      </x:c>
      <x:c r="B128" s="115" t="str">
        <x:v>EXT-MONDE-T003</x:v>
      </x:c>
      <x:c r="C128" s="115" t="str">
        <x:v>Lacs</x:v>
      </x:c>
      <x:c r="D128" s="115" t="str">
        <x:v>Station limnologique</x:v>
      </x:c>
      <x:c r="E128" s="115" t="n">
        <x:v>23</x:v>
      </x:c>
      <x:c r="F128" s="115" t="str">
        <x:v>Inspection physique</x:v>
      </x:c>
      <x:c r="G128" s="115" t="str">
        <x:v>1 niveaux ; 24 pièces ; 186 segments de mur ; 0 transitions. Inspection physique ; architecture complète encore ouverte.</x:v>
      </x:c>
      <x:c r="H128" s="115" t="str">
        <x:v>L 270 ; l 232 ; hauteur 4,5 m ; choix de composition auteur ; dimensions réelles à documenter</x:v>
      </x:c>
      <x:c r="I128" s="115" t="str">
        <x:v>À équilibrer</x:v>
      </x:c>
      <x:c r="J128" s="115" t="str">
        <x:v>Non</x:v>
      </x:c>
      <x:c r="K128" s="115" t="str">
        <x:v>Pièces décrites, murs, portes, niveaux et mobilier inspectables à l’échelle. Volumes réservés, raccord au seed, butin, rencontres et services de campagne restent à terminer.</x:v>
      </x:c>
    </x:row>
    <x:row r="129" ht="96" customHeight="1">
      <x:c r="A129" s="115" t="str">
        <x:v>EXT-MONDE-T003-V24</x:v>
      </x:c>
      <x:c r="B129" s="115" t="str">
        <x:v>EXT-MONDE-T003</x:v>
      </x:c>
      <x:c r="C129" s="115" t="str">
        <x:v>Lacs</x:v>
      </x:c>
      <x:c r="D129" s="115" t="str">
        <x:v>Station limnologique</x:v>
      </x:c>
      <x:c r="E129" s="115" t="n">
        <x:v>24</x:v>
      </x:c>
      <x:c r="F129" s="115" t="str">
        <x:v>Inspection physique</x:v>
      </x:c>
      <x:c r="G129" s="115" t="str">
        <x:v>1 niveaux ; 24 pièces ; 186 segments de mur ; 0 transitions. Inspection physique ; architecture complète encore ouverte.</x:v>
      </x:c>
      <x:c r="H129" s="115" t="str">
        <x:v>L 270 ; l 232 ; hauteur 4,5 m ; choix de composition auteur ; dimensions réelles à documenter</x:v>
      </x:c>
      <x:c r="I129" s="115" t="str">
        <x:v>À équilibrer</x:v>
      </x:c>
      <x:c r="J129" s="115" t="str">
        <x:v>Non</x:v>
      </x:c>
      <x:c r="K129" s="115" t="str">
        <x:v>Pièces décrites, murs, portes, niveaux et mobilier inspectables à l’échelle. Volumes réservés, raccord au seed, butin, rencontres et services de campagne restent à terminer.</x:v>
      </x:c>
    </x:row>
    <x:row r="130" ht="96" customHeight="1">
      <x:c r="A130" s="115" t="str">
        <x:v>EXT-MONDE-T003-V25</x:v>
      </x:c>
      <x:c r="B130" s="115" t="str">
        <x:v>EXT-MONDE-T003</x:v>
      </x:c>
      <x:c r="C130" s="115" t="str">
        <x:v>Lacs</x:v>
      </x:c>
      <x:c r="D130" s="115" t="str">
        <x:v>Station limnologique</x:v>
      </x:c>
      <x:c r="E130" s="115" t="n">
        <x:v>25</x:v>
      </x:c>
      <x:c r="F130" s="115" t="str">
        <x:v>Inspection physique</x:v>
      </x:c>
      <x:c r="G130" s="115" t="str">
        <x:v>1 niveaux ; 24 pièces ; 186 segments de mur ; 0 transitions. Inspection physique ; architecture complète encore ouverte.</x:v>
      </x:c>
      <x:c r="H130" s="115" t="str">
        <x:v>L 270 ; l 232 ; hauteur 4,5 m ; choix de composition auteur ; dimensions réelles à documenter</x:v>
      </x:c>
      <x:c r="I130" s="115" t="str">
        <x:v>À équilibrer</x:v>
      </x:c>
      <x:c r="J130" s="115" t="str">
        <x:v>Non</x:v>
      </x:c>
      <x:c r="K130" s="115" t="str">
        <x:v>Pièces décrites, murs, portes, niveaux et mobilier inspectables à l’échelle. Volumes réservés, raccord au seed, butin, rencontres et services de campagne restent à terminer.</x:v>
      </x:c>
    </x:row>
    <x:row r="131" ht="96" customHeight="1">
      <x:c r="A131" s="115" t="str">
        <x:v>EXT-MONDE-T003-V26</x:v>
      </x:c>
      <x:c r="B131" s="115" t="str">
        <x:v>EXT-MONDE-T003</x:v>
      </x:c>
      <x:c r="C131" s="115" t="str">
        <x:v>Lacs</x:v>
      </x:c>
      <x:c r="D131" s="115" t="str">
        <x:v>Station limnologique</x:v>
      </x:c>
      <x:c r="E131" s="115" t="n">
        <x:v>26</x:v>
      </x:c>
      <x:c r="F131" s="115" t="str">
        <x:v>Inspection physique</x:v>
      </x:c>
      <x:c r="G131" s="115" t="str">
        <x:v>1 niveaux ; 24 pièces ; 186 segments de mur ; 0 transitions. Inspection physique ; architecture complète encore ouverte.</x:v>
      </x:c>
      <x:c r="H131" s="115" t="str">
        <x:v>L 270 ; l 232 ; hauteur 4,5 m ; choix de composition auteur ; dimensions réelles à documenter</x:v>
      </x:c>
      <x:c r="I131" s="115" t="str">
        <x:v>À équilibrer</x:v>
      </x:c>
      <x:c r="J131" s="115" t="str">
        <x:v>Non</x:v>
      </x:c>
      <x:c r="K131" s="115" t="str">
        <x:v>Pièces décrites, murs, portes, niveaux et mobilier inspectables à l’échelle. Volumes réservés, raccord au seed, butin, rencontres et services de campagne restent à terminer.</x:v>
      </x:c>
    </x:row>
    <x:row r="132" ht="96" customHeight="1">
      <x:c r="A132" s="115" t="str">
        <x:v>EXT-MONDE-T003-V27</x:v>
      </x:c>
      <x:c r="B132" s="115" t="str">
        <x:v>EXT-MONDE-T003</x:v>
      </x:c>
      <x:c r="C132" s="115" t="str">
        <x:v>Lacs</x:v>
      </x:c>
      <x:c r="D132" s="115" t="str">
        <x:v>Station limnologique</x:v>
      </x:c>
      <x:c r="E132" s="115" t="n">
        <x:v>27</x:v>
      </x:c>
      <x:c r="F132" s="115" t="str">
        <x:v>Inspection physique</x:v>
      </x:c>
      <x:c r="G132" s="115" t="str">
        <x:v>1 niveaux ; 24 pièces ; 186 segments de mur ; 0 transitions. Inspection physique ; architecture complète encore ouverte.</x:v>
      </x:c>
      <x:c r="H132" s="115" t="str">
        <x:v>L 270 ; l 232 ; hauteur 4,5 m ; choix de composition auteur ; dimensions réelles à documenter</x:v>
      </x:c>
      <x:c r="I132" s="115" t="str">
        <x:v>À équilibrer</x:v>
      </x:c>
      <x:c r="J132" s="115" t="str">
        <x:v>Non</x:v>
      </x:c>
      <x:c r="K132" s="115" t="str">
        <x:v>Pièces décrites, murs, portes, niveaux et mobilier inspectables à l’échelle. Volumes réservés, raccord au seed, butin, rencontres et services de campagne restent à terminer.</x:v>
      </x:c>
    </x:row>
    <x:row r="133" ht="96" customHeight="1">
      <x:c r="A133" s="115" t="str">
        <x:v>EXT-MONDE-T003-V28</x:v>
      </x:c>
      <x:c r="B133" s="115" t="str">
        <x:v>EXT-MONDE-T003</x:v>
      </x:c>
      <x:c r="C133" s="115" t="str">
        <x:v>Lacs</x:v>
      </x:c>
      <x:c r="D133" s="115" t="str">
        <x:v>Station limnologique</x:v>
      </x:c>
      <x:c r="E133" s="115" t="n">
        <x:v>28</x:v>
      </x:c>
      <x:c r="F133" s="115" t="str">
        <x:v>Inspection physique</x:v>
      </x:c>
      <x:c r="G133" s="115" t="str">
        <x:v>1 niveaux ; 24 pièces ; 186 segments de mur ; 0 transitions. Inspection physique ; architecture complète encore ouverte.</x:v>
      </x:c>
      <x:c r="H133" s="115" t="str">
        <x:v>L 270 ; l 232 ; hauteur 4,5 m ; choix de composition auteur ; dimensions réelles à documenter</x:v>
      </x:c>
      <x:c r="I133" s="115" t="str">
        <x:v>À équilibrer</x:v>
      </x:c>
      <x:c r="J133" s="115" t="str">
        <x:v>Non</x:v>
      </x:c>
      <x:c r="K133" s="115" t="str">
        <x:v>Pièces décrites, murs, portes, niveaux et mobilier inspectables à l’échelle. Volumes réservés, raccord au seed, butin, rencontres et services de campagne restent à terminer.</x:v>
      </x:c>
    </x:row>
    <x:row r="134" ht="96" customHeight="1">
      <x:c r="A134" s="115" t="str">
        <x:v>EXT-MONDE-T003-V29</x:v>
      </x:c>
      <x:c r="B134" s="115" t="str">
        <x:v>EXT-MONDE-T003</x:v>
      </x:c>
      <x:c r="C134" s="115" t="str">
        <x:v>Lacs</x:v>
      </x:c>
      <x:c r="D134" s="115" t="str">
        <x:v>Station limnologique</x:v>
      </x:c>
      <x:c r="E134" s="115" t="n">
        <x:v>29</x:v>
      </x:c>
      <x:c r="F134" s="115" t="str">
        <x:v>Inspection physique</x:v>
      </x:c>
      <x:c r="G134" s="115" t="str">
        <x:v>1 niveaux ; 24 pièces ; 186 segments de mur ; 0 transitions. Inspection physique ; architecture complète encore ouverte.</x:v>
      </x:c>
      <x:c r="H134" s="115" t="str">
        <x:v>L 270 ; l 232 ; hauteur 4,5 m ; choix de composition auteur ; dimensions réelles à documenter</x:v>
      </x:c>
      <x:c r="I134" s="115" t="str">
        <x:v>À équilibrer</x:v>
      </x:c>
      <x:c r="J134" s="115" t="str">
        <x:v>Non</x:v>
      </x:c>
      <x:c r="K134" s="115" t="str">
        <x:v>Pièces décrites, murs, portes, niveaux et mobilier inspectables à l’échelle. Volumes réservés, raccord au seed, butin, rencontres et services de campagne restent à terminer.</x:v>
      </x:c>
    </x:row>
    <x:row r="135" ht="96" customHeight="1">
      <x:c r="A135" s="115" t="str">
        <x:v>EXT-MONDE-T003-V30</x:v>
      </x:c>
      <x:c r="B135" s="115" t="str">
        <x:v>EXT-MONDE-T003</x:v>
      </x:c>
      <x:c r="C135" s="115" t="str">
        <x:v>Lacs</x:v>
      </x:c>
      <x:c r="D135" s="115" t="str">
        <x:v>Station limnologique</x:v>
      </x:c>
      <x:c r="E135" s="115" t="n">
        <x:v>30</x:v>
      </x:c>
      <x:c r="F135" s="115" t="str">
        <x:v>Inspection physique</x:v>
      </x:c>
      <x:c r="G135" s="115" t="str">
        <x:v>1 niveaux ; 24 pièces ; 186 segments de mur ; 0 transitions. Inspection physique ; architecture complète encore ouverte.</x:v>
      </x:c>
      <x:c r="H135" s="115" t="str">
        <x:v>L 270 ; l 232 ; hauteur 4,5 m ; choix de composition auteur ; dimensions réelles à documenter</x:v>
      </x:c>
      <x:c r="I135" s="115" t="str">
        <x:v>À équilibrer</x:v>
      </x:c>
      <x:c r="J135" s="115" t="str">
        <x:v>Non</x:v>
      </x:c>
      <x:c r="K135" s="115" t="str">
        <x:v>Pièces décrites, murs, portes, niveaux et mobilier inspectables à l’échelle. Volumes réservés, raccord au seed, butin, rencontres et services de campagne restent à terminer.</x:v>
      </x:c>
    </x:row>
    <x:row r="136" ht="96" customHeight="1">
      <x:c r="A136" s="115" t="str">
        <x:v>EXT-MONDE-T003-V31</x:v>
      </x:c>
      <x:c r="B136" s="115" t="str">
        <x:v>EXT-MONDE-T003</x:v>
      </x:c>
      <x:c r="C136" s="115" t="str">
        <x:v>Lacs</x:v>
      </x:c>
      <x:c r="D136" s="115" t="str">
        <x:v>Station limnologique</x:v>
      </x:c>
      <x:c r="E136" s="115" t="n">
        <x:v>31</x:v>
      </x:c>
      <x:c r="F136" s="115" t="str">
        <x:v>Inspection physique</x:v>
      </x:c>
      <x:c r="G136" s="115" t="str">
        <x:v>1 niveaux ; 24 pièces ; 186 segments de mur ; 0 transitions. Inspection physique ; architecture complète encore ouverte.</x:v>
      </x:c>
      <x:c r="H136" s="115" t="str">
        <x:v>L 284 ; l 248 ; hauteur 4,65 m ; choix de composition auteur ; dimensions réelles à documenter</x:v>
      </x:c>
      <x:c r="I136" s="115" t="str">
        <x:v>À équilibrer</x:v>
      </x:c>
      <x:c r="J136" s="115" t="str">
        <x:v>Non</x:v>
      </x:c>
      <x:c r="K136" s="115" t="str">
        <x:v>Pièces décrites, murs, portes, niveaux et mobilier inspectables à l’échelle. Volumes réservés, raccord au seed, butin, rencontres et services de campagne restent à terminer.</x:v>
      </x:c>
    </x:row>
    <x:row r="137" ht="96" customHeight="1">
      <x:c r="A137" s="115" t="str">
        <x:v>EXT-MONDE-T003-V32</x:v>
      </x:c>
      <x:c r="B137" s="115" t="str">
        <x:v>EXT-MONDE-T003</x:v>
      </x:c>
      <x:c r="C137" s="115" t="str">
        <x:v>Lacs</x:v>
      </x:c>
      <x:c r="D137" s="115" t="str">
        <x:v>Station limnologique</x:v>
      </x:c>
      <x:c r="E137" s="115" t="n">
        <x:v>32</x:v>
      </x:c>
      <x:c r="F137" s="115" t="str">
        <x:v>Inspection physique</x:v>
      </x:c>
      <x:c r="G137" s="115" t="str">
        <x:v>1 niveaux ; 24 pièces ; 186 segments de mur ; 0 transitions. Inspection physique ; architecture complète encore ouverte.</x:v>
      </x:c>
      <x:c r="H137" s="115" t="str">
        <x:v>L 284 ; l 248 ; hauteur 4,65 m ; choix de composition auteur ; dimensions réelles à documenter</x:v>
      </x:c>
      <x:c r="I137" s="115" t="str">
        <x:v>À équilibrer</x:v>
      </x:c>
      <x:c r="J137" s="115" t="str">
        <x:v>Non</x:v>
      </x:c>
      <x:c r="K137" s="115" t="str">
        <x:v>Pièces décrites, murs, portes, niveaux et mobilier inspectables à l’échelle. Volumes réservés, raccord au seed, butin, rencontres et services de campagne restent à terminer.</x:v>
      </x:c>
    </x:row>
    <x:row r="138" ht="96" customHeight="1">
      <x:c r="A138" s="115" t="str">
        <x:v>EXT-MONDE-T003-V33</x:v>
      </x:c>
      <x:c r="B138" s="115" t="str">
        <x:v>EXT-MONDE-T003</x:v>
      </x:c>
      <x:c r="C138" s="115" t="str">
        <x:v>Lacs</x:v>
      </x:c>
      <x:c r="D138" s="115" t="str">
        <x:v>Station limnologique</x:v>
      </x:c>
      <x:c r="E138" s="115" t="n">
        <x:v>33</x:v>
      </x:c>
      <x:c r="F138" s="115" t="str">
        <x:v>Inspection physique</x:v>
      </x:c>
      <x:c r="G138" s="115" t="str">
        <x:v>1 niveaux ; 24 pièces ; 186 segments de mur ; 0 transitions. Inspection physique ; architecture complète encore ouverte.</x:v>
      </x:c>
      <x:c r="H138" s="115" t="str">
        <x:v>L 284 ; l 248 ; hauteur 4,65 m ; choix de composition auteur ; dimensions réelles à documenter</x:v>
      </x:c>
      <x:c r="I138" s="115" t="str">
        <x:v>À équilibrer</x:v>
      </x:c>
      <x:c r="J138" s="115" t="str">
        <x:v>Non</x:v>
      </x:c>
      <x:c r="K138" s="115" t="str">
        <x:v>Pièces décrites, murs, portes, niveaux et mobilier inspectables à l’échelle. Volumes réservés, raccord au seed, butin, rencontres et services de campagne restent à terminer.</x:v>
      </x:c>
    </x:row>
    <x:row r="139" ht="96" customHeight="1">
      <x:c r="A139" s="115" t="str">
        <x:v>EXT-MONDE-T003-V34</x:v>
      </x:c>
      <x:c r="B139" s="115" t="str">
        <x:v>EXT-MONDE-T003</x:v>
      </x:c>
      <x:c r="C139" s="115" t="str">
        <x:v>Lacs</x:v>
      </x:c>
      <x:c r="D139" s="115" t="str">
        <x:v>Station limnologique</x:v>
      </x:c>
      <x:c r="E139" s="115" t="n">
        <x:v>34</x:v>
      </x:c>
      <x:c r="F139" s="115" t="str">
        <x:v>Inspection physique</x:v>
      </x:c>
      <x:c r="G139" s="115" t="str">
        <x:v>1 niveaux ; 24 pièces ; 186 segments de mur ; 0 transitions. Inspection physique ; architecture complète encore ouverte.</x:v>
      </x:c>
      <x:c r="H139" s="115" t="str">
        <x:v>L 284 ; l 248 ; hauteur 4,65 m ; choix de composition auteur ; dimensions réelles à documenter</x:v>
      </x:c>
      <x:c r="I139" s="115" t="str">
        <x:v>À équilibrer</x:v>
      </x:c>
      <x:c r="J139" s="115" t="str">
        <x:v>Non</x:v>
      </x:c>
      <x:c r="K139" s="115" t="str">
        <x:v>Pièces décrites, murs, portes, niveaux et mobilier inspectables à l’échelle. Volumes réservés, raccord au seed, butin, rencontres et services de campagne restent à terminer.</x:v>
      </x:c>
    </x:row>
    <x:row r="140" ht="96" customHeight="1">
      <x:c r="A140" s="115" t="str">
        <x:v>EXT-MONDE-T003-V35</x:v>
      </x:c>
      <x:c r="B140" s="115" t="str">
        <x:v>EXT-MONDE-T003</x:v>
      </x:c>
      <x:c r="C140" s="115" t="str">
        <x:v>Lacs</x:v>
      </x:c>
      <x:c r="D140" s="115" t="str">
        <x:v>Station limnologique</x:v>
      </x:c>
      <x:c r="E140" s="115" t="n">
        <x:v>35</x:v>
      </x:c>
      <x:c r="F140" s="115" t="str">
        <x:v>Inspection physique</x:v>
      </x:c>
      <x:c r="G140" s="115" t="str">
        <x:v>1 niveaux ; 24 pièces ; 186 segments de mur ; 0 transitions. Inspection physique ; architecture complète encore ouverte.</x:v>
      </x:c>
      <x:c r="H140" s="115" t="str">
        <x:v>L 284 ; l 248 ; hauteur 4,65 m ; choix de composition auteur ; dimensions réelles à documenter</x:v>
      </x:c>
      <x:c r="I140" s="115" t="str">
        <x:v>À équilibrer</x:v>
      </x:c>
      <x:c r="J140" s="115" t="str">
        <x:v>Non</x:v>
      </x:c>
      <x:c r="K140" s="115" t="str">
        <x:v>Pièces décrites, murs, portes, niveaux et mobilier inspectables à l’échelle. Volumes réservés, raccord au seed, butin, rencontres et services de campagne restent à terminer.</x:v>
      </x:c>
    </x:row>
    <x:row r="141" ht="96" customHeight="1">
      <x:c r="A141" s="115" t="str">
        <x:v>EXT-MONDE-T003-V36</x:v>
      </x:c>
      <x:c r="B141" s="115" t="str">
        <x:v>EXT-MONDE-T003</x:v>
      </x:c>
      <x:c r="C141" s="115" t="str">
        <x:v>Lacs</x:v>
      </x:c>
      <x:c r="D141" s="115" t="str">
        <x:v>Station limnologique</x:v>
      </x:c>
      <x:c r="E141" s="115" t="n">
        <x:v>36</x:v>
      </x:c>
      <x:c r="F141" s="115" t="str">
        <x:v>Inspection physique</x:v>
      </x:c>
      <x:c r="G141" s="115" t="str">
        <x:v>1 niveaux ; 24 pièces ; 186 segments de mur ; 0 transitions. Inspection physique ; architecture complète encore ouverte.</x:v>
      </x:c>
      <x:c r="H141" s="115" t="str">
        <x:v>L 284 ; l 248 ; hauteur 4,65 m ; choix de composition auteur ; dimensions réelles à documenter</x:v>
      </x:c>
      <x:c r="I141" s="115" t="str">
        <x:v>À équilibrer</x:v>
      </x:c>
      <x:c r="J141" s="115" t="str">
        <x:v>Non</x:v>
      </x:c>
      <x:c r="K141" s="115" t="str">
        <x:v>Pièces décrites, murs, portes, niveaux et mobilier inspectables à l’échelle. Volumes réservés, raccord au seed, butin, rencontres et services de campagne restent à terminer.</x:v>
      </x:c>
    </x:row>
    <x:row r="142" ht="96" customHeight="1">
      <x:c r="A142" s="115" t="str">
        <x:v>EXT-MONDE-T003-V37</x:v>
      </x:c>
      <x:c r="B142" s="115" t="str">
        <x:v>EXT-MONDE-T003</x:v>
      </x:c>
      <x:c r="C142" s="115" t="str">
        <x:v>Lacs</x:v>
      </x:c>
      <x:c r="D142" s="115" t="str">
        <x:v>Station limnologique</x:v>
      </x:c>
      <x:c r="E142" s="115" t="n">
        <x:v>37</x:v>
      </x:c>
      <x:c r="F142" s="115" t="str">
        <x:v>Inspection physique</x:v>
      </x:c>
      <x:c r="G142" s="115" t="str">
        <x:v>1 niveaux ; 24 pièces ; 186 segments de mur ; 0 transitions. Inspection physique ; architecture complète encore ouverte.</x:v>
      </x:c>
      <x:c r="H142" s="115" t="str">
        <x:v>L 284 ; l 248 ; hauteur 4,65 m ; choix de composition auteur ; dimensions réelles à documenter</x:v>
      </x:c>
      <x:c r="I142" s="115" t="str">
        <x:v>À équilibrer</x:v>
      </x:c>
      <x:c r="J142" s="115" t="str">
        <x:v>Non</x:v>
      </x:c>
      <x:c r="K142" s="115" t="str">
        <x:v>Pièces décrites, murs, portes, niveaux et mobilier inspectables à l’échelle. Volumes réservés, raccord au seed, butin, rencontres et services de campagne restent à terminer.</x:v>
      </x:c>
    </x:row>
    <x:row r="143" ht="96" customHeight="1">
      <x:c r="A143" s="115" t="str">
        <x:v>EXT-MONDE-T003-V38</x:v>
      </x:c>
      <x:c r="B143" s="115" t="str">
        <x:v>EXT-MONDE-T003</x:v>
      </x:c>
      <x:c r="C143" s="115" t="str">
        <x:v>Lacs</x:v>
      </x:c>
      <x:c r="D143" s="115" t="str">
        <x:v>Station limnologique</x:v>
      </x:c>
      <x:c r="E143" s="115" t="n">
        <x:v>38</x:v>
      </x:c>
      <x:c r="F143" s="115" t="str">
        <x:v>Inspection physique</x:v>
      </x:c>
      <x:c r="G143" s="115" t="str">
        <x:v>1 niveaux ; 24 pièces ; 186 segments de mur ; 0 transitions. Inspection physique ; architecture complète encore ouverte.</x:v>
      </x:c>
      <x:c r="H143" s="115" t="str">
        <x:v>L 284 ; l 248 ; hauteur 4,65 m ; choix de composition auteur ; dimensions réelles à documenter</x:v>
      </x:c>
      <x:c r="I143" s="115" t="str">
        <x:v>À équilibrer</x:v>
      </x:c>
      <x:c r="J143" s="115" t="str">
        <x:v>Non</x:v>
      </x:c>
      <x:c r="K143" s="115" t="str">
        <x:v>Pièces décrites, murs, portes, niveaux et mobilier inspectables à l’échelle. Volumes réservés, raccord au seed, butin, rencontres et services de campagne restent à terminer.</x:v>
      </x:c>
    </x:row>
    <x:row r="144" ht="96" customHeight="1">
      <x:c r="A144" s="115" t="str">
        <x:v>EXT-MONDE-T003-V39</x:v>
      </x:c>
      <x:c r="B144" s="115" t="str">
        <x:v>EXT-MONDE-T003</x:v>
      </x:c>
      <x:c r="C144" s="115" t="str">
        <x:v>Lacs</x:v>
      </x:c>
      <x:c r="D144" s="115" t="str">
        <x:v>Station limnologique</x:v>
      </x:c>
      <x:c r="E144" s="115" t="n">
        <x:v>39</x:v>
      </x:c>
      <x:c r="F144" s="115" t="str">
        <x:v>Inspection physique</x:v>
      </x:c>
      <x:c r="G144" s="115" t="str">
        <x:v>1 niveaux ; 24 pièces ; 186 segments de mur ; 0 transitions. Inspection physique ; architecture complète encore ouverte.</x:v>
      </x:c>
      <x:c r="H144" s="115" t="str">
        <x:v>L 284 ; l 248 ; hauteur 4,65 m ; choix de composition auteur ; dimensions réelles à documenter</x:v>
      </x:c>
      <x:c r="I144" s="115" t="str">
        <x:v>À équilibrer</x:v>
      </x:c>
      <x:c r="J144" s="115" t="str">
        <x:v>Non</x:v>
      </x:c>
      <x:c r="K144" s="115" t="str">
        <x:v>Pièces décrites, murs, portes, niveaux et mobilier inspectables à l’échelle. Volumes réservés, raccord au seed, butin, rencontres et services de campagne restent à terminer.</x:v>
      </x:c>
    </x:row>
    <x:row r="145" ht="96" customHeight="1">
      <x:c r="A145" s="115" t="str">
        <x:v>EXT-MONDE-T003-V40</x:v>
      </x:c>
      <x:c r="B145" s="115" t="str">
        <x:v>EXT-MONDE-T003</x:v>
      </x:c>
      <x:c r="C145" s="115" t="str">
        <x:v>Lacs</x:v>
      </x:c>
      <x:c r="D145" s="115" t="str">
        <x:v>Station limnologique</x:v>
      </x:c>
      <x:c r="E145" s="115" t="n">
        <x:v>40</x:v>
      </x:c>
      <x:c r="F145" s="115" t="str">
        <x:v>Inspection physique</x:v>
      </x:c>
      <x:c r="G145" s="115" t="str">
        <x:v>1 niveaux ; 24 pièces ; 186 segments de mur ; 0 transitions. Inspection physique ; architecture complète encore ouverte.</x:v>
      </x:c>
      <x:c r="H145" s="115" t="str">
        <x:v>L 284 ; l 248 ; hauteur 4,65 m ; choix de composition auteur ; dimensions réelles à documenter</x:v>
      </x:c>
      <x:c r="I145" s="115" t="str">
        <x:v>À équilibrer</x:v>
      </x:c>
      <x:c r="J145" s="115" t="str">
        <x:v>Non</x:v>
      </x:c>
      <x:c r="K145" s="115" t="str">
        <x:v>Pièces décrites, murs, portes, niveaux et mobilier inspectables à l’échelle. Volumes réservés, raccord au seed, butin, rencontres et services de campagne restent à terminer.</x:v>
      </x:c>
    </x:row>
    <x:row r="146" ht="96" customHeight="1">
      <x:c r="A146" s="115" t="str">
        <x:v>EXT-MONDE-T003-V41</x:v>
      </x:c>
      <x:c r="B146" s="115" t="str">
        <x:v>EXT-MONDE-T003</x:v>
      </x:c>
      <x:c r="C146" s="115" t="str">
        <x:v>Lacs</x:v>
      </x:c>
      <x:c r="D146" s="115" t="str">
        <x:v>Station limnologique</x:v>
      </x:c>
      <x:c r="E146" s="115" t="n">
        <x:v>41</x:v>
      </x:c>
      <x:c r="F146" s="115" t="str">
        <x:v>Inspection physique</x:v>
      </x:c>
      <x:c r="G146" s="115" t="str">
        <x:v>1 niveaux ; 24 pièces ; 186 segments de mur ; 0 transitions. Inspection physique ; architecture complète encore ouverte.</x:v>
      </x:c>
      <x:c r="H146" s="115" t="str">
        <x:v>L 298 ; l 264 ; hauteur 4,8 m ; choix de composition auteur ; dimensions réelles à documenter</x:v>
      </x:c>
      <x:c r="I146" s="115" t="str">
        <x:v>À équilibrer</x:v>
      </x:c>
      <x:c r="J146" s="115" t="str">
        <x:v>Non</x:v>
      </x:c>
      <x:c r="K146" s="115" t="str">
        <x:v>Pièces décrites, murs, portes, niveaux et mobilier inspectables à l’échelle. Volumes réservés, raccord au seed, butin, rencontres et services de campagne restent à terminer.</x:v>
      </x:c>
    </x:row>
    <x:row r="147" ht="96" customHeight="1">
      <x:c r="A147" s="115" t="str">
        <x:v>EXT-MONDE-T003-V42</x:v>
      </x:c>
      <x:c r="B147" s="115" t="str">
        <x:v>EXT-MONDE-T003</x:v>
      </x:c>
      <x:c r="C147" s="115" t="str">
        <x:v>Lacs</x:v>
      </x:c>
      <x:c r="D147" s="115" t="str">
        <x:v>Station limnologique</x:v>
      </x:c>
      <x:c r="E147" s="115" t="n">
        <x:v>42</x:v>
      </x:c>
      <x:c r="F147" s="115" t="str">
        <x:v>Inspection physique</x:v>
      </x:c>
      <x:c r="G147" s="115" t="str">
        <x:v>1 niveaux ; 24 pièces ; 186 segments de mur ; 0 transitions. Inspection physique ; architecture complète encore ouverte.</x:v>
      </x:c>
      <x:c r="H147" s="115" t="str">
        <x:v>L 298 ; l 264 ; hauteur 4,8 m ; choix de composition auteur ; dimensions réelles à documenter</x:v>
      </x:c>
      <x:c r="I147" s="115" t="str">
        <x:v>À équilibrer</x:v>
      </x:c>
      <x:c r="J147" s="115" t="str">
        <x:v>Non</x:v>
      </x:c>
      <x:c r="K147" s="115" t="str">
        <x:v>Pièces décrites, murs, portes, niveaux et mobilier inspectables à l’échelle. Volumes réservés, raccord au seed, butin, rencontres et services de campagne restent à terminer.</x:v>
      </x:c>
    </x:row>
    <x:row r="148" ht="96" customHeight="1">
      <x:c r="A148" s="115" t="str">
        <x:v>EXT-MONDE-T003-V43</x:v>
      </x:c>
      <x:c r="B148" s="115" t="str">
        <x:v>EXT-MONDE-T003</x:v>
      </x:c>
      <x:c r="C148" s="115" t="str">
        <x:v>Lacs</x:v>
      </x:c>
      <x:c r="D148" s="115" t="str">
        <x:v>Station limnologique</x:v>
      </x:c>
      <x:c r="E148" s="115" t="n">
        <x:v>43</x:v>
      </x:c>
      <x:c r="F148" s="115" t="str">
        <x:v>Inspection physique</x:v>
      </x:c>
      <x:c r="G148" s="115" t="str">
        <x:v>1 niveaux ; 24 pièces ; 186 segments de mur ; 0 transitions. Inspection physique ; architecture complète encore ouverte.</x:v>
      </x:c>
      <x:c r="H148" s="115" t="str">
        <x:v>L 298 ; l 264 ; hauteur 4,8 m ; choix de composition auteur ; dimensions réelles à documenter</x:v>
      </x:c>
      <x:c r="I148" s="115" t="str">
        <x:v>À équilibrer</x:v>
      </x:c>
      <x:c r="J148" s="115" t="str">
        <x:v>Non</x:v>
      </x:c>
      <x:c r="K148" s="115" t="str">
        <x:v>Pièces décrites, murs, portes, niveaux et mobilier inspectables à l’échelle. Volumes réservés, raccord au seed, butin, rencontres et services de campagne restent à terminer.</x:v>
      </x:c>
    </x:row>
    <x:row r="149" ht="96" customHeight="1">
      <x:c r="A149" s="115" t="str">
        <x:v>EXT-MONDE-T003-V44</x:v>
      </x:c>
      <x:c r="B149" s="115" t="str">
        <x:v>EXT-MONDE-T003</x:v>
      </x:c>
      <x:c r="C149" s="115" t="str">
        <x:v>Lacs</x:v>
      </x:c>
      <x:c r="D149" s="115" t="str">
        <x:v>Station limnologique</x:v>
      </x:c>
      <x:c r="E149" s="115" t="n">
        <x:v>44</x:v>
      </x:c>
      <x:c r="F149" s="115" t="str">
        <x:v>Inspection physique</x:v>
      </x:c>
      <x:c r="G149" s="115" t="str">
        <x:v>1 niveaux ; 24 pièces ; 186 segments de mur ; 0 transitions. Inspection physique ; architecture complète encore ouverte.</x:v>
      </x:c>
      <x:c r="H149" s="115" t="str">
        <x:v>L 298 ; l 264 ; hauteur 4,8 m ; choix de composition auteur ; dimensions réelles à documenter</x:v>
      </x:c>
      <x:c r="I149" s="115" t="str">
        <x:v>À équilibrer</x:v>
      </x:c>
      <x:c r="J149" s="115" t="str">
        <x:v>Non</x:v>
      </x:c>
      <x:c r="K149" s="115" t="str">
        <x:v>Pièces décrites, murs, portes, niveaux et mobilier inspectables à l’échelle. Volumes réservés, raccord au seed, butin, rencontres et services de campagne restent à terminer.</x:v>
      </x:c>
    </x:row>
    <x:row r="150" ht="96" customHeight="1">
      <x:c r="A150" s="115" t="str">
        <x:v>EXT-MONDE-T003-V45</x:v>
      </x:c>
      <x:c r="B150" s="115" t="str">
        <x:v>EXT-MONDE-T003</x:v>
      </x:c>
      <x:c r="C150" s="115" t="str">
        <x:v>Lacs</x:v>
      </x:c>
      <x:c r="D150" s="115" t="str">
        <x:v>Station limnologique</x:v>
      </x:c>
      <x:c r="E150" s="115" t="n">
        <x:v>45</x:v>
      </x:c>
      <x:c r="F150" s="115" t="str">
        <x:v>Inspection physique</x:v>
      </x:c>
      <x:c r="G150" s="115" t="str">
        <x:v>1 niveaux ; 24 pièces ; 186 segments de mur ; 0 transitions. Inspection physique ; architecture complète encore ouverte.</x:v>
      </x:c>
      <x:c r="H150" s="115" t="str">
        <x:v>L 298 ; l 264 ; hauteur 4,8 m ; choix de composition auteur ; dimensions réelles à documenter</x:v>
      </x:c>
      <x:c r="I150" s="115" t="str">
        <x:v>À équilibrer</x:v>
      </x:c>
      <x:c r="J150" s="115" t="str">
        <x:v>Non</x:v>
      </x:c>
      <x:c r="K150" s="115" t="str">
        <x:v>Pièces décrites, murs, portes, niveaux et mobilier inspectables à l’échelle. Volumes réservés, raccord au seed, butin, rencontres et services de campagne restent à terminer.</x:v>
      </x:c>
    </x:row>
    <x:row r="151" ht="96" customHeight="1">
      <x:c r="A151" s="115" t="str">
        <x:v>EXT-MONDE-T003-V46</x:v>
      </x:c>
      <x:c r="B151" s="115" t="str">
        <x:v>EXT-MONDE-T003</x:v>
      </x:c>
      <x:c r="C151" s="115" t="str">
        <x:v>Lacs</x:v>
      </x:c>
      <x:c r="D151" s="115" t="str">
        <x:v>Station limnologique</x:v>
      </x:c>
      <x:c r="E151" s="115" t="n">
        <x:v>46</x:v>
      </x:c>
      <x:c r="F151" s="115" t="str">
        <x:v>Inspection physique</x:v>
      </x:c>
      <x:c r="G151" s="115" t="str">
        <x:v>1 niveaux ; 24 pièces ; 186 segments de mur ; 0 transitions. Inspection physique ; architecture complète encore ouverte.</x:v>
      </x:c>
      <x:c r="H151" s="115" t="str">
        <x:v>L 298 ; l 264 ; hauteur 4,8 m ; choix de composition auteur ; dimensions réelles à documenter</x:v>
      </x:c>
      <x:c r="I151" s="115" t="str">
        <x:v>À équilibrer</x:v>
      </x:c>
      <x:c r="J151" s="115" t="str">
        <x:v>Non</x:v>
      </x:c>
      <x:c r="K151" s="115" t="str">
        <x:v>Pièces décrites, murs, portes, niveaux et mobilier inspectables à l’échelle. Volumes réservés, raccord au seed, butin, rencontres et services de campagne restent à terminer.</x:v>
      </x:c>
    </x:row>
    <x:row r="152" ht="96" customHeight="1">
      <x:c r="A152" s="115" t="str">
        <x:v>EXT-MONDE-T003-V47</x:v>
      </x:c>
      <x:c r="B152" s="115" t="str">
        <x:v>EXT-MONDE-T003</x:v>
      </x:c>
      <x:c r="C152" s="115" t="str">
        <x:v>Lacs</x:v>
      </x:c>
      <x:c r="D152" s="115" t="str">
        <x:v>Station limnologique</x:v>
      </x:c>
      <x:c r="E152" s="115" t="n">
        <x:v>47</x:v>
      </x:c>
      <x:c r="F152" s="115" t="str">
        <x:v>Inspection physique</x:v>
      </x:c>
      <x:c r="G152" s="115" t="str">
        <x:v>1 niveaux ; 24 pièces ; 186 segments de mur ; 0 transitions. Inspection physique ; architecture complète encore ouverte.</x:v>
      </x:c>
      <x:c r="H152" s="115" t="str">
        <x:v>L 298 ; l 264 ; hauteur 4,8 m ; choix de composition auteur ; dimensions réelles à documenter</x:v>
      </x:c>
      <x:c r="I152" s="115" t="str">
        <x:v>À équilibrer</x:v>
      </x:c>
      <x:c r="J152" s="115" t="str">
        <x:v>Non</x:v>
      </x:c>
      <x:c r="K152" s="115" t="str">
        <x:v>Pièces décrites, murs, portes, niveaux et mobilier inspectables à l’échelle. Volumes réservés, raccord au seed, butin, rencontres et services de campagne restent à terminer.</x:v>
      </x:c>
    </x:row>
    <x:row r="153" ht="96" customHeight="1">
      <x:c r="A153" s="115" t="str">
        <x:v>EXT-MONDE-T003-V48</x:v>
      </x:c>
      <x:c r="B153" s="115" t="str">
        <x:v>EXT-MONDE-T003</x:v>
      </x:c>
      <x:c r="C153" s="115" t="str">
        <x:v>Lacs</x:v>
      </x:c>
      <x:c r="D153" s="115" t="str">
        <x:v>Station limnologique</x:v>
      </x:c>
      <x:c r="E153" s="115" t="n">
        <x:v>48</x:v>
      </x:c>
      <x:c r="F153" s="115" t="str">
        <x:v>Inspection physique</x:v>
      </x:c>
      <x:c r="G153" s="115" t="str">
        <x:v>1 niveaux ; 24 pièces ; 186 segments de mur ; 0 transitions. Inspection physique ; architecture complète encore ouverte.</x:v>
      </x:c>
      <x:c r="H153" s="115" t="str">
        <x:v>L 298 ; l 264 ; hauteur 4,8 m ; choix de composition auteur ; dimensions réelles à documenter</x:v>
      </x:c>
      <x:c r="I153" s="115" t="str">
        <x:v>À équilibrer</x:v>
      </x:c>
      <x:c r="J153" s="115" t="str">
        <x:v>Non</x:v>
      </x:c>
      <x:c r="K153" s="115" t="str">
        <x:v>Pièces décrites, murs, portes, niveaux et mobilier inspectables à l’échelle. Volumes réservés, raccord au seed, butin, rencontres et services de campagne restent à terminer.</x:v>
      </x:c>
    </x:row>
    <x:row r="154" ht="96" customHeight="1">
      <x:c r="A154" s="115" t="str">
        <x:v>EXT-MONDE-T003-V49</x:v>
      </x:c>
      <x:c r="B154" s="115" t="str">
        <x:v>EXT-MONDE-T003</x:v>
      </x:c>
      <x:c r="C154" s="115" t="str">
        <x:v>Lacs</x:v>
      </x:c>
      <x:c r="D154" s="115" t="str">
        <x:v>Station limnologique</x:v>
      </x:c>
      <x:c r="E154" s="115" t="n">
        <x:v>49</x:v>
      </x:c>
      <x:c r="F154" s="115" t="str">
        <x:v>Inspection physique</x:v>
      </x:c>
      <x:c r="G154" s="115" t="str">
        <x:v>1 niveaux ; 24 pièces ; 186 segments de mur ; 0 transitions. Inspection physique ; architecture complète encore ouverte.</x:v>
      </x:c>
      <x:c r="H154" s="115" t="str">
        <x:v>L 298 ; l 264 ; hauteur 4,8 m ; choix de composition auteur ; dimensions réelles à documenter</x:v>
      </x:c>
      <x:c r="I154" s="115" t="str">
        <x:v>À équilibrer</x:v>
      </x:c>
      <x:c r="J154" s="115" t="str">
        <x:v>Non</x:v>
      </x:c>
      <x:c r="K154" s="115" t="str">
        <x:v>Pièces décrites, murs, portes, niveaux et mobilier inspectables à l’échelle. Volumes réservés, raccord au seed, butin, rencontres et services de campagne restent à terminer.</x:v>
      </x:c>
    </x:row>
    <x:row r="155" ht="96" customHeight="1">
      <x:c r="A155" s="115" t="str">
        <x:v>EXT-MONDE-T003-V50</x:v>
      </x:c>
      <x:c r="B155" s="115" t="str">
        <x:v>EXT-MONDE-T003</x:v>
      </x:c>
      <x:c r="C155" s="115" t="str">
        <x:v>Lacs</x:v>
      </x:c>
      <x:c r="D155" s="115" t="str">
        <x:v>Station limnologique</x:v>
      </x:c>
      <x:c r="E155" s="115" t="n">
        <x:v>50</x:v>
      </x:c>
      <x:c r="F155" s="115" t="str">
        <x:v>Inspection physique</x:v>
      </x:c>
      <x:c r="G155" s="115" t="str">
        <x:v>1 niveaux ; 24 pièces ; 186 segments de mur ; 0 transitions. Inspection physique ; architecture complète encore ouverte.</x:v>
      </x:c>
      <x:c r="H155" s="115" t="str">
        <x:v>L 298 ; l 264 ; hauteur 4,8 m ; choix de composition auteur ; dimensions réelles à documenter</x:v>
      </x:c>
      <x:c r="I155" s="115" t="str">
        <x:v>À équilibrer</x:v>
      </x:c>
      <x:c r="J155" s="115" t="str">
        <x:v>Non</x:v>
      </x:c>
      <x:c r="K155" s="115" t="str">
        <x:v>Pièces décrites, murs, portes, niveaux et mobilier inspectables à l’échelle. Volumes réservés, raccord au seed, butin, rencontres et services de campagne restent à terminer.</x:v>
      </x:c>
    </x:row>
    <x:row r="156" ht="96" customHeight="1">
      <x:c r="A156" s="115" t="str">
        <x:v>EXT-MONDE-T004-V01</x:v>
      </x:c>
      <x:c r="B156" s="115" t="str">
        <x:v>EXT-MONDE-T004</x:v>
      </x:c>
      <x:c r="C156" s="115" t="str">
        <x:v>Lacs</x:v>
      </x:c>
      <x:c r="D156" s="115" t="str">
        <x:v>Camping de rive</x:v>
      </x:c>
      <x:c r="E156" s="115" t="n">
        <x:v>1</x:v>
      </x:c>
      <x:c r="F156" s="115" t="str">
        <x:v>Inspection physique</x:v>
      </x:c>
      <x:c r="G156" s="115" t="str">
        <x:v>1 niveaux ; 26 pièces ; 198 segments de mur ; 0 transitions. Inspection physique ; architecture complète encore ouverte.</x:v>
      </x:c>
      <x:c r="H156" s="115" t="str">
        <x:v>L 242 ; l 200 ; hauteur 3,8 m ; choix de composition auteur ; dimensions réelles à documenter</x:v>
      </x:c>
      <x:c r="I156" s="115" t="str">
        <x:v>À équilibrer</x:v>
      </x:c>
      <x:c r="J156" s="115" t="str">
        <x:v>Non</x:v>
      </x:c>
      <x:c r="K156" s="115" t="str">
        <x:v>Pièces décrites, murs, portes, niveaux et mobilier inspectables à l’échelle. Volumes réservés, raccord au seed, butin, rencontres et services de campagne restent à terminer.</x:v>
      </x:c>
    </x:row>
    <x:row r="157" ht="96" customHeight="1">
      <x:c r="A157" s="115" t="str">
        <x:v>EXT-MONDE-T004-V02</x:v>
      </x:c>
      <x:c r="B157" s="115" t="str">
        <x:v>EXT-MONDE-T004</x:v>
      </x:c>
      <x:c r="C157" s="115" t="str">
        <x:v>Lacs</x:v>
      </x:c>
      <x:c r="D157" s="115" t="str">
        <x:v>Camping de rive</x:v>
      </x:c>
      <x:c r="E157" s="115" t="n">
        <x:v>2</x:v>
      </x:c>
      <x:c r="F157" s="115" t="str">
        <x:v>Inspection physique</x:v>
      </x:c>
      <x:c r="G157" s="115" t="str">
        <x:v>1 niveaux ; 26 pièces ; 198 segments de mur ; 0 transitions. Inspection physique ; architecture complète encore ouverte.</x:v>
      </x:c>
      <x:c r="H157" s="115" t="str">
        <x:v>L 242 ; l 200 ; hauteur 3,8 m ; choix de composition auteur ; dimensions réelles à documenter</x:v>
      </x:c>
      <x:c r="I157" s="115" t="str">
        <x:v>À équilibrer</x:v>
      </x:c>
      <x:c r="J157" s="115" t="str">
        <x:v>Non</x:v>
      </x:c>
      <x:c r="K157" s="115" t="str">
        <x:v>Pièces décrites, murs, portes, niveaux et mobilier inspectables à l’échelle. Volumes réservés, raccord au seed, butin, rencontres et services de campagne restent à terminer.</x:v>
      </x:c>
    </x:row>
    <x:row r="158" ht="96" customHeight="1">
      <x:c r="A158" s="115" t="str">
        <x:v>EXT-MONDE-T004-V03</x:v>
      </x:c>
      <x:c r="B158" s="115" t="str">
        <x:v>EXT-MONDE-T004</x:v>
      </x:c>
      <x:c r="C158" s="115" t="str">
        <x:v>Lacs</x:v>
      </x:c>
      <x:c r="D158" s="115" t="str">
        <x:v>Camping de rive</x:v>
      </x:c>
      <x:c r="E158" s="115" t="n">
        <x:v>3</x:v>
      </x:c>
      <x:c r="F158" s="115" t="str">
        <x:v>Inspection physique</x:v>
      </x:c>
      <x:c r="G158" s="115" t="str">
        <x:v>1 niveaux ; 26 pièces ; 198 segments de mur ; 0 transitions. Inspection physique ; architecture complète encore ouverte.</x:v>
      </x:c>
      <x:c r="H158" s="115" t="str">
        <x:v>L 242 ; l 200 ; hauteur 3,8 m ; choix de composition auteur ; dimensions réelles à documenter</x:v>
      </x:c>
      <x:c r="I158" s="115" t="str">
        <x:v>À équilibrer</x:v>
      </x:c>
      <x:c r="J158" s="115" t="str">
        <x:v>Non</x:v>
      </x:c>
      <x:c r="K158" s="115" t="str">
        <x:v>Pièces décrites, murs, portes, niveaux et mobilier inspectables à l’échelle. Volumes réservés, raccord au seed, butin, rencontres et services de campagne restent à terminer.</x:v>
      </x:c>
    </x:row>
    <x:row r="159" ht="96" customHeight="1">
      <x:c r="A159" s="115" t="str">
        <x:v>EXT-MONDE-T004-V04</x:v>
      </x:c>
      <x:c r="B159" s="115" t="str">
        <x:v>EXT-MONDE-T004</x:v>
      </x:c>
      <x:c r="C159" s="115" t="str">
        <x:v>Lacs</x:v>
      </x:c>
      <x:c r="D159" s="115" t="str">
        <x:v>Camping de rive</x:v>
      </x:c>
      <x:c r="E159" s="115" t="n">
        <x:v>4</x:v>
      </x:c>
      <x:c r="F159" s="115" t="str">
        <x:v>Inspection physique</x:v>
      </x:c>
      <x:c r="G159" s="115" t="str">
        <x:v>1 niveaux ; 26 pièces ; 198 segments de mur ; 0 transitions. Inspection physique ; architecture complète encore ouverte.</x:v>
      </x:c>
      <x:c r="H159" s="115" t="str">
        <x:v>L 242 ; l 200 ; hauteur 3,8 m ; choix de composition auteur ; dimensions réelles à documenter</x:v>
      </x:c>
      <x:c r="I159" s="115" t="str">
        <x:v>À équilibrer</x:v>
      </x:c>
      <x:c r="J159" s="115" t="str">
        <x:v>Non</x:v>
      </x:c>
      <x:c r="K159" s="115" t="str">
        <x:v>Pièces décrites, murs, portes, niveaux et mobilier inspectables à l’échelle. Volumes réservés, raccord au seed, butin, rencontres et services de campagne restent à terminer.</x:v>
      </x:c>
    </x:row>
    <x:row r="160" ht="96" customHeight="1">
      <x:c r="A160" s="115" t="str">
        <x:v>EXT-MONDE-T004-V05</x:v>
      </x:c>
      <x:c r="B160" s="115" t="str">
        <x:v>EXT-MONDE-T004</x:v>
      </x:c>
      <x:c r="C160" s="115" t="str">
        <x:v>Lacs</x:v>
      </x:c>
      <x:c r="D160" s="115" t="str">
        <x:v>Camping de rive</x:v>
      </x:c>
      <x:c r="E160" s="115" t="n">
        <x:v>5</x:v>
      </x:c>
      <x:c r="F160" s="115" t="str">
        <x:v>Inspection physique</x:v>
      </x:c>
      <x:c r="G160" s="115" t="str">
        <x:v>1 niveaux ; 26 pièces ; 198 segments de mur ; 0 transitions. Inspection physique ; architecture complète encore ouverte.</x:v>
      </x:c>
      <x:c r="H160" s="115" t="str">
        <x:v>L 242 ; l 200 ; hauteur 3,8 m ; choix de composition auteur ; dimensions réelles à documenter</x:v>
      </x:c>
      <x:c r="I160" s="115" t="str">
        <x:v>À équilibrer</x:v>
      </x:c>
      <x:c r="J160" s="115" t="str">
        <x:v>Non</x:v>
      </x:c>
      <x:c r="K160" s="115" t="str">
        <x:v>Pièces décrites, murs, portes, niveaux et mobilier inspectables à l’échelle. Volumes réservés, raccord au seed, butin, rencontres et services de campagne restent à terminer.</x:v>
      </x:c>
    </x:row>
    <x:row r="161" ht="96" customHeight="1">
      <x:c r="A161" s="115" t="str">
        <x:v>EXT-MONDE-T004-V06</x:v>
      </x:c>
      <x:c r="B161" s="115" t="str">
        <x:v>EXT-MONDE-T004</x:v>
      </x:c>
      <x:c r="C161" s="115" t="str">
        <x:v>Lacs</x:v>
      </x:c>
      <x:c r="D161" s="115" t="str">
        <x:v>Camping de rive</x:v>
      </x:c>
      <x:c r="E161" s="115" t="n">
        <x:v>6</x:v>
      </x:c>
      <x:c r="F161" s="115" t="str">
        <x:v>Inspection physique</x:v>
      </x:c>
      <x:c r="G161" s="115" t="str">
        <x:v>1 niveaux ; 26 pièces ; 198 segments de mur ; 0 transitions. Inspection physique ; architecture complète encore ouverte.</x:v>
      </x:c>
      <x:c r="H161" s="115" t="str">
        <x:v>L 242 ; l 200 ; hauteur 3,8 m ; choix de composition auteur ; dimensions réelles à documenter</x:v>
      </x:c>
      <x:c r="I161" s="115" t="str">
        <x:v>À équilibrer</x:v>
      </x:c>
      <x:c r="J161" s="115" t="str">
        <x:v>Non</x:v>
      </x:c>
      <x:c r="K161" s="115" t="str">
        <x:v>Pièces décrites, murs, portes, niveaux et mobilier inspectables à l’échelle. Volumes réservés, raccord au seed, butin, rencontres et services de campagne restent à terminer.</x:v>
      </x:c>
    </x:row>
    <x:row r="162" ht="96" customHeight="1">
      <x:c r="A162" s="115" t="str">
        <x:v>EXT-MONDE-T004-V07</x:v>
      </x:c>
      <x:c r="B162" s="115" t="str">
        <x:v>EXT-MONDE-T004</x:v>
      </x:c>
      <x:c r="C162" s="115" t="str">
        <x:v>Lacs</x:v>
      </x:c>
      <x:c r="D162" s="115" t="str">
        <x:v>Camping de rive</x:v>
      </x:c>
      <x:c r="E162" s="115" t="n">
        <x:v>7</x:v>
      </x:c>
      <x:c r="F162" s="115" t="str">
        <x:v>Inspection physique</x:v>
      </x:c>
      <x:c r="G162" s="115" t="str">
        <x:v>1 niveaux ; 26 pièces ; 198 segments de mur ; 0 transitions. Inspection physique ; architecture complète encore ouverte.</x:v>
      </x:c>
      <x:c r="H162" s="115" t="str">
        <x:v>L 242 ; l 200 ; hauteur 3,8 m ; choix de composition auteur ; dimensions réelles à documenter</x:v>
      </x:c>
      <x:c r="I162" s="115" t="str">
        <x:v>À équilibrer</x:v>
      </x:c>
      <x:c r="J162" s="115" t="str">
        <x:v>Non</x:v>
      </x:c>
      <x:c r="K162" s="115" t="str">
        <x:v>Pièces décrites, murs, portes, niveaux et mobilier inspectables à l’échelle. Volumes réservés, raccord au seed, butin, rencontres et services de campagne restent à terminer.</x:v>
      </x:c>
    </x:row>
    <x:row r="163" ht="96" customHeight="1">
      <x:c r="A163" s="115" t="str">
        <x:v>EXT-MONDE-T004-V08</x:v>
      </x:c>
      <x:c r="B163" s="115" t="str">
        <x:v>EXT-MONDE-T004</x:v>
      </x:c>
      <x:c r="C163" s="115" t="str">
        <x:v>Lacs</x:v>
      </x:c>
      <x:c r="D163" s="115" t="str">
        <x:v>Camping de rive</x:v>
      </x:c>
      <x:c r="E163" s="115" t="n">
        <x:v>8</x:v>
      </x:c>
      <x:c r="F163" s="115" t="str">
        <x:v>Inspection physique</x:v>
      </x:c>
      <x:c r="G163" s="115" t="str">
        <x:v>1 niveaux ; 26 pièces ; 198 segments de mur ; 0 transitions. Inspection physique ; architecture complète encore ouverte.</x:v>
      </x:c>
      <x:c r="H163" s="115" t="str">
        <x:v>L 242 ; l 200 ; hauteur 3,8 m ; choix de composition auteur ; dimensions réelles à documenter</x:v>
      </x:c>
      <x:c r="I163" s="115" t="str">
        <x:v>À équilibrer</x:v>
      </x:c>
      <x:c r="J163" s="115" t="str">
        <x:v>Non</x:v>
      </x:c>
      <x:c r="K163" s="115" t="str">
        <x:v>Pièces décrites, murs, portes, niveaux et mobilier inspectables à l’échelle. Volumes réservés, raccord au seed, butin, rencontres et services de campagne restent à terminer.</x:v>
      </x:c>
    </x:row>
    <x:row r="164" ht="96" customHeight="1">
      <x:c r="A164" s="115" t="str">
        <x:v>EXT-MONDE-T004-V09</x:v>
      </x:c>
      <x:c r="B164" s="115" t="str">
        <x:v>EXT-MONDE-T004</x:v>
      </x:c>
      <x:c r="C164" s="115" t="str">
        <x:v>Lacs</x:v>
      </x:c>
      <x:c r="D164" s="115" t="str">
        <x:v>Camping de rive</x:v>
      </x:c>
      <x:c r="E164" s="115" t="n">
        <x:v>9</x:v>
      </x:c>
      <x:c r="F164" s="115" t="str">
        <x:v>Inspection physique</x:v>
      </x:c>
      <x:c r="G164" s="115" t="str">
        <x:v>1 niveaux ; 26 pièces ; 198 segments de mur ; 0 transitions. Inspection physique ; architecture complète encore ouverte.</x:v>
      </x:c>
      <x:c r="H164" s="115" t="str">
        <x:v>L 242 ; l 200 ; hauteur 3,8 m ; choix de composition auteur ; dimensions réelles à documenter</x:v>
      </x:c>
      <x:c r="I164" s="115" t="str">
        <x:v>À équilibrer</x:v>
      </x:c>
      <x:c r="J164" s="115" t="str">
        <x:v>Non</x:v>
      </x:c>
      <x:c r="K164" s="115" t="str">
        <x:v>Pièces décrites, murs, portes, niveaux et mobilier inspectables à l’échelle. Volumes réservés, raccord au seed, butin, rencontres et services de campagne restent à terminer.</x:v>
      </x:c>
    </x:row>
    <x:row r="165" ht="96" customHeight="1">
      <x:c r="A165" s="115" t="str">
        <x:v>EXT-MONDE-T004-V10</x:v>
      </x:c>
      <x:c r="B165" s="115" t="str">
        <x:v>EXT-MONDE-T004</x:v>
      </x:c>
      <x:c r="C165" s="115" t="str">
        <x:v>Lacs</x:v>
      </x:c>
      <x:c r="D165" s="115" t="str">
        <x:v>Camping de rive</x:v>
      </x:c>
      <x:c r="E165" s="115" t="n">
        <x:v>10</x:v>
      </x:c>
      <x:c r="F165" s="115" t="str">
        <x:v>Inspection physique</x:v>
      </x:c>
      <x:c r="G165" s="115" t="str">
        <x:v>1 niveaux ; 26 pièces ; 198 segments de mur ; 0 transitions. Inspection physique ; architecture complète encore ouverte.</x:v>
      </x:c>
      <x:c r="H165" s="115" t="str">
        <x:v>L 242 ; l 200 ; hauteur 3,8 m ; choix de composition auteur ; dimensions réelles à documenter</x:v>
      </x:c>
      <x:c r="I165" s="115" t="str">
        <x:v>À équilibrer</x:v>
      </x:c>
      <x:c r="J165" s="115" t="str">
        <x:v>Non</x:v>
      </x:c>
      <x:c r="K165" s="115" t="str">
        <x:v>Pièces décrites, murs, portes, niveaux et mobilier inspectables à l’échelle. Volumes réservés, raccord au seed, butin, rencontres et services de campagne restent à terminer.</x:v>
      </x:c>
    </x:row>
    <x:row r="166" ht="96" customHeight="1">
      <x:c r="A166" s="115" t="str">
        <x:v>EXT-MONDE-T004-V11</x:v>
      </x:c>
      <x:c r="B166" s="115" t="str">
        <x:v>EXT-MONDE-T004</x:v>
      </x:c>
      <x:c r="C166" s="115" t="str">
        <x:v>Lacs</x:v>
      </x:c>
      <x:c r="D166" s="115" t="str">
        <x:v>Camping de rive</x:v>
      </x:c>
      <x:c r="E166" s="115" t="n">
        <x:v>11</x:v>
      </x:c>
      <x:c r="F166" s="115" t="str">
        <x:v>Inspection physique</x:v>
      </x:c>
      <x:c r="G166" s="115" t="str">
        <x:v>1 niveaux ; 26 pièces ; 198 segments de mur ; 0 transitions. Inspection physique ; architecture complète encore ouverte.</x:v>
      </x:c>
      <x:c r="H166" s="115" t="str">
        <x:v>L 256 ; l 216 ; hauteur 3,95 m ; choix de composition auteur ; dimensions réelles à documenter</x:v>
      </x:c>
      <x:c r="I166" s="115" t="str">
        <x:v>À équilibrer</x:v>
      </x:c>
      <x:c r="J166" s="115" t="str">
        <x:v>Non</x:v>
      </x:c>
      <x:c r="K166" s="115" t="str">
        <x:v>Pièces décrites, murs, portes, niveaux et mobilier inspectables à l’échelle. Volumes réservés, raccord au seed, butin, rencontres et services de campagne restent à terminer.</x:v>
      </x:c>
    </x:row>
    <x:row r="167" ht="96" customHeight="1">
      <x:c r="A167" s="115" t="str">
        <x:v>EXT-MONDE-T004-V12</x:v>
      </x:c>
      <x:c r="B167" s="115" t="str">
        <x:v>EXT-MONDE-T004</x:v>
      </x:c>
      <x:c r="C167" s="115" t="str">
        <x:v>Lacs</x:v>
      </x:c>
      <x:c r="D167" s="115" t="str">
        <x:v>Camping de rive</x:v>
      </x:c>
      <x:c r="E167" s="115" t="n">
        <x:v>12</x:v>
      </x:c>
      <x:c r="F167" s="115" t="str">
        <x:v>Inspection physique</x:v>
      </x:c>
      <x:c r="G167" s="115" t="str">
        <x:v>1 niveaux ; 26 pièces ; 198 segments de mur ; 0 transitions. Inspection physique ; architecture complète encore ouverte.</x:v>
      </x:c>
      <x:c r="H167" s="115" t="str">
        <x:v>L 256 ; l 216 ; hauteur 3,95 m ; choix de composition auteur ; dimensions réelles à documenter</x:v>
      </x:c>
      <x:c r="I167" s="115" t="str">
        <x:v>À équilibrer</x:v>
      </x:c>
      <x:c r="J167" s="115" t="str">
        <x:v>Non</x:v>
      </x:c>
      <x:c r="K167" s="115" t="str">
        <x:v>Pièces décrites, murs, portes, niveaux et mobilier inspectables à l’échelle. Volumes réservés, raccord au seed, butin, rencontres et services de campagne restent à terminer.</x:v>
      </x:c>
    </x:row>
    <x:row r="168" ht="96" customHeight="1">
      <x:c r="A168" s="115" t="str">
        <x:v>EXT-MONDE-T004-V13</x:v>
      </x:c>
      <x:c r="B168" s="115" t="str">
        <x:v>EXT-MONDE-T004</x:v>
      </x:c>
      <x:c r="C168" s="115" t="str">
        <x:v>Lacs</x:v>
      </x:c>
      <x:c r="D168" s="115" t="str">
        <x:v>Camping de rive</x:v>
      </x:c>
      <x:c r="E168" s="115" t="n">
        <x:v>13</x:v>
      </x:c>
      <x:c r="F168" s="115" t="str">
        <x:v>Inspection physique</x:v>
      </x:c>
      <x:c r="G168" s="115" t="str">
        <x:v>1 niveaux ; 26 pièces ; 198 segments de mur ; 0 transitions. Inspection physique ; architecture complète encore ouverte.</x:v>
      </x:c>
      <x:c r="H168" s="115" t="str">
        <x:v>L 256 ; l 216 ; hauteur 3,95 m ; choix de composition auteur ; dimensions réelles à documenter</x:v>
      </x:c>
      <x:c r="I168" s="115" t="str">
        <x:v>À équilibrer</x:v>
      </x:c>
      <x:c r="J168" s="115" t="str">
        <x:v>Non</x:v>
      </x:c>
      <x:c r="K168" s="115" t="str">
        <x:v>Pièces décrites, murs, portes, niveaux et mobilier inspectables à l’échelle. Volumes réservés, raccord au seed, butin, rencontres et services de campagne restent à terminer.</x:v>
      </x:c>
    </x:row>
    <x:row r="169" ht="96" customHeight="1">
      <x:c r="A169" s="115" t="str">
        <x:v>EXT-MONDE-T004-V14</x:v>
      </x:c>
      <x:c r="B169" s="115" t="str">
        <x:v>EXT-MONDE-T004</x:v>
      </x:c>
      <x:c r="C169" s="115" t="str">
        <x:v>Lacs</x:v>
      </x:c>
      <x:c r="D169" s="115" t="str">
        <x:v>Camping de rive</x:v>
      </x:c>
      <x:c r="E169" s="115" t="n">
        <x:v>14</x:v>
      </x:c>
      <x:c r="F169" s="115" t="str">
        <x:v>Inspection physique</x:v>
      </x:c>
      <x:c r="G169" s="115" t="str">
        <x:v>1 niveaux ; 26 pièces ; 198 segments de mur ; 0 transitions. Inspection physique ; architecture complète encore ouverte.</x:v>
      </x:c>
      <x:c r="H169" s="115" t="str">
        <x:v>L 256 ; l 216 ; hauteur 3,95 m ; choix de composition auteur ; dimensions réelles à documenter</x:v>
      </x:c>
      <x:c r="I169" s="115" t="str">
        <x:v>À équilibrer</x:v>
      </x:c>
      <x:c r="J169" s="115" t="str">
        <x:v>Non</x:v>
      </x:c>
      <x:c r="K169" s="115" t="str">
        <x:v>Pièces décrites, murs, portes, niveaux et mobilier inspectables à l’échelle. Volumes réservés, raccord au seed, butin, rencontres et services de campagne restent à terminer.</x:v>
      </x:c>
    </x:row>
    <x:row r="170" ht="96" customHeight="1">
      <x:c r="A170" s="115" t="str">
        <x:v>EXT-MONDE-T004-V15</x:v>
      </x:c>
      <x:c r="B170" s="115" t="str">
        <x:v>EXT-MONDE-T004</x:v>
      </x:c>
      <x:c r="C170" s="115" t="str">
        <x:v>Lacs</x:v>
      </x:c>
      <x:c r="D170" s="115" t="str">
        <x:v>Camping de rive</x:v>
      </x:c>
      <x:c r="E170" s="115" t="n">
        <x:v>15</x:v>
      </x:c>
      <x:c r="F170" s="115" t="str">
        <x:v>Inspection physique</x:v>
      </x:c>
      <x:c r="G170" s="115" t="str">
        <x:v>1 niveaux ; 26 pièces ; 198 segments de mur ; 0 transitions. Inspection physique ; architecture complète encore ouverte.</x:v>
      </x:c>
      <x:c r="H170" s="115" t="str">
        <x:v>L 256 ; l 216 ; hauteur 3,95 m ; choix de composition auteur ; dimensions réelles à documenter</x:v>
      </x:c>
      <x:c r="I170" s="115" t="str">
        <x:v>À équilibrer</x:v>
      </x:c>
      <x:c r="J170" s="115" t="str">
        <x:v>Non</x:v>
      </x:c>
      <x:c r="K170" s="115" t="str">
        <x:v>Pièces décrites, murs, portes, niveaux et mobilier inspectables à l’échelle. Volumes réservés, raccord au seed, butin, rencontres et services de campagne restent à terminer.</x:v>
      </x:c>
    </x:row>
    <x:row r="171" ht="96" customHeight="1">
      <x:c r="A171" s="115" t="str">
        <x:v>EXT-MONDE-T004-V16</x:v>
      </x:c>
      <x:c r="B171" s="115" t="str">
        <x:v>EXT-MONDE-T004</x:v>
      </x:c>
      <x:c r="C171" s="115" t="str">
        <x:v>Lacs</x:v>
      </x:c>
      <x:c r="D171" s="115" t="str">
        <x:v>Camping de rive</x:v>
      </x:c>
      <x:c r="E171" s="115" t="n">
        <x:v>16</x:v>
      </x:c>
      <x:c r="F171" s="115" t="str">
        <x:v>Inspection physique</x:v>
      </x:c>
      <x:c r="G171" s="115" t="str">
        <x:v>1 niveaux ; 26 pièces ; 198 segments de mur ; 0 transitions. Inspection physique ; architecture complète encore ouverte.</x:v>
      </x:c>
      <x:c r="H171" s="115" t="str">
        <x:v>L 256 ; l 216 ; hauteur 3,95 m ; choix de composition auteur ; dimensions réelles à documenter</x:v>
      </x:c>
      <x:c r="I171" s="115" t="str">
        <x:v>À équilibrer</x:v>
      </x:c>
      <x:c r="J171" s="115" t="str">
        <x:v>Non</x:v>
      </x:c>
      <x:c r="K171" s="115" t="str">
        <x:v>Pièces décrites, murs, portes, niveaux et mobilier inspectables à l’échelle. Volumes réservés, raccord au seed, butin, rencontres et services de campagne restent à terminer.</x:v>
      </x:c>
    </x:row>
    <x:row r="172" ht="96" customHeight="1">
      <x:c r="A172" s="115" t="str">
        <x:v>EXT-MONDE-T004-V17</x:v>
      </x:c>
      <x:c r="B172" s="115" t="str">
        <x:v>EXT-MONDE-T004</x:v>
      </x:c>
      <x:c r="C172" s="115" t="str">
        <x:v>Lacs</x:v>
      </x:c>
      <x:c r="D172" s="115" t="str">
        <x:v>Camping de rive</x:v>
      </x:c>
      <x:c r="E172" s="115" t="n">
        <x:v>17</x:v>
      </x:c>
      <x:c r="F172" s="115" t="str">
        <x:v>Inspection physique</x:v>
      </x:c>
      <x:c r="G172" s="115" t="str">
        <x:v>1 niveaux ; 26 pièces ; 198 segments de mur ; 0 transitions. Inspection physique ; architecture complète encore ouverte.</x:v>
      </x:c>
      <x:c r="H172" s="115" t="str">
        <x:v>L 256 ; l 216 ; hauteur 3,95 m ; choix de composition auteur ; dimensions réelles à documenter</x:v>
      </x:c>
      <x:c r="I172" s="115" t="str">
        <x:v>À équilibrer</x:v>
      </x:c>
      <x:c r="J172" s="115" t="str">
        <x:v>Non</x:v>
      </x:c>
      <x:c r="K172" s="115" t="str">
        <x:v>Pièces décrites, murs, portes, niveaux et mobilier inspectables à l’échelle. Volumes réservés, raccord au seed, butin, rencontres et services de campagne restent à terminer.</x:v>
      </x:c>
    </x:row>
    <x:row r="173" ht="96" customHeight="1">
      <x:c r="A173" s="115" t="str">
        <x:v>EXT-MONDE-T004-V18</x:v>
      </x:c>
      <x:c r="B173" s="115" t="str">
        <x:v>EXT-MONDE-T004</x:v>
      </x:c>
      <x:c r="C173" s="115" t="str">
        <x:v>Lacs</x:v>
      </x:c>
      <x:c r="D173" s="115" t="str">
        <x:v>Camping de rive</x:v>
      </x:c>
      <x:c r="E173" s="115" t="n">
        <x:v>18</x:v>
      </x:c>
      <x:c r="F173" s="115" t="str">
        <x:v>Inspection physique</x:v>
      </x:c>
      <x:c r="G173" s="115" t="str">
        <x:v>1 niveaux ; 26 pièces ; 198 segments de mur ; 0 transitions. Inspection physique ; architecture complète encore ouverte.</x:v>
      </x:c>
      <x:c r="H173" s="115" t="str">
        <x:v>L 256 ; l 216 ; hauteur 3,95 m ; choix de composition auteur ; dimensions réelles à documenter</x:v>
      </x:c>
      <x:c r="I173" s="115" t="str">
        <x:v>À équilibrer</x:v>
      </x:c>
      <x:c r="J173" s="115" t="str">
        <x:v>Non</x:v>
      </x:c>
      <x:c r="K173" s="115" t="str">
        <x:v>Pièces décrites, murs, portes, niveaux et mobilier inspectables à l’échelle. Volumes réservés, raccord au seed, butin, rencontres et services de campagne restent à terminer.</x:v>
      </x:c>
    </x:row>
    <x:row r="174" ht="96" customHeight="1">
      <x:c r="A174" s="115" t="str">
        <x:v>EXT-MONDE-T004-V19</x:v>
      </x:c>
      <x:c r="B174" s="115" t="str">
        <x:v>EXT-MONDE-T004</x:v>
      </x:c>
      <x:c r="C174" s="115" t="str">
        <x:v>Lacs</x:v>
      </x:c>
      <x:c r="D174" s="115" t="str">
        <x:v>Camping de rive</x:v>
      </x:c>
      <x:c r="E174" s="115" t="n">
        <x:v>19</x:v>
      </x:c>
      <x:c r="F174" s="115" t="str">
        <x:v>Inspection physique</x:v>
      </x:c>
      <x:c r="G174" s="115" t="str">
        <x:v>1 niveaux ; 26 pièces ; 198 segments de mur ; 0 transitions. Inspection physique ; architecture complète encore ouverte.</x:v>
      </x:c>
      <x:c r="H174" s="115" t="str">
        <x:v>L 256 ; l 216 ; hauteur 3,95 m ; choix de composition auteur ; dimensions réelles à documenter</x:v>
      </x:c>
      <x:c r="I174" s="115" t="str">
        <x:v>À équilibrer</x:v>
      </x:c>
      <x:c r="J174" s="115" t="str">
        <x:v>Non</x:v>
      </x:c>
      <x:c r="K174" s="115" t="str">
        <x:v>Pièces décrites, murs, portes, niveaux et mobilier inspectables à l’échelle. Volumes réservés, raccord au seed, butin, rencontres et services de campagne restent à terminer.</x:v>
      </x:c>
    </x:row>
    <x:row r="175" ht="96" customHeight="1">
      <x:c r="A175" s="115" t="str">
        <x:v>EXT-MONDE-T004-V20</x:v>
      </x:c>
      <x:c r="B175" s="115" t="str">
        <x:v>EXT-MONDE-T004</x:v>
      </x:c>
      <x:c r="C175" s="115" t="str">
        <x:v>Lacs</x:v>
      </x:c>
      <x:c r="D175" s="115" t="str">
        <x:v>Camping de rive</x:v>
      </x:c>
      <x:c r="E175" s="115" t="n">
        <x:v>20</x:v>
      </x:c>
      <x:c r="F175" s="115" t="str">
        <x:v>Inspection physique</x:v>
      </x:c>
      <x:c r="G175" s="115" t="str">
        <x:v>1 niveaux ; 26 pièces ; 198 segments de mur ; 0 transitions. Inspection physique ; architecture complète encore ouverte.</x:v>
      </x:c>
      <x:c r="H175" s="115" t="str">
        <x:v>L 256 ; l 216 ; hauteur 3,95 m ; choix de composition auteur ; dimensions réelles à documenter</x:v>
      </x:c>
      <x:c r="I175" s="115" t="str">
        <x:v>À équilibrer</x:v>
      </x:c>
      <x:c r="J175" s="115" t="str">
        <x:v>Non</x:v>
      </x:c>
      <x:c r="K175" s="115" t="str">
        <x:v>Pièces décrites, murs, portes, niveaux et mobilier inspectables à l’échelle. Volumes réservés, raccord au seed, butin, rencontres et services de campagne restent à terminer.</x:v>
      </x:c>
    </x:row>
    <x:row r="176" ht="96" customHeight="1">
      <x:c r="A176" s="115" t="str">
        <x:v>EXT-MONDE-T004-V21</x:v>
      </x:c>
      <x:c r="B176" s="115" t="str">
        <x:v>EXT-MONDE-T004</x:v>
      </x:c>
      <x:c r="C176" s="115" t="str">
        <x:v>Lacs</x:v>
      </x:c>
      <x:c r="D176" s="115" t="str">
        <x:v>Camping de rive</x:v>
      </x:c>
      <x:c r="E176" s="115" t="n">
        <x:v>21</x:v>
      </x:c>
      <x:c r="F176" s="115" t="str">
        <x:v>Inspection physique</x:v>
      </x:c>
      <x:c r="G176" s="115" t="str">
        <x:v>1 niveaux ; 26 pièces ; 198 segments de mur ; 0 transitions. Inspection physique ; architecture complète encore ouverte.</x:v>
      </x:c>
      <x:c r="H176" s="115" t="str">
        <x:v>L 270 ; l 232 ; hauteur 4,1 m ; choix de composition auteur ; dimensions réelles à documenter</x:v>
      </x:c>
      <x:c r="I176" s="115" t="str">
        <x:v>À équilibrer</x:v>
      </x:c>
      <x:c r="J176" s="115" t="str">
        <x:v>Non</x:v>
      </x:c>
      <x:c r="K176" s="115" t="str">
        <x:v>Pièces décrites, murs, portes, niveaux et mobilier inspectables à l’échelle. Volumes réservés, raccord au seed, butin, rencontres et services de campagne restent à terminer.</x:v>
      </x:c>
    </x:row>
    <x:row r="177" ht="96" customHeight="1">
      <x:c r="A177" s="115" t="str">
        <x:v>EXT-MONDE-T004-V22</x:v>
      </x:c>
      <x:c r="B177" s="115" t="str">
        <x:v>EXT-MONDE-T004</x:v>
      </x:c>
      <x:c r="C177" s="115" t="str">
        <x:v>Lacs</x:v>
      </x:c>
      <x:c r="D177" s="115" t="str">
        <x:v>Camping de rive</x:v>
      </x:c>
      <x:c r="E177" s="115" t="n">
        <x:v>22</x:v>
      </x:c>
      <x:c r="F177" s="115" t="str">
        <x:v>Inspection physique</x:v>
      </x:c>
      <x:c r="G177" s="115" t="str">
        <x:v>1 niveaux ; 26 pièces ; 198 segments de mur ; 0 transitions. Inspection physique ; architecture complète encore ouverte.</x:v>
      </x:c>
      <x:c r="H177" s="115" t="str">
        <x:v>L 270 ; l 232 ; hauteur 4,1 m ; choix de composition auteur ; dimensions réelles à documenter</x:v>
      </x:c>
      <x:c r="I177" s="115" t="str">
        <x:v>À équilibrer</x:v>
      </x:c>
      <x:c r="J177" s="115" t="str">
        <x:v>Non</x:v>
      </x:c>
      <x:c r="K177" s="115" t="str">
        <x:v>Pièces décrites, murs, portes, niveaux et mobilier inspectables à l’échelle. Volumes réservés, raccord au seed, butin, rencontres et services de campagne restent à terminer.</x:v>
      </x:c>
    </x:row>
    <x:row r="178" ht="96" customHeight="1">
      <x:c r="A178" s="115" t="str">
        <x:v>EXT-MONDE-T004-V23</x:v>
      </x:c>
      <x:c r="B178" s="115" t="str">
        <x:v>EXT-MONDE-T004</x:v>
      </x:c>
      <x:c r="C178" s="115" t="str">
        <x:v>Lacs</x:v>
      </x:c>
      <x:c r="D178" s="115" t="str">
        <x:v>Camping de rive</x:v>
      </x:c>
      <x:c r="E178" s="115" t="n">
        <x:v>23</x:v>
      </x:c>
      <x:c r="F178" s="115" t="str">
        <x:v>Inspection physique</x:v>
      </x:c>
      <x:c r="G178" s="115" t="str">
        <x:v>1 niveaux ; 26 pièces ; 198 segments de mur ; 0 transitions. Inspection physique ; architecture complète encore ouverte.</x:v>
      </x:c>
      <x:c r="H178" s="115" t="str">
        <x:v>L 270 ; l 232 ; hauteur 4,1 m ; choix de composition auteur ; dimensions réelles à documenter</x:v>
      </x:c>
      <x:c r="I178" s="115" t="str">
        <x:v>À équilibrer</x:v>
      </x:c>
      <x:c r="J178" s="115" t="str">
        <x:v>Non</x:v>
      </x:c>
      <x:c r="K178" s="115" t="str">
        <x:v>Pièces décrites, murs, portes, niveaux et mobilier inspectables à l’échelle. Volumes réservés, raccord au seed, butin, rencontres et services de campagne restent à terminer.</x:v>
      </x:c>
    </x:row>
    <x:row r="179" ht="96" customHeight="1">
      <x:c r="A179" s="115" t="str">
        <x:v>EXT-MONDE-T004-V24</x:v>
      </x:c>
      <x:c r="B179" s="115" t="str">
        <x:v>EXT-MONDE-T004</x:v>
      </x:c>
      <x:c r="C179" s="115" t="str">
        <x:v>Lacs</x:v>
      </x:c>
      <x:c r="D179" s="115" t="str">
        <x:v>Camping de rive</x:v>
      </x:c>
      <x:c r="E179" s="115" t="n">
        <x:v>24</x:v>
      </x:c>
      <x:c r="F179" s="115" t="str">
        <x:v>Inspection physique</x:v>
      </x:c>
      <x:c r="G179" s="115" t="str">
        <x:v>1 niveaux ; 26 pièces ; 198 segments de mur ; 0 transitions. Inspection physique ; architecture complète encore ouverte.</x:v>
      </x:c>
      <x:c r="H179" s="115" t="str">
        <x:v>L 270 ; l 232 ; hauteur 4,1 m ; choix de composition auteur ; dimensions réelles à documenter</x:v>
      </x:c>
      <x:c r="I179" s="115" t="str">
        <x:v>À équilibrer</x:v>
      </x:c>
      <x:c r="J179" s="115" t="str">
        <x:v>Non</x:v>
      </x:c>
      <x:c r="K179" s="115" t="str">
        <x:v>Pièces décrites, murs, portes, niveaux et mobilier inspectables à l’échelle. Volumes réservés, raccord au seed, butin, rencontres et services de campagne restent à terminer.</x:v>
      </x:c>
    </x:row>
    <x:row r="180" ht="96" customHeight="1">
      <x:c r="A180" s="115" t="str">
        <x:v>EXT-MONDE-T004-V25</x:v>
      </x:c>
      <x:c r="B180" s="115" t="str">
        <x:v>EXT-MONDE-T004</x:v>
      </x:c>
      <x:c r="C180" s="115" t="str">
        <x:v>Lacs</x:v>
      </x:c>
      <x:c r="D180" s="115" t="str">
        <x:v>Camping de rive</x:v>
      </x:c>
      <x:c r="E180" s="115" t="n">
        <x:v>25</x:v>
      </x:c>
      <x:c r="F180" s="115" t="str">
        <x:v>Inspection physique</x:v>
      </x:c>
      <x:c r="G180" s="115" t="str">
        <x:v>1 niveaux ; 26 pièces ; 198 segments de mur ; 0 transitions. Inspection physique ; architecture complète encore ouverte.</x:v>
      </x:c>
      <x:c r="H180" s="115" t="str">
        <x:v>L 270 ; l 232 ; hauteur 4,1 m ; choix de composition auteur ; dimensions réelles à documenter</x:v>
      </x:c>
      <x:c r="I180" s="115" t="str">
        <x:v>À équilibrer</x:v>
      </x:c>
      <x:c r="J180" s="115" t="str">
        <x:v>Non</x:v>
      </x:c>
      <x:c r="K180" s="115" t="str">
        <x:v>Pièces décrites, murs, portes, niveaux et mobilier inspectables à l’échelle. Volumes réservés, raccord au seed, butin, rencontres et services de campagne restent à terminer.</x:v>
      </x:c>
    </x:row>
    <x:row r="181" ht="96" customHeight="1">
      <x:c r="A181" s="115" t="str">
        <x:v>EXT-MONDE-T004-V26</x:v>
      </x:c>
      <x:c r="B181" s="115" t="str">
        <x:v>EXT-MONDE-T004</x:v>
      </x:c>
      <x:c r="C181" s="115" t="str">
        <x:v>Lacs</x:v>
      </x:c>
      <x:c r="D181" s="115" t="str">
        <x:v>Camping de rive</x:v>
      </x:c>
      <x:c r="E181" s="115" t="n">
        <x:v>26</x:v>
      </x:c>
      <x:c r="F181" s="115" t="str">
        <x:v>Inspection physique</x:v>
      </x:c>
      <x:c r="G181" s="115" t="str">
        <x:v>1 niveaux ; 26 pièces ; 198 segments de mur ; 0 transitions. Inspection physique ; architecture complète encore ouverte.</x:v>
      </x:c>
      <x:c r="H181" s="115" t="str">
        <x:v>L 270 ; l 232 ; hauteur 4,1 m ; choix de composition auteur ; dimensions réelles à documenter</x:v>
      </x:c>
      <x:c r="I181" s="115" t="str">
        <x:v>À équilibrer</x:v>
      </x:c>
      <x:c r="J181" s="115" t="str">
        <x:v>Non</x:v>
      </x:c>
      <x:c r="K181" s="115" t="str">
        <x:v>Pièces décrites, murs, portes, niveaux et mobilier inspectables à l’échelle. Volumes réservés, raccord au seed, butin, rencontres et services de campagne restent à terminer.</x:v>
      </x:c>
    </x:row>
    <x:row r="182" ht="96" customHeight="1">
      <x:c r="A182" s="115" t="str">
        <x:v>EXT-MONDE-T004-V27</x:v>
      </x:c>
      <x:c r="B182" s="115" t="str">
        <x:v>EXT-MONDE-T004</x:v>
      </x:c>
      <x:c r="C182" s="115" t="str">
        <x:v>Lacs</x:v>
      </x:c>
      <x:c r="D182" s="115" t="str">
        <x:v>Camping de rive</x:v>
      </x:c>
      <x:c r="E182" s="115" t="n">
        <x:v>27</x:v>
      </x:c>
      <x:c r="F182" s="115" t="str">
        <x:v>Inspection physique</x:v>
      </x:c>
      <x:c r="G182" s="115" t="str">
        <x:v>1 niveaux ; 26 pièces ; 198 segments de mur ; 0 transitions. Inspection physique ; architecture complète encore ouverte.</x:v>
      </x:c>
      <x:c r="H182" s="115" t="str">
        <x:v>L 270 ; l 232 ; hauteur 4,1 m ; choix de composition auteur ; dimensions réelles à documenter</x:v>
      </x:c>
      <x:c r="I182" s="115" t="str">
        <x:v>À équilibrer</x:v>
      </x:c>
      <x:c r="J182" s="115" t="str">
        <x:v>Non</x:v>
      </x:c>
      <x:c r="K182" s="115" t="str">
        <x:v>Pièces décrites, murs, portes, niveaux et mobilier inspectables à l’échelle. Volumes réservés, raccord au seed, butin, rencontres et services de campagne restent à terminer.</x:v>
      </x:c>
    </x:row>
    <x:row r="183" ht="96" customHeight="1">
      <x:c r="A183" s="115" t="str">
        <x:v>EXT-MONDE-T004-V28</x:v>
      </x:c>
      <x:c r="B183" s="115" t="str">
        <x:v>EXT-MONDE-T004</x:v>
      </x:c>
      <x:c r="C183" s="115" t="str">
        <x:v>Lacs</x:v>
      </x:c>
      <x:c r="D183" s="115" t="str">
        <x:v>Camping de rive</x:v>
      </x:c>
      <x:c r="E183" s="115" t="n">
        <x:v>28</x:v>
      </x:c>
      <x:c r="F183" s="115" t="str">
        <x:v>Inspection physique</x:v>
      </x:c>
      <x:c r="G183" s="115" t="str">
        <x:v>1 niveaux ; 26 pièces ; 198 segments de mur ; 0 transitions. Inspection physique ; architecture complète encore ouverte.</x:v>
      </x:c>
      <x:c r="H183" s="115" t="str">
        <x:v>L 270 ; l 232 ; hauteur 4,1 m ; choix de composition auteur ; dimensions réelles à documenter</x:v>
      </x:c>
      <x:c r="I183" s="115" t="str">
        <x:v>À équilibrer</x:v>
      </x:c>
      <x:c r="J183" s="115" t="str">
        <x:v>Non</x:v>
      </x:c>
      <x:c r="K183" s="115" t="str">
        <x:v>Pièces décrites, murs, portes, niveaux et mobilier inspectables à l’échelle. Volumes réservés, raccord au seed, butin, rencontres et services de campagne restent à terminer.</x:v>
      </x:c>
    </x:row>
    <x:row r="184" ht="96" customHeight="1">
      <x:c r="A184" s="115" t="str">
        <x:v>EXT-MONDE-T004-V29</x:v>
      </x:c>
      <x:c r="B184" s="115" t="str">
        <x:v>EXT-MONDE-T004</x:v>
      </x:c>
      <x:c r="C184" s="115" t="str">
        <x:v>Lacs</x:v>
      </x:c>
      <x:c r="D184" s="115" t="str">
        <x:v>Camping de rive</x:v>
      </x:c>
      <x:c r="E184" s="115" t="n">
        <x:v>29</x:v>
      </x:c>
      <x:c r="F184" s="115" t="str">
        <x:v>Inspection physique</x:v>
      </x:c>
      <x:c r="G184" s="115" t="str">
        <x:v>1 niveaux ; 26 pièces ; 198 segments de mur ; 0 transitions. Inspection physique ; architecture complète encore ouverte.</x:v>
      </x:c>
      <x:c r="H184" s="115" t="str">
        <x:v>L 270 ; l 232 ; hauteur 4,1 m ; choix de composition auteur ; dimensions réelles à documenter</x:v>
      </x:c>
      <x:c r="I184" s="115" t="str">
        <x:v>À équilibrer</x:v>
      </x:c>
      <x:c r="J184" s="115" t="str">
        <x:v>Non</x:v>
      </x:c>
      <x:c r="K184" s="115" t="str">
        <x:v>Pièces décrites, murs, portes, niveaux et mobilier inspectables à l’échelle. Volumes réservés, raccord au seed, butin, rencontres et services de campagne restent à terminer.</x:v>
      </x:c>
    </x:row>
    <x:row r="185" ht="96" customHeight="1">
      <x:c r="A185" s="115" t="str">
        <x:v>EXT-MONDE-T004-V30</x:v>
      </x:c>
      <x:c r="B185" s="115" t="str">
        <x:v>EXT-MONDE-T004</x:v>
      </x:c>
      <x:c r="C185" s="115" t="str">
        <x:v>Lacs</x:v>
      </x:c>
      <x:c r="D185" s="115" t="str">
        <x:v>Camping de rive</x:v>
      </x:c>
      <x:c r="E185" s="115" t="n">
        <x:v>30</x:v>
      </x:c>
      <x:c r="F185" s="115" t="str">
        <x:v>Inspection physique</x:v>
      </x:c>
      <x:c r="G185" s="115" t="str">
        <x:v>1 niveaux ; 26 pièces ; 198 segments de mur ; 0 transitions. Inspection physique ; architecture complète encore ouverte.</x:v>
      </x:c>
      <x:c r="H185" s="115" t="str">
        <x:v>L 270 ; l 232 ; hauteur 4,1 m ; choix de composition auteur ; dimensions réelles à documenter</x:v>
      </x:c>
      <x:c r="I185" s="115" t="str">
        <x:v>À équilibrer</x:v>
      </x:c>
      <x:c r="J185" s="115" t="str">
        <x:v>Non</x:v>
      </x:c>
      <x:c r="K185" s="115" t="str">
        <x:v>Pièces décrites, murs, portes, niveaux et mobilier inspectables à l’échelle. Volumes réservés, raccord au seed, butin, rencontres et services de campagne restent à terminer.</x:v>
      </x:c>
    </x:row>
    <x:row r="186" ht="96" customHeight="1">
      <x:c r="A186" s="115" t="str">
        <x:v>EXT-MONDE-T004-V31</x:v>
      </x:c>
      <x:c r="B186" s="115" t="str">
        <x:v>EXT-MONDE-T004</x:v>
      </x:c>
      <x:c r="C186" s="115" t="str">
        <x:v>Lacs</x:v>
      </x:c>
      <x:c r="D186" s="115" t="str">
        <x:v>Camping de rive</x:v>
      </x:c>
      <x:c r="E186" s="115" t="n">
        <x:v>31</x:v>
      </x:c>
      <x:c r="F186" s="115" t="str">
        <x:v>Inspection physique</x:v>
      </x:c>
      <x:c r="G186" s="115" t="str">
        <x:v>1 niveaux ; 26 pièces ; 198 segments de mur ; 0 transitions. Inspection physique ; architecture complète encore ouverte.</x:v>
      </x:c>
      <x:c r="H186" s="115" t="str">
        <x:v>L 284 ; l 248 ; hauteur 4,25 m ; choix de composition auteur ; dimensions réelles à documenter</x:v>
      </x:c>
      <x:c r="I186" s="115" t="str">
        <x:v>À équilibrer</x:v>
      </x:c>
      <x:c r="J186" s="115" t="str">
        <x:v>Non</x:v>
      </x:c>
      <x:c r="K186" s="115" t="str">
        <x:v>Pièces décrites, murs, portes, niveaux et mobilier inspectables à l’échelle. Volumes réservés, raccord au seed, butin, rencontres et services de campagne restent à terminer.</x:v>
      </x:c>
    </x:row>
    <x:row r="187" ht="96" customHeight="1">
      <x:c r="A187" s="115" t="str">
        <x:v>EXT-MONDE-T004-V32</x:v>
      </x:c>
      <x:c r="B187" s="115" t="str">
        <x:v>EXT-MONDE-T004</x:v>
      </x:c>
      <x:c r="C187" s="115" t="str">
        <x:v>Lacs</x:v>
      </x:c>
      <x:c r="D187" s="115" t="str">
        <x:v>Camping de rive</x:v>
      </x:c>
      <x:c r="E187" s="115" t="n">
        <x:v>32</x:v>
      </x:c>
      <x:c r="F187" s="115" t="str">
        <x:v>Inspection physique</x:v>
      </x:c>
      <x:c r="G187" s="115" t="str">
        <x:v>1 niveaux ; 26 pièces ; 198 segments de mur ; 0 transitions. Inspection physique ; architecture complète encore ouverte.</x:v>
      </x:c>
      <x:c r="H187" s="115" t="str">
        <x:v>L 284 ; l 248 ; hauteur 4,25 m ; choix de composition auteur ; dimensions réelles à documenter</x:v>
      </x:c>
      <x:c r="I187" s="115" t="str">
        <x:v>À équilibrer</x:v>
      </x:c>
      <x:c r="J187" s="115" t="str">
        <x:v>Non</x:v>
      </x:c>
      <x:c r="K187" s="115" t="str">
        <x:v>Pièces décrites, murs, portes, niveaux et mobilier inspectables à l’échelle. Volumes réservés, raccord au seed, butin, rencontres et services de campagne restent à terminer.</x:v>
      </x:c>
    </x:row>
    <x:row r="188" ht="96" customHeight="1">
      <x:c r="A188" s="115" t="str">
        <x:v>EXT-MONDE-T004-V33</x:v>
      </x:c>
      <x:c r="B188" s="115" t="str">
        <x:v>EXT-MONDE-T004</x:v>
      </x:c>
      <x:c r="C188" s="115" t="str">
        <x:v>Lacs</x:v>
      </x:c>
      <x:c r="D188" s="115" t="str">
        <x:v>Camping de rive</x:v>
      </x:c>
      <x:c r="E188" s="115" t="n">
        <x:v>33</x:v>
      </x:c>
      <x:c r="F188" s="115" t="str">
        <x:v>Inspection physique</x:v>
      </x:c>
      <x:c r="G188" s="115" t="str">
        <x:v>1 niveaux ; 26 pièces ; 198 segments de mur ; 0 transitions. Inspection physique ; architecture complète encore ouverte.</x:v>
      </x:c>
      <x:c r="H188" s="115" t="str">
        <x:v>L 284 ; l 248 ; hauteur 4,25 m ; choix de composition auteur ; dimensions réelles à documenter</x:v>
      </x:c>
      <x:c r="I188" s="115" t="str">
        <x:v>À équilibrer</x:v>
      </x:c>
      <x:c r="J188" s="115" t="str">
        <x:v>Non</x:v>
      </x:c>
      <x:c r="K188" s="115" t="str">
        <x:v>Pièces décrites, murs, portes, niveaux et mobilier inspectables à l’échelle. Volumes réservés, raccord au seed, butin, rencontres et services de campagne restent à terminer.</x:v>
      </x:c>
    </x:row>
    <x:row r="189" ht="96" customHeight="1">
      <x:c r="A189" s="115" t="str">
        <x:v>EXT-MONDE-T004-V34</x:v>
      </x:c>
      <x:c r="B189" s="115" t="str">
        <x:v>EXT-MONDE-T004</x:v>
      </x:c>
      <x:c r="C189" s="115" t="str">
        <x:v>Lacs</x:v>
      </x:c>
      <x:c r="D189" s="115" t="str">
        <x:v>Camping de rive</x:v>
      </x:c>
      <x:c r="E189" s="115" t="n">
        <x:v>34</x:v>
      </x:c>
      <x:c r="F189" s="115" t="str">
        <x:v>Inspection physique</x:v>
      </x:c>
      <x:c r="G189" s="115" t="str">
        <x:v>1 niveaux ; 26 pièces ; 198 segments de mur ; 0 transitions. Inspection physique ; architecture complète encore ouverte.</x:v>
      </x:c>
      <x:c r="H189" s="115" t="str">
        <x:v>L 284 ; l 248 ; hauteur 4,25 m ; choix de composition auteur ; dimensions réelles à documenter</x:v>
      </x:c>
      <x:c r="I189" s="115" t="str">
        <x:v>À équilibrer</x:v>
      </x:c>
      <x:c r="J189" s="115" t="str">
        <x:v>Non</x:v>
      </x:c>
      <x:c r="K189" s="115" t="str">
        <x:v>Pièces décrites, murs, portes, niveaux et mobilier inspectables à l’échelle. Volumes réservés, raccord au seed, butin, rencontres et services de campagne restent à terminer.</x:v>
      </x:c>
    </x:row>
    <x:row r="190" ht="96" customHeight="1">
      <x:c r="A190" s="115" t="str">
        <x:v>EXT-MONDE-T004-V35</x:v>
      </x:c>
      <x:c r="B190" s="115" t="str">
        <x:v>EXT-MONDE-T004</x:v>
      </x:c>
      <x:c r="C190" s="115" t="str">
        <x:v>Lacs</x:v>
      </x:c>
      <x:c r="D190" s="115" t="str">
        <x:v>Camping de rive</x:v>
      </x:c>
      <x:c r="E190" s="115" t="n">
        <x:v>35</x:v>
      </x:c>
      <x:c r="F190" s="115" t="str">
        <x:v>Inspection physique</x:v>
      </x:c>
      <x:c r="G190" s="115" t="str">
        <x:v>1 niveaux ; 26 pièces ; 198 segments de mur ; 0 transitions. Inspection physique ; architecture complète encore ouverte.</x:v>
      </x:c>
      <x:c r="H190" s="115" t="str">
        <x:v>L 284 ; l 248 ; hauteur 4,25 m ; choix de composition auteur ; dimensions réelles à documenter</x:v>
      </x:c>
      <x:c r="I190" s="115" t="str">
        <x:v>À équilibrer</x:v>
      </x:c>
      <x:c r="J190" s="115" t="str">
        <x:v>Non</x:v>
      </x:c>
      <x:c r="K190" s="115" t="str">
        <x:v>Pièces décrites, murs, portes, niveaux et mobilier inspectables à l’échelle. Volumes réservés, raccord au seed, butin, rencontres et services de campagne restent à terminer.</x:v>
      </x:c>
    </x:row>
    <x:row r="191" ht="96" customHeight="1">
      <x:c r="A191" s="115" t="str">
        <x:v>EXT-MONDE-T004-V36</x:v>
      </x:c>
      <x:c r="B191" s="115" t="str">
        <x:v>EXT-MONDE-T004</x:v>
      </x:c>
      <x:c r="C191" s="115" t="str">
        <x:v>Lacs</x:v>
      </x:c>
      <x:c r="D191" s="115" t="str">
        <x:v>Camping de rive</x:v>
      </x:c>
      <x:c r="E191" s="115" t="n">
        <x:v>36</x:v>
      </x:c>
      <x:c r="F191" s="115" t="str">
        <x:v>Inspection physique</x:v>
      </x:c>
      <x:c r="G191" s="115" t="str">
        <x:v>1 niveaux ; 26 pièces ; 198 segments de mur ; 0 transitions. Inspection physique ; architecture complète encore ouverte.</x:v>
      </x:c>
      <x:c r="H191" s="115" t="str">
        <x:v>L 284 ; l 248 ; hauteur 4,25 m ; choix de composition auteur ; dimensions réelles à documenter</x:v>
      </x:c>
      <x:c r="I191" s="115" t="str">
        <x:v>À équilibrer</x:v>
      </x:c>
      <x:c r="J191" s="115" t="str">
        <x:v>Non</x:v>
      </x:c>
      <x:c r="K191" s="115" t="str">
        <x:v>Pièces décrites, murs, portes, niveaux et mobilier inspectables à l’échelle. Volumes réservés, raccord au seed, butin, rencontres et services de campagne restent à terminer.</x:v>
      </x:c>
    </x:row>
    <x:row r="192" ht="96" customHeight="1">
      <x:c r="A192" s="115" t="str">
        <x:v>EXT-MONDE-T004-V37</x:v>
      </x:c>
      <x:c r="B192" s="115" t="str">
        <x:v>EXT-MONDE-T004</x:v>
      </x:c>
      <x:c r="C192" s="115" t="str">
        <x:v>Lacs</x:v>
      </x:c>
      <x:c r="D192" s="115" t="str">
        <x:v>Camping de rive</x:v>
      </x:c>
      <x:c r="E192" s="115" t="n">
        <x:v>37</x:v>
      </x:c>
      <x:c r="F192" s="115" t="str">
        <x:v>Inspection physique</x:v>
      </x:c>
      <x:c r="G192" s="115" t="str">
        <x:v>1 niveaux ; 26 pièces ; 198 segments de mur ; 0 transitions. Inspection physique ; architecture complète encore ouverte.</x:v>
      </x:c>
      <x:c r="H192" s="115" t="str">
        <x:v>L 284 ; l 248 ; hauteur 4,25 m ; choix de composition auteur ; dimensions réelles à documenter</x:v>
      </x:c>
      <x:c r="I192" s="115" t="str">
        <x:v>À équilibrer</x:v>
      </x:c>
      <x:c r="J192" s="115" t="str">
        <x:v>Non</x:v>
      </x:c>
      <x:c r="K192" s="115" t="str">
        <x:v>Pièces décrites, murs, portes, niveaux et mobilier inspectables à l’échelle. Volumes réservés, raccord au seed, butin, rencontres et services de campagne restent à terminer.</x:v>
      </x:c>
    </x:row>
    <x:row r="193" ht="96" customHeight="1">
      <x:c r="A193" s="115" t="str">
        <x:v>EXT-MONDE-T004-V38</x:v>
      </x:c>
      <x:c r="B193" s="115" t="str">
        <x:v>EXT-MONDE-T004</x:v>
      </x:c>
      <x:c r="C193" s="115" t="str">
        <x:v>Lacs</x:v>
      </x:c>
      <x:c r="D193" s="115" t="str">
        <x:v>Camping de rive</x:v>
      </x:c>
      <x:c r="E193" s="115" t="n">
        <x:v>38</x:v>
      </x:c>
      <x:c r="F193" s="115" t="str">
        <x:v>Inspection physique</x:v>
      </x:c>
      <x:c r="G193" s="115" t="str">
        <x:v>1 niveaux ; 26 pièces ; 198 segments de mur ; 0 transitions. Inspection physique ; architecture complète encore ouverte.</x:v>
      </x:c>
      <x:c r="H193" s="115" t="str">
        <x:v>L 284 ; l 248 ; hauteur 4,25 m ; choix de composition auteur ; dimensions réelles à documenter</x:v>
      </x:c>
      <x:c r="I193" s="115" t="str">
        <x:v>À équilibrer</x:v>
      </x:c>
      <x:c r="J193" s="115" t="str">
        <x:v>Non</x:v>
      </x:c>
      <x:c r="K193" s="115" t="str">
        <x:v>Pièces décrites, murs, portes, niveaux et mobilier inspectables à l’échelle. Volumes réservés, raccord au seed, butin, rencontres et services de campagne restent à terminer.</x:v>
      </x:c>
    </x:row>
    <x:row r="194" ht="96" customHeight="1">
      <x:c r="A194" s="115" t="str">
        <x:v>EXT-MONDE-T004-V39</x:v>
      </x:c>
      <x:c r="B194" s="115" t="str">
        <x:v>EXT-MONDE-T004</x:v>
      </x:c>
      <x:c r="C194" s="115" t="str">
        <x:v>Lacs</x:v>
      </x:c>
      <x:c r="D194" s="115" t="str">
        <x:v>Camping de rive</x:v>
      </x:c>
      <x:c r="E194" s="115" t="n">
        <x:v>39</x:v>
      </x:c>
      <x:c r="F194" s="115" t="str">
        <x:v>Inspection physique</x:v>
      </x:c>
      <x:c r="G194" s="115" t="str">
        <x:v>1 niveaux ; 26 pièces ; 198 segments de mur ; 0 transitions. Inspection physique ; architecture complète encore ouverte.</x:v>
      </x:c>
      <x:c r="H194" s="115" t="str">
        <x:v>L 284 ; l 248 ; hauteur 4,25 m ; choix de composition auteur ; dimensions réelles à documenter</x:v>
      </x:c>
      <x:c r="I194" s="115" t="str">
        <x:v>À équilibrer</x:v>
      </x:c>
      <x:c r="J194" s="115" t="str">
        <x:v>Non</x:v>
      </x:c>
      <x:c r="K194" s="115" t="str">
        <x:v>Pièces décrites, murs, portes, niveaux et mobilier inspectables à l’échelle. Volumes réservés, raccord au seed, butin, rencontres et services de campagne restent à terminer.</x:v>
      </x:c>
    </x:row>
    <x:row r="195" ht="96" customHeight="1">
      <x:c r="A195" s="115" t="str">
        <x:v>EXT-MONDE-T004-V40</x:v>
      </x:c>
      <x:c r="B195" s="115" t="str">
        <x:v>EXT-MONDE-T004</x:v>
      </x:c>
      <x:c r="C195" s="115" t="str">
        <x:v>Lacs</x:v>
      </x:c>
      <x:c r="D195" s="115" t="str">
        <x:v>Camping de rive</x:v>
      </x:c>
      <x:c r="E195" s="115" t="n">
        <x:v>40</x:v>
      </x:c>
      <x:c r="F195" s="115" t="str">
        <x:v>Inspection physique</x:v>
      </x:c>
      <x:c r="G195" s="115" t="str">
        <x:v>1 niveaux ; 26 pièces ; 198 segments de mur ; 0 transitions. Inspection physique ; architecture complète encore ouverte.</x:v>
      </x:c>
      <x:c r="H195" s="115" t="str">
        <x:v>L 284 ; l 248 ; hauteur 4,25 m ; choix de composition auteur ; dimensions réelles à documenter</x:v>
      </x:c>
      <x:c r="I195" s="115" t="str">
        <x:v>À équilibrer</x:v>
      </x:c>
      <x:c r="J195" s="115" t="str">
        <x:v>Non</x:v>
      </x:c>
      <x:c r="K195" s="115" t="str">
        <x:v>Pièces décrites, murs, portes, niveaux et mobilier inspectables à l’échelle. Volumes réservés, raccord au seed, butin, rencontres et services de campagne restent à terminer.</x:v>
      </x:c>
    </x:row>
    <x:row r="196" ht="96" customHeight="1">
      <x:c r="A196" s="115" t="str">
        <x:v>EXT-MONDE-T004-V41</x:v>
      </x:c>
      <x:c r="B196" s="115" t="str">
        <x:v>EXT-MONDE-T004</x:v>
      </x:c>
      <x:c r="C196" s="115" t="str">
        <x:v>Lacs</x:v>
      </x:c>
      <x:c r="D196" s="115" t="str">
        <x:v>Camping de rive</x:v>
      </x:c>
      <x:c r="E196" s="115" t="n">
        <x:v>41</x:v>
      </x:c>
      <x:c r="F196" s="115" t="str">
        <x:v>Inspection physique</x:v>
      </x:c>
      <x:c r="G196" s="115" t="str">
        <x:v>1 niveaux ; 26 pièces ; 198 segments de mur ; 0 transitions. Inspection physique ; architecture complète encore ouverte.</x:v>
      </x:c>
      <x:c r="H196" s="115" t="str">
        <x:v>L 298 ; l 264 ; hauteur 4,4 m ; choix de composition auteur ; dimensions réelles à documenter</x:v>
      </x:c>
      <x:c r="I196" s="115" t="str">
        <x:v>À équilibrer</x:v>
      </x:c>
      <x:c r="J196" s="115" t="str">
        <x:v>Non</x:v>
      </x:c>
      <x:c r="K196" s="115" t="str">
        <x:v>Pièces décrites, murs, portes, niveaux et mobilier inspectables à l’échelle. Volumes réservés, raccord au seed, butin, rencontres et services de campagne restent à terminer.</x:v>
      </x:c>
    </x:row>
    <x:row r="197" ht="96" customHeight="1">
      <x:c r="A197" s="115" t="str">
        <x:v>EXT-MONDE-T004-V42</x:v>
      </x:c>
      <x:c r="B197" s="115" t="str">
        <x:v>EXT-MONDE-T004</x:v>
      </x:c>
      <x:c r="C197" s="115" t="str">
        <x:v>Lacs</x:v>
      </x:c>
      <x:c r="D197" s="115" t="str">
        <x:v>Camping de rive</x:v>
      </x:c>
      <x:c r="E197" s="115" t="n">
        <x:v>42</x:v>
      </x:c>
      <x:c r="F197" s="115" t="str">
        <x:v>Inspection physique</x:v>
      </x:c>
      <x:c r="G197" s="115" t="str">
        <x:v>1 niveaux ; 26 pièces ; 198 segments de mur ; 0 transitions. Inspection physique ; architecture complète encore ouverte.</x:v>
      </x:c>
      <x:c r="H197" s="115" t="str">
        <x:v>L 298 ; l 264 ; hauteur 4,4 m ; choix de composition auteur ; dimensions réelles à documenter</x:v>
      </x:c>
      <x:c r="I197" s="115" t="str">
        <x:v>À équilibrer</x:v>
      </x:c>
      <x:c r="J197" s="115" t="str">
        <x:v>Non</x:v>
      </x:c>
      <x:c r="K197" s="115" t="str">
        <x:v>Pièces décrites, murs, portes, niveaux et mobilier inspectables à l’échelle. Volumes réservés, raccord au seed, butin, rencontres et services de campagne restent à terminer.</x:v>
      </x:c>
    </x:row>
    <x:row r="198" ht="96" customHeight="1">
      <x:c r="A198" s="115" t="str">
        <x:v>EXT-MONDE-T004-V43</x:v>
      </x:c>
      <x:c r="B198" s="115" t="str">
        <x:v>EXT-MONDE-T004</x:v>
      </x:c>
      <x:c r="C198" s="115" t="str">
        <x:v>Lacs</x:v>
      </x:c>
      <x:c r="D198" s="115" t="str">
        <x:v>Camping de rive</x:v>
      </x:c>
      <x:c r="E198" s="115" t="n">
        <x:v>43</x:v>
      </x:c>
      <x:c r="F198" s="115" t="str">
        <x:v>Inspection physique</x:v>
      </x:c>
      <x:c r="G198" s="115" t="str">
        <x:v>1 niveaux ; 26 pièces ; 198 segments de mur ; 0 transitions. Inspection physique ; architecture complète encore ouverte.</x:v>
      </x:c>
      <x:c r="H198" s="115" t="str">
        <x:v>L 298 ; l 264 ; hauteur 4,4 m ; choix de composition auteur ; dimensions réelles à documenter</x:v>
      </x:c>
      <x:c r="I198" s="115" t="str">
        <x:v>À équilibrer</x:v>
      </x:c>
      <x:c r="J198" s="115" t="str">
        <x:v>Non</x:v>
      </x:c>
      <x:c r="K198" s="115" t="str">
        <x:v>Pièces décrites, murs, portes, niveaux et mobilier inspectables à l’échelle. Volumes réservés, raccord au seed, butin, rencontres et services de campagne restent à terminer.</x:v>
      </x:c>
    </x:row>
    <x:row r="199" ht="96" customHeight="1">
      <x:c r="A199" s="115" t="str">
        <x:v>EXT-MONDE-T004-V44</x:v>
      </x:c>
      <x:c r="B199" s="115" t="str">
        <x:v>EXT-MONDE-T004</x:v>
      </x:c>
      <x:c r="C199" s="115" t="str">
        <x:v>Lacs</x:v>
      </x:c>
      <x:c r="D199" s="115" t="str">
        <x:v>Camping de rive</x:v>
      </x:c>
      <x:c r="E199" s="115" t="n">
        <x:v>44</x:v>
      </x:c>
      <x:c r="F199" s="115" t="str">
        <x:v>Inspection physique</x:v>
      </x:c>
      <x:c r="G199" s="115" t="str">
        <x:v>1 niveaux ; 26 pièces ; 198 segments de mur ; 0 transitions. Inspection physique ; architecture complète encore ouverte.</x:v>
      </x:c>
      <x:c r="H199" s="115" t="str">
        <x:v>L 298 ; l 264 ; hauteur 4,4 m ; choix de composition auteur ; dimensions réelles à documenter</x:v>
      </x:c>
      <x:c r="I199" s="115" t="str">
        <x:v>À équilibrer</x:v>
      </x:c>
      <x:c r="J199" s="115" t="str">
        <x:v>Non</x:v>
      </x:c>
      <x:c r="K199" s="115" t="str">
        <x:v>Pièces décrites, murs, portes, niveaux et mobilier inspectables à l’échelle. Volumes réservés, raccord au seed, butin, rencontres et services de campagne restent à terminer.</x:v>
      </x:c>
    </x:row>
    <x:row r="200" ht="96" customHeight="1">
      <x:c r="A200" s="115" t="str">
        <x:v>EXT-MONDE-T004-V45</x:v>
      </x:c>
      <x:c r="B200" s="115" t="str">
        <x:v>EXT-MONDE-T004</x:v>
      </x:c>
      <x:c r="C200" s="115" t="str">
        <x:v>Lacs</x:v>
      </x:c>
      <x:c r="D200" s="115" t="str">
        <x:v>Camping de rive</x:v>
      </x:c>
      <x:c r="E200" s="115" t="n">
        <x:v>45</x:v>
      </x:c>
      <x:c r="F200" s="115" t="str">
        <x:v>Inspection physique</x:v>
      </x:c>
      <x:c r="G200" s="115" t="str">
        <x:v>1 niveaux ; 26 pièces ; 198 segments de mur ; 0 transitions. Inspection physique ; architecture complète encore ouverte.</x:v>
      </x:c>
      <x:c r="H200" s="115" t="str">
        <x:v>L 298 ; l 264 ; hauteur 4,4 m ; choix de composition auteur ; dimensions réelles à documenter</x:v>
      </x:c>
      <x:c r="I200" s="115" t="str">
        <x:v>À équilibrer</x:v>
      </x:c>
      <x:c r="J200" s="115" t="str">
        <x:v>Non</x:v>
      </x:c>
      <x:c r="K200" s="115" t="str">
        <x:v>Pièces décrites, murs, portes, niveaux et mobilier inspectables à l’échelle. Volumes réservés, raccord au seed, butin, rencontres et services de campagne restent à terminer.</x:v>
      </x:c>
    </x:row>
    <x:row r="201" ht="96" customHeight="1">
      <x:c r="A201" s="115" t="str">
        <x:v>EXT-MONDE-T004-V46</x:v>
      </x:c>
      <x:c r="B201" s="115" t="str">
        <x:v>EXT-MONDE-T004</x:v>
      </x:c>
      <x:c r="C201" s="115" t="str">
        <x:v>Lacs</x:v>
      </x:c>
      <x:c r="D201" s="115" t="str">
        <x:v>Camping de rive</x:v>
      </x:c>
      <x:c r="E201" s="115" t="n">
        <x:v>46</x:v>
      </x:c>
      <x:c r="F201" s="115" t="str">
        <x:v>Inspection physique</x:v>
      </x:c>
      <x:c r="G201" s="115" t="str">
        <x:v>1 niveaux ; 26 pièces ; 198 segments de mur ; 0 transitions. Inspection physique ; architecture complète encore ouverte.</x:v>
      </x:c>
      <x:c r="H201" s="115" t="str">
        <x:v>L 298 ; l 264 ; hauteur 4,4 m ; choix de composition auteur ; dimensions réelles à documenter</x:v>
      </x:c>
      <x:c r="I201" s="115" t="str">
        <x:v>À équilibrer</x:v>
      </x:c>
      <x:c r="J201" s="115" t="str">
        <x:v>Non</x:v>
      </x:c>
      <x:c r="K201" s="115" t="str">
        <x:v>Pièces décrites, murs, portes, niveaux et mobilier inspectables à l’échelle. Volumes réservés, raccord au seed, butin, rencontres et services de campagne restent à terminer.</x:v>
      </x:c>
    </x:row>
    <x:row r="202" ht="96" customHeight="1">
      <x:c r="A202" s="115" t="str">
        <x:v>EXT-MONDE-T004-V47</x:v>
      </x:c>
      <x:c r="B202" s="115" t="str">
        <x:v>EXT-MONDE-T004</x:v>
      </x:c>
      <x:c r="C202" s="115" t="str">
        <x:v>Lacs</x:v>
      </x:c>
      <x:c r="D202" s="115" t="str">
        <x:v>Camping de rive</x:v>
      </x:c>
      <x:c r="E202" s="115" t="n">
        <x:v>47</x:v>
      </x:c>
      <x:c r="F202" s="115" t="str">
        <x:v>Inspection physique</x:v>
      </x:c>
      <x:c r="G202" s="115" t="str">
        <x:v>1 niveaux ; 26 pièces ; 198 segments de mur ; 0 transitions. Inspection physique ; architecture complète encore ouverte.</x:v>
      </x:c>
      <x:c r="H202" s="115" t="str">
        <x:v>L 298 ; l 264 ; hauteur 4,4 m ; choix de composition auteur ; dimensions réelles à documenter</x:v>
      </x:c>
      <x:c r="I202" s="115" t="str">
        <x:v>À équilibrer</x:v>
      </x:c>
      <x:c r="J202" s="115" t="str">
        <x:v>Non</x:v>
      </x:c>
      <x:c r="K202" s="115" t="str">
        <x:v>Pièces décrites, murs, portes, niveaux et mobilier inspectables à l’échelle. Volumes réservés, raccord au seed, butin, rencontres et services de campagne restent à terminer.</x:v>
      </x:c>
    </x:row>
    <x:row r="203" ht="96" customHeight="1">
      <x:c r="A203" s="115" t="str">
        <x:v>EXT-MONDE-T004-V48</x:v>
      </x:c>
      <x:c r="B203" s="115" t="str">
        <x:v>EXT-MONDE-T004</x:v>
      </x:c>
      <x:c r="C203" s="115" t="str">
        <x:v>Lacs</x:v>
      </x:c>
      <x:c r="D203" s="115" t="str">
        <x:v>Camping de rive</x:v>
      </x:c>
      <x:c r="E203" s="115" t="n">
        <x:v>48</x:v>
      </x:c>
      <x:c r="F203" s="115" t="str">
        <x:v>Inspection physique</x:v>
      </x:c>
      <x:c r="G203" s="115" t="str">
        <x:v>1 niveaux ; 26 pièces ; 198 segments de mur ; 0 transitions. Inspection physique ; architecture complète encore ouverte.</x:v>
      </x:c>
      <x:c r="H203" s="115" t="str">
        <x:v>L 298 ; l 264 ; hauteur 4,4 m ; choix de composition auteur ; dimensions réelles à documenter</x:v>
      </x:c>
      <x:c r="I203" s="115" t="str">
        <x:v>À équilibrer</x:v>
      </x:c>
      <x:c r="J203" s="115" t="str">
        <x:v>Non</x:v>
      </x:c>
      <x:c r="K203" s="115" t="str">
        <x:v>Pièces décrites, murs, portes, niveaux et mobilier inspectables à l’échelle. Volumes réservés, raccord au seed, butin, rencontres et services de campagne restent à terminer.</x:v>
      </x:c>
    </x:row>
    <x:row r="204" ht="96" customHeight="1">
      <x:c r="A204" s="115" t="str">
        <x:v>EXT-MONDE-T004-V49</x:v>
      </x:c>
      <x:c r="B204" s="115" t="str">
        <x:v>EXT-MONDE-T004</x:v>
      </x:c>
      <x:c r="C204" s="115" t="str">
        <x:v>Lacs</x:v>
      </x:c>
      <x:c r="D204" s="115" t="str">
        <x:v>Camping de rive</x:v>
      </x:c>
      <x:c r="E204" s="115" t="n">
        <x:v>49</x:v>
      </x:c>
      <x:c r="F204" s="115" t="str">
        <x:v>Inspection physique</x:v>
      </x:c>
      <x:c r="G204" s="115" t="str">
        <x:v>1 niveaux ; 26 pièces ; 198 segments de mur ; 0 transitions. Inspection physique ; architecture complète encore ouverte.</x:v>
      </x:c>
      <x:c r="H204" s="115" t="str">
        <x:v>L 298 ; l 264 ; hauteur 4,4 m ; choix de composition auteur ; dimensions réelles à documenter</x:v>
      </x:c>
      <x:c r="I204" s="115" t="str">
        <x:v>À équilibrer</x:v>
      </x:c>
      <x:c r="J204" s="115" t="str">
        <x:v>Non</x:v>
      </x:c>
      <x:c r="K204" s="115" t="str">
        <x:v>Pièces décrites, murs, portes, niveaux et mobilier inspectables à l’échelle. Volumes réservés, raccord au seed, butin, rencontres et services de campagne restent à terminer.</x:v>
      </x:c>
    </x:row>
    <x:row r="205" ht="96" customHeight="1">
      <x:c r="A205" s="115" t="str">
        <x:v>EXT-MONDE-T004-V50</x:v>
      </x:c>
      <x:c r="B205" s="115" t="str">
        <x:v>EXT-MONDE-T004</x:v>
      </x:c>
      <x:c r="C205" s="115" t="str">
        <x:v>Lacs</x:v>
      </x:c>
      <x:c r="D205" s="115" t="str">
        <x:v>Camping de rive</x:v>
      </x:c>
      <x:c r="E205" s="115" t="n">
        <x:v>50</x:v>
      </x:c>
      <x:c r="F205" s="115" t="str">
        <x:v>Inspection physique</x:v>
      </x:c>
      <x:c r="G205" s="115" t="str">
        <x:v>1 niveaux ; 26 pièces ; 198 segments de mur ; 0 transitions. Inspection physique ; architecture complète encore ouverte.</x:v>
      </x:c>
      <x:c r="H205" s="115" t="str">
        <x:v>L 298 ; l 264 ; hauteur 4,4 m ; choix de composition auteur ; dimensions réelles à documenter</x:v>
      </x:c>
      <x:c r="I205" s="115" t="str">
        <x:v>À équilibrer</x:v>
      </x:c>
      <x:c r="J205" s="115" t="str">
        <x:v>Non</x:v>
      </x:c>
      <x:c r="K205" s="115" t="str">
        <x:v>Pièces décrites, murs, portes, niveaux et mobilier inspectables à l’échelle. Volumes réservés, raccord au seed, butin, rencontres et services de campagne restent à terminer.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86,6 ; l 15,2 ; hauteur inconnue ; tirant 6,55 ; hauteur émergée auteur 16,25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86,6 ; l 15,2 ; hauteur inconnue ; tirant 6,55 ; hauteur émergée auteur 16,25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86,6 ; l 15,2 ; hauteur inconnue ; tirant 6,55 ; hauteur émergée auteur 16,25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86,6 ; l 15,2 ; hauteur inconnue ; tirant 6,55 ; hauteur émergée auteur 16,25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86,6 ; l 15,2 ; hauteur inconnue ; tirant 6,55 ; hauteur émergée auteur 16,25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86,6 ; l 15,2 ; hauteur inconnue ; tirant 6,55 ; hauteur émergée auteur 16,25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86,6 ; l 15,2 ; hauteur inconnue ; tirant 6,55 ; hauteur émergée auteur 16,25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86,6 ; l 15,2 ; hauteur inconnue ; tirant 6,55 ; hauteur émergée auteur 16,25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86,6 ; l 15,2 ; hauteur inconnue ; tirant 6,55 ; hauteur émergée auteur 16,25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86,6 ; l 15,2 ; hauteur inconnue ; tirant 6,55 ; hauteur émergée auteur 16,25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86,6 ; l 15,2 ; hauteur inconnue ; tirant 6,55 ; hauteur émergée auteur 16,25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86,6 ; l 15,2 ; hauteur inconnue ; tirant 6,55 ; hauteur émergée auteur 16,25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86,6 ; l 15,2 ; hauteur inconnue ; tirant 6,55 ; hauteur émergée auteur 16,25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86,6 ; l 15,2 ; hauteur inconnue ; tirant 6,55 ; hauteur émergée auteur 16,25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86,6 ; l 15,2 ; hauteur inconnue ; tirant 6,55 ; hauteur émergée auteur 16,25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86,6 ; l 15,2 ; hauteur inconnue ; tirant 6,55 ; hauteur émergée auteur 16,25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86,6 ; l 15,2 ; hauteur inconnue ; tirant 6,55 ; hauteur émergée auteur 16,25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86,6 ; l 15,2 ; hauteur inconnue ; tirant 6,55 ; hauteur émergée auteur 16,25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86,6 ; l 15,2 ; hauteur inconnue ; tirant 6,55 ; hauteur émergée auteur 16,25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86,6 ; l 15,2 ; hauteur inconnue ; tirant 6,55 ; hauteur émergée auteur 16,25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86,6 ; l 15,2 ; hauteur inconnue ; tirant 6,55 ; hauteur émergée auteur 16,25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86,6 ; l 15,2 ; hauteur inconnue ; tirant 6,55 ; hauteur émergée auteur 16,25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86,6 ; l 15,2 ; hauteur inconnue ; tirant 6,55 ; hauteur émergée auteur 16,25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86,6 ; l 15,2 ; hauteur inconnue ; tirant 6,55 ; hauteur émergée auteur 16,25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86,6 ; l 15,2 ; hauteur inconnue ; tirant 6,55 ; hauteur émergée auteur 16,25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86,6 ; l 15,2 ; hauteur inconnue ; tirant 6,55 ; hauteur émergée auteur 16,25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86,6 ; l 15,2 ; hauteur inconnue ; tirant 6,55 ; hauteur émergée auteur 16,25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86,6 ; l 15,2 ; hauteur inconnue ; tirant 6,55 ; hauteur émergée auteur 16,25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86,6 ; l 15,2 ; hauteur inconnue ; tirant 6,55 ; hauteur émergée auteur 16,25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86,6 ; l 15,2 ; hauteur inconnue ; tirant 6,55 ; hauteur émergée auteur 16,25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86,6 ; l 15,2 ; hauteur inconnue ; tirant 6,55 ; hauteur émergée auteur 16,25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86,6 ; l 15,2 ; hauteur inconnue ; tirant 6,55 ; hauteur émergée auteur 16,25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86,6 ; l 15,2 ; hauteur inconnue ; tirant 6,55 ; hauteur émergée auteur 16,25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86,6 ; l 15,2 ; hauteur inconnue ; tirant 6,55 ; hauteur émergée auteur 16,25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86,6 ; l 15,2 ; hauteur inconnue ; tirant 6,55 ; hauteur émergée auteur 16,25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86,6 ; l 15,2 ; hauteur inconnue ; tirant 6,55 ; hauteur émergée auteur 16,25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86,6 ; l 15,2 ; hauteur inconnue ; tirant 6,55 ; hauteur émergée auteur 16,25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86,6 ; l 15,2 ; hauteur inconnue ; tirant 6,55 ; hauteur émergée auteur 16,25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86,6 ; l 15,2 ; hauteur inconnue ; tirant 6,55 ; hauteur émergée auteur 16,25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86,6 ; l 15,2 ; hauteur inconnue ; tirant 6,55 ; hauteur émergée auteur 16,25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86,6 ; l 15,2 ; hauteur inconnue ; tirant 6,55 ; hauteur émergée auteur 16,25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86,6 ; l 15,2 ; hauteur inconnue ; tirant 6,55 ; hauteur émergée auteur 16,25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86,6 ; l 15,2 ; hauteur inconnue ; tirant 6,55 ; hauteur émergée auteur 16,25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86,6 ; l 15,2 ; hauteur inconnue ; tirant 6,55 ; hauteur émergée auteur 16,25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86,6 ; l 15,2 ; hauteur inconnue ; tirant 6,55 ; hauteur émergée auteur 16,25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86,6 ; l 15,2 ; hauteur inconnue ; tirant 6,55 ; hauteur émergée auteur 16,25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86,6 ; l 15,2 ; hauteur inconnue ; tirant 6,55 ; hauteur émergée auteur 16,25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86,6 ; l 15,2 ; hauteur inconnue ; tirant 6,55 ; hauteur émergée auteur 16,25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86,6 ; l 15,2 ; hauteur inconnue ; tirant 6,55 ; hauteur émergée auteur 16,25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86,6 ; l 15,2 ; hauteur inconnue ; tirant 6,55 ; hauteur émergée auteur 16,25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183,06 ; l 32,2 ; hauteur inconnue ; tirant 13,258 ; hauteur émergée auteur 16,742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183,06 ; l 32,2 ; hauteur inconnue ; tirant 13,258 ; hauteur émergée auteur 16,742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183,06 ; l 32,2 ; hauteur inconnue ; tirant 13,258 ; hauteur émergée auteur 16,742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183,06 ; l 32,2 ; hauteur inconnue ; tirant 13,258 ; hauteur émergée auteur 16,742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183,06 ; l 32,2 ; hauteur inconnue ; tirant 13,258 ; hauteur émergée auteur 16,742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183,06 ; l 32,2 ; hauteur inconnue ; tirant 13,258 ; hauteur émergée auteur 16,742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183,06 ; l 32,2 ; hauteur inconnue ; tirant 13,258 ; hauteur émergée auteur 16,742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183,06 ; l 32,2 ; hauteur inconnue ; tirant 13,258 ; hauteur émergée auteur 16,742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183,06 ; l 32,2 ; hauteur inconnue ; tirant 13,258 ; hauteur émergée auteur 16,742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183,06 ; l 32,2 ; hauteur inconnue ; tirant 13,258 ; hauteur émergée auteur 16,742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183,06 ; l 32,2 ; hauteur inconnue ; tirant 13,258 ; hauteur émergée auteur 16,742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183,06 ; l 32,2 ; hauteur inconnue ; tirant 13,258 ; hauteur émergée auteur 16,742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183,06 ; l 32,2 ; hauteur inconnue ; tirant 13,258 ; hauteur émergée auteur 16,742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183,06 ; l 32,2 ; hauteur inconnue ; tirant 13,258 ; hauteur émergée auteur 16,742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183,06 ; l 32,2 ; hauteur inconnue ; tirant 13,258 ; hauteur émergée auteur 16,742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183,06 ; l 32,2 ; hauteur inconnue ; tirant 13,258 ; hauteur émergée auteur 16,742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183,06 ; l 32,2 ; hauteur inconnue ; tirant 13,258 ; hauteur émergée auteur 16,742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183,06 ; l 32,2 ; hauteur inconnue ; tirant 13,258 ; hauteur émergée auteur 16,742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183,06 ; l 32,2 ; hauteur inconnue ; tirant 13,258 ; hauteur émergée auteur 16,742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183,06 ; l 32,2 ; hauteur inconnue ; tirant 13,258 ; hauteur émergée auteur 16,742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183,06 ; l 32,2 ; hauteur inconnue ; tirant 13,258 ; hauteur émergée auteur 16,742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183,06 ; l 32,2 ; hauteur inconnue ; tirant 13,258 ; hauteur émergée auteur 16,742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183,06 ; l 32,2 ; hauteur inconnue ; tirant 13,258 ; hauteur émergée auteur 16,742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183,06 ; l 32,2 ; hauteur inconnue ; tirant 13,258 ; hauteur émergée auteur 16,742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183,06 ; l 32,2 ; hauteur inconnue ; tirant 13,258 ; hauteur émergée auteur 16,742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183,06 ; l 32,2 ; hauteur inconnue ; tirant 13,258 ; hauteur émergée auteur 16,742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183,06 ; l 32,2 ; hauteur inconnue ; tirant 13,258 ; hauteur émergée auteur 16,742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183,06 ; l 32,2 ; hauteur inconnue ; tirant 13,258 ; hauteur émergée auteur 16,742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183,06 ; l 32,2 ; hauteur inconnue ; tirant 13,258 ; hauteur émergée auteur 16,742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183,06 ; l 32,2 ; hauteur inconnue ; tirant 13,258 ; hauteur émergée auteur 16,742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183,06 ; l 32,2 ; hauteur inconnue ; tirant 13,258 ; hauteur émergée auteur 16,742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183,06 ; l 32,2 ; hauteur inconnue ; tirant 13,258 ; hauteur émergée auteur 16,742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183,06 ; l 32,2 ; hauteur inconnue ; tirant 13,258 ; hauteur émergée auteur 16,742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183,06 ; l 32,2 ; hauteur inconnue ; tirant 13,258 ; hauteur émergée auteur 16,742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183,06 ; l 32,2 ; hauteur inconnue ; tirant 13,258 ; hauteur émergée auteur 16,742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183,06 ; l 32,2 ; hauteur inconnue ; tirant 13,258 ; hauteur émergée auteur 16,742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183,06 ; l 32,2 ; hauteur inconnue ; tirant 13,258 ; hauteur émergée auteur 16,742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183,06 ; l 32,2 ; hauteur inconnue ; tirant 13,258 ; hauteur émergée auteur 16,742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183,06 ; l 32,2 ; hauteur inconnue ; tirant 13,258 ; hauteur émergée auteur 16,742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183,06 ; l 32,2 ; hauteur inconnue ; tirant 13,258 ; hauteur émergée auteur 16,742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183,06 ; l 32,2 ; hauteur inconnue ; tirant 13,258 ; hauteur émergée auteur 16,742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183,06 ; l 32,2 ; hauteur inconnue ; tirant 13,258 ; hauteur émergée auteur 16,742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183,06 ; l 32,2 ; hauteur inconnue ; tirant 13,258 ; hauteur émergée auteur 16,742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183,06 ; l 32,2 ; hauteur inconnue ; tirant 13,258 ; hauteur émergée auteur 16,742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183,06 ; l 32,2 ; hauteur inconnue ; tirant 13,258 ; hauteur émergée auteur 16,742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183,06 ; l 32,2 ; hauteur inconnue ; tirant 13,258 ; hauteur émergée auteur 16,742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183,06 ; l 32,2 ; hauteur inconnue ; tirant 13,258 ; hauteur émergée auteur 16,742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183,06 ; l 32,2 ; hauteur inconnue ; tirant 13,258 ; hauteur émergée auteur 16,742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183,06 ; l 32,2 ; hauteur inconnue ; tirant 13,258 ; hauteur émergée auteur 16,742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183,06 ; l 32,2 ; hauteur inconnue ; tirant 13,258 ; hauteur émergée auteur 16,742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185,928 ; l 20,117 ; hauteur inconnue ; tirant 7,62 ; hauteur émergée auteur 10,18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185,928 ; l 20,117 ; hauteur inconnue ; tirant 7,62 ; hauteur émergée auteur 10,18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185,928 ; l 20,117 ; hauteur inconnue ; tirant 7,62 ; hauteur émergée auteur 10,18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185,928 ; l 20,117 ; hauteur inconnue ; tirant 7,62 ; hauteur émergée auteur 10,18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185,928 ; l 20,117 ; hauteur inconnue ; tirant 7,62 ; hauteur émergée auteur 10,18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185,928 ; l 20,117 ; hauteur inconnue ; tirant 7,62 ; hauteur émergée auteur 10,18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185,928 ; l 20,117 ; hauteur inconnue ; tirant 7,62 ; hauteur émergée auteur 10,18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185,928 ; l 20,117 ; hauteur inconnue ; tirant 7,62 ; hauteur émergée auteur 10,18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185,928 ; l 20,117 ; hauteur inconnue ; tirant 7,62 ; hauteur émergée auteur 10,18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185,928 ; l 20,117 ; hauteur inconnue ; tirant 7,62 ; hauteur émergée auteur 10,18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185,928 ; l 20,117 ; hauteur inconnue ; tirant 7,62 ; hauteur émergée auteur 10,18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185,928 ; l 20,117 ; hauteur inconnue ; tirant 7,62 ; hauteur émergée auteur 10,18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185,928 ; l 20,117 ; hauteur inconnue ; tirant 7,62 ; hauteur émergée auteur 10,18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185,928 ; l 20,117 ; hauteur inconnue ; tirant 7,62 ; hauteur émergée auteur 10,18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185,928 ; l 20,117 ; hauteur inconnue ; tirant 7,62 ; hauteur émergée auteur 10,18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185,928 ; l 20,117 ; hauteur inconnue ; tirant 7,62 ; hauteur émergée auteur 10,18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185,928 ; l 20,117 ; hauteur inconnue ; tirant 7,62 ; hauteur émergée auteur 10,18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185,928 ; l 20,117 ; hauteur inconnue ; tirant 7,62 ; hauteur émergée auteur 10,18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185,928 ; l 20,117 ; hauteur inconnue ; tirant 7,62 ; hauteur émergée auteur 10,18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185,928 ; l 20,117 ; hauteur inconnue ; tirant 7,62 ; hauteur émergée auteur 10,18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185,928 ; l 20,117 ; hauteur inconnue ; tirant 7,62 ; hauteur émergée auteur 10,18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185,928 ; l 20,117 ; hauteur inconnue ; tirant 7,62 ; hauteur émergée auteur 10,18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185,928 ; l 20,117 ; hauteur inconnue ; tirant 7,62 ; hauteur émergée auteur 10,18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185,928 ; l 20,117 ; hauteur inconnue ; tirant 7,62 ; hauteur émergée auteur 10,18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185,928 ; l 20,117 ; hauteur inconnue ; tirant 7,62 ; hauteur émergée auteur 10,18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185,928 ; l 20,117 ; hauteur inconnue ; tirant 7,62 ; hauteur émergée auteur 10,18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185,928 ; l 20,117 ; hauteur inconnue ; tirant 7,62 ; hauteur émergée auteur 10,18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185,928 ; l 20,117 ; hauteur inconnue ; tirant 7,62 ; hauteur émergée auteur 10,18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185,928 ; l 20,117 ; hauteur inconnue ; tirant 7,62 ; hauteur émergée auteur 10,18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185,928 ; l 20,117 ; hauteur inconnue ; tirant 7,62 ; hauteur émergée auteur 10,18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185,928 ; l 20,117 ; hauteur inconnue ; tirant 7,62 ; hauteur émergée auteur 10,18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185,928 ; l 20,117 ; hauteur inconnue ; tirant 7,62 ; hauteur émergée auteur 10,18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185,928 ; l 20,117 ; hauteur inconnue ; tirant 7,62 ; hauteur émergée auteur 10,18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185,928 ; l 20,117 ; hauteur inconnue ; tirant 7,62 ; hauteur émergée auteur 10,18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185,928 ; l 20,117 ; hauteur inconnue ; tirant 7,62 ; hauteur émergée auteur 10,18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185,928 ; l 20,117 ; hauteur inconnue ; tirant 7,62 ; hauteur émergée auteur 10,18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185,928 ; l 20,117 ; hauteur inconnue ; tirant 7,62 ; hauteur émergée auteur 10,18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185,928 ; l 20,117 ; hauteur inconnue ; tirant 7,62 ; hauteur émergée auteur 10,18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185,928 ; l 20,117 ; hauteur inconnue ; tirant 7,62 ; hauteur émergée auteur 10,18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185,928 ; l 20,117 ; hauteur inconnue ; tirant 7,62 ; hauteur émergée auteur 10,18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185,928 ; l 20,117 ; hauteur inconnue ; tirant 7,62 ; hauteur émergée auteur 10,18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185,928 ; l 20,117 ; hauteur inconnue ; tirant 7,62 ; hauteur émergée auteur 10,18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185,928 ; l 20,117 ; hauteur inconnue ; tirant 7,62 ; hauteur émergée auteur 10,18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185,928 ; l 20,117 ; hauteur inconnue ; tirant 7,62 ; hauteur émergée auteur 10,18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185,928 ; l 20,117 ; hauteur inconnue ; tirant 7,62 ; hauteur émergée auteur 10,18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185,928 ; l 20,117 ; hauteur inconnue ; tirant 7,62 ; hauteur émergée auteur 10,18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185,928 ; l 20,117 ; hauteur inconnue ; tirant 7,62 ; hauteur émergée auteur 10,18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185,928 ; l 20,117 ; hauteur inconnue ; tirant 7,62 ; hauteur émergée auteur 10,18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185,928 ; l 20,117 ; hauteur inconnue ; tirant 7,62 ; hauteur émergée auteur 10,18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185,928 ; l 20,117 ; hauteur inconnue ; tirant 7,62 ; hauteur émergée auteur 10,18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94,996 ; l 8,306 ; hauteur inconnue ; tirant 4,699 ; hauteur émergée auteur 5,601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94,996 ; l 8,306 ; hauteur inconnue ; tirant 4,699 ; hauteur émergée auteur 5,601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94,996 ; l 8,306 ; hauteur inconnue ; tirant 4,699 ; hauteur émergée auteur 5,601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94,996 ; l 8,306 ; hauteur inconnue ; tirant 4,699 ; hauteur émergée auteur 5,601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94,996 ; l 8,306 ; hauteur inconnue ; tirant 4,699 ; hauteur émergée auteur 5,601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94,996 ; l 8,306 ; hauteur inconnue ; tirant 4,699 ; hauteur émergée auteur 5,601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94,996 ; l 8,306 ; hauteur inconnue ; tirant 4,699 ; hauteur émergée auteur 5,601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94,996 ; l 8,306 ; hauteur inconnue ; tirant 4,699 ; hauteur émergée auteur 5,601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94,996 ; l 8,306 ; hauteur inconnue ; tirant 4,699 ; hauteur émergée auteur 5,601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94,996 ; l 8,306 ; hauteur inconnue ; tirant 4,699 ; hauteur émergée auteur 5,601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94,996 ; l 8,306 ; hauteur inconnue ; tirant 4,699 ; hauteur émergée auteur 5,601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94,996 ; l 8,306 ; hauteur inconnue ; tirant 4,699 ; hauteur émergée auteur 5,601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94,996 ; l 8,306 ; hauteur inconnue ; tirant 4,699 ; hauteur émergée auteur 5,601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94,996 ; l 8,306 ; hauteur inconnue ; tirant 4,699 ; hauteur émergée auteur 5,601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94,996 ; l 8,306 ; hauteur inconnue ; tirant 4,699 ; hauteur émergée auteur 5,601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94,996 ; l 8,306 ; hauteur inconnue ; tirant 4,699 ; hauteur émergée auteur 5,601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94,996 ; l 8,306 ; hauteur inconnue ; tirant 4,699 ; hauteur émergée auteur 5,601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94,996 ; l 8,306 ; hauteur inconnue ; tirant 4,699 ; hauteur émergée auteur 5,601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94,996 ; l 8,306 ; hauteur inconnue ; tirant 4,699 ; hauteur émergée auteur 5,601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94,996 ; l 8,306 ; hauteur inconnue ; tirant 4,699 ; hauteur émergée auteur 5,601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94,996 ; l 8,306 ; hauteur inconnue ; tirant 4,699 ; hauteur émergée auteur 5,601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94,996 ; l 8,306 ; hauteur inconnue ; tirant 4,699 ; hauteur émergée auteur 5,601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94,996 ; l 8,306 ; hauteur inconnue ; tirant 4,699 ; hauteur émergée auteur 5,601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94,996 ; l 8,306 ; hauteur inconnue ; tirant 4,699 ; hauteur émergée auteur 5,601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94,996 ; l 8,306 ; hauteur inconnue ; tirant 4,699 ; hauteur émergée auteur 5,601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94,996 ; l 8,306 ; hauteur inconnue ; tirant 4,699 ; hauteur émergée auteur 5,601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94,996 ; l 8,306 ; hauteur inconnue ; tirant 4,699 ; hauteur émergée auteur 5,601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94,996 ; l 8,306 ; hauteur inconnue ; tirant 4,699 ; hauteur émergée auteur 5,601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94,996 ; l 8,306 ; hauteur inconnue ; tirant 4,699 ; hauteur émergée auteur 5,601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94,996 ; l 8,306 ; hauteur inconnue ; tirant 4,699 ; hauteur émergée auteur 5,601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94,996 ; l 8,306 ; hauteur inconnue ; tirant 4,699 ; hauteur émergée auteur 5,601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94,996 ; l 8,306 ; hauteur inconnue ; tirant 4,699 ; hauteur émergée auteur 5,601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94,996 ; l 8,306 ; hauteur inconnue ; tirant 4,699 ; hauteur émergée auteur 5,601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94,996 ; l 8,306 ; hauteur inconnue ; tirant 4,699 ; hauteur émergée auteur 5,601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94,996 ; l 8,306 ; hauteur inconnue ; tirant 4,699 ; hauteur émergée auteur 5,601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94,996 ; l 8,306 ; hauteur inconnue ; tirant 4,699 ; hauteur émergée auteur 5,601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94,996 ; l 8,306 ; hauteur inconnue ; tirant 4,699 ; hauteur émergée auteur 5,601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94,996 ; l 8,306 ; hauteur inconnue ; tirant 4,699 ; hauteur émergée auteur 5,601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94,996 ; l 8,306 ; hauteur inconnue ; tirant 4,699 ; hauteur émergée auteur 5,601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94,996 ; l 8,306 ; hauteur inconnue ; tirant 4,699 ; hauteur émergée auteur 5,601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94,996 ; l 8,306 ; hauteur inconnue ; tirant 4,699 ; hauteur émergée auteur 5,601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94,996 ; l 8,306 ; hauteur inconnue ; tirant 4,699 ; hauteur émergée auteur 5,601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94,996 ; l 8,306 ; hauteur inconnue ; tirant 4,699 ; hauteur émergée auteur 5,601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94,996 ; l 8,306 ; hauteur inconnue ; tirant 4,699 ; hauteur émergée auteur 5,601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94,996 ; l 8,306 ; hauteur inconnue ; tirant 4,699 ; hauteur émergée auteur 5,601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94,996 ; l 8,306 ; hauteur inconnue ; tirant 4,699 ; hauteur émergée auteur 5,601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94,996 ; l 8,306 ; hauteur inconnue ; tirant 4,699 ; hauteur émergée auteur 5,601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94,996 ; l 8,306 ; hauteur inconnue ; tirant 4,699 ; hauteur émergée auteur 5,601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94,996 ; l 8,306 ; hauteur inconnue ; tirant 4,699 ; hauteur émergée auteur 5,601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94,996 ; l 8,306 ; hauteur inconnue ; tirant 4,699 ; hauteur émergée auteur 5,601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 ht="96" customHeight="1">
      <x:c r="A406" s="115" t="str">
        <x:v>EXT-MONDE-T009-V01</x:v>
      </x:c>
      <x:c r="B406" s="115" t="str">
        <x:v>EXT-MONDE-T009</x:v>
      </x:c>
      <x:c r="C406" s="115" t="str">
        <x:v>Offshore</x:v>
      </x:c>
      <x:c r="D406" s="115" t="str">
        <x:v>Plateforme pétrolière fixe</x:v>
      </x:c>
      <x:c r="E406" s="115" t="n">
        <x:v>1</x:v>
      </x:c>
      <x:c r="F406" s="115" t="str">
        <x:v>Inspection physique</x:v>
      </x:c>
      <x:c r="G406" s="115" t="str">
        <x:v>1 niveaux ; 34 pièces ; 260 segments de mur ; 0 transitions. Inspection physique ; architecture complète encore ouverte.</x:v>
      </x:c>
      <x:c r="H406" s="115" t="str">
        <x:v>L 356 ; l 296 ; hauteur 52 m ; choix de composition auteur ; dimensions réelles à documenter</x:v>
      </x:c>
      <x:c r="I406" s="115" t="str">
        <x:v>À équilibrer</x:v>
      </x:c>
      <x:c r="J406" s="115" t="str">
        <x:v>Non</x:v>
      </x:c>
      <x:c r="K406" s="115" t="str">
        <x:v>Pièces décrites, murs, portes, niveaux et mobilier inspectables à l’échelle. Volumes réservés, raccord au seed, butin, rencontres et services de campagne restent à terminer.</x:v>
      </x:c>
    </x:row>
    <x:row r="407" ht="96" customHeight="1">
      <x:c r="A407" s="115" t="str">
        <x:v>EXT-MONDE-T009-V02</x:v>
      </x:c>
      <x:c r="B407" s="115" t="str">
        <x:v>EXT-MONDE-T009</x:v>
      </x:c>
      <x:c r="C407" s="115" t="str">
        <x:v>Offshore</x:v>
      </x:c>
      <x:c r="D407" s="115" t="str">
        <x:v>Plateforme pétrolière fixe</x:v>
      </x:c>
      <x:c r="E407" s="115" t="n">
        <x:v>2</x:v>
      </x:c>
      <x:c r="F407" s="115" t="str">
        <x:v>Inspection physique</x:v>
      </x:c>
      <x:c r="G407" s="115" t="str">
        <x:v>1 niveaux ; 34 pièces ; 260 segments de mur ; 0 transitions. Inspection physique ; architecture complète encore ouverte.</x:v>
      </x:c>
      <x:c r="H407" s="115" t="str">
        <x:v>L 356 ; l 296 ; hauteur 52 m ; choix de composition auteur ; dimensions réelles à documenter</x:v>
      </x:c>
      <x:c r="I407" s="115" t="str">
        <x:v>À équilibrer</x:v>
      </x:c>
      <x:c r="J407" s="115" t="str">
        <x:v>Non</x:v>
      </x:c>
      <x:c r="K407" s="115" t="str">
        <x:v>Pièces décrites, murs, portes, niveaux et mobilier inspectables à l’échelle. Volumes réservés, raccord au seed, butin, rencontres et services de campagne restent à terminer.</x:v>
      </x:c>
    </x:row>
    <x:row r="408" ht="96" customHeight="1">
      <x:c r="A408" s="115" t="str">
        <x:v>EXT-MONDE-T009-V03</x:v>
      </x:c>
      <x:c r="B408" s="115" t="str">
        <x:v>EXT-MONDE-T009</x:v>
      </x:c>
      <x:c r="C408" s="115" t="str">
        <x:v>Offshore</x:v>
      </x:c>
      <x:c r="D408" s="115" t="str">
        <x:v>Plateforme pétrolière fixe</x:v>
      </x:c>
      <x:c r="E408" s="115" t="n">
        <x:v>3</x:v>
      </x:c>
      <x:c r="F408" s="115" t="str">
        <x:v>Inspection physique</x:v>
      </x:c>
      <x:c r="G408" s="115" t="str">
        <x:v>1 niveaux ; 34 pièces ; 260 segments de mur ; 0 transitions. Inspection physique ; architecture complète encore ouverte.</x:v>
      </x:c>
      <x:c r="H408" s="115" t="str">
        <x:v>L 356 ; l 296 ; hauteur 52 m ; choix de composition auteur ; dimensions réelles à documenter</x:v>
      </x:c>
      <x:c r="I408" s="115" t="str">
        <x:v>À équilibrer</x:v>
      </x:c>
      <x:c r="J408" s="115" t="str">
        <x:v>Non</x:v>
      </x:c>
      <x:c r="K408" s="115" t="str">
        <x:v>Pièces décrites, murs, portes, niveaux et mobilier inspectables à l’échelle. Volumes réservés, raccord au seed, butin, rencontres et services de campagne restent à terminer.</x:v>
      </x:c>
    </x:row>
    <x:row r="409" ht="96" customHeight="1">
      <x:c r="A409" s="115" t="str">
        <x:v>EXT-MONDE-T009-V04</x:v>
      </x:c>
      <x:c r="B409" s="115" t="str">
        <x:v>EXT-MONDE-T009</x:v>
      </x:c>
      <x:c r="C409" s="115" t="str">
        <x:v>Offshore</x:v>
      </x:c>
      <x:c r="D409" s="115" t="str">
        <x:v>Plateforme pétrolière fixe</x:v>
      </x:c>
      <x:c r="E409" s="115" t="n">
        <x:v>4</x:v>
      </x:c>
      <x:c r="F409" s="115" t="str">
        <x:v>Inspection physique</x:v>
      </x:c>
      <x:c r="G409" s="115" t="str">
        <x:v>1 niveaux ; 34 pièces ; 260 segments de mur ; 0 transitions. Inspection physique ; architecture complète encore ouverte.</x:v>
      </x:c>
      <x:c r="H409" s="115" t="str">
        <x:v>L 356 ; l 296 ; hauteur 52 m ; choix de composition auteur ; dimensions réelles à documenter</x:v>
      </x:c>
      <x:c r="I409" s="115" t="str">
        <x:v>À équilibrer</x:v>
      </x:c>
      <x:c r="J409" s="115" t="str">
        <x:v>Non</x:v>
      </x:c>
      <x:c r="K409" s="115" t="str">
        <x:v>Pièces décrites, murs, portes, niveaux et mobilier inspectables à l’échelle. Volumes réservés, raccord au seed, butin, rencontres et services de campagne restent à terminer.</x:v>
      </x:c>
    </x:row>
    <x:row r="410" ht="96" customHeight="1">
      <x:c r="A410" s="115" t="str">
        <x:v>EXT-MONDE-T009-V05</x:v>
      </x:c>
      <x:c r="B410" s="115" t="str">
        <x:v>EXT-MONDE-T009</x:v>
      </x:c>
      <x:c r="C410" s="115" t="str">
        <x:v>Offshore</x:v>
      </x:c>
      <x:c r="D410" s="115" t="str">
        <x:v>Plateforme pétrolière fixe</x:v>
      </x:c>
      <x:c r="E410" s="115" t="n">
        <x:v>5</x:v>
      </x:c>
      <x:c r="F410" s="115" t="str">
        <x:v>Inspection physique</x:v>
      </x:c>
      <x:c r="G410" s="115" t="str">
        <x:v>1 niveaux ; 34 pièces ; 260 segments de mur ; 0 transitions. Inspection physique ; architecture complète encore ouverte.</x:v>
      </x:c>
      <x:c r="H410" s="115" t="str">
        <x:v>L 356 ; l 296 ; hauteur 52 m ; choix de composition auteur ; dimensions réelles à documenter</x:v>
      </x:c>
      <x:c r="I410" s="115" t="str">
        <x:v>À équilibrer</x:v>
      </x:c>
      <x:c r="J410" s="115" t="str">
        <x:v>Non</x:v>
      </x:c>
      <x:c r="K410" s="115" t="str">
        <x:v>Pièces décrites, murs, portes, niveaux et mobilier inspectables à l’échelle. Volumes réservés, raccord au seed, butin, rencontres et services de campagne restent à terminer.</x:v>
      </x:c>
    </x:row>
    <x:row r="411" ht="96" customHeight="1">
      <x:c r="A411" s="115" t="str">
        <x:v>EXT-MONDE-T009-V06</x:v>
      </x:c>
      <x:c r="B411" s="115" t="str">
        <x:v>EXT-MONDE-T009</x:v>
      </x:c>
      <x:c r="C411" s="115" t="str">
        <x:v>Offshore</x:v>
      </x:c>
      <x:c r="D411" s="115" t="str">
        <x:v>Plateforme pétrolière fixe</x:v>
      </x:c>
      <x:c r="E411" s="115" t="n">
        <x:v>6</x:v>
      </x:c>
      <x:c r="F411" s="115" t="str">
        <x:v>Inspection physique</x:v>
      </x:c>
      <x:c r="G411" s="115" t="str">
        <x:v>1 niveaux ; 34 pièces ; 260 segments de mur ; 0 transitions. Inspection physique ; architecture complète encore ouverte.</x:v>
      </x:c>
      <x:c r="H411" s="115" t="str">
        <x:v>L 356 ; l 296 ; hauteur 52 m ; choix de composition auteur ; dimensions réelles à documenter</x:v>
      </x:c>
      <x:c r="I411" s="115" t="str">
        <x:v>À équilibrer</x:v>
      </x:c>
      <x:c r="J411" s="115" t="str">
        <x:v>Non</x:v>
      </x:c>
      <x:c r="K411" s="115" t="str">
        <x:v>Pièces décrites, murs, portes, niveaux et mobilier inspectables à l’échelle. Volumes réservés, raccord au seed, butin, rencontres et services de campagne restent à terminer.</x:v>
      </x:c>
    </x:row>
    <x:row r="412" ht="96" customHeight="1">
      <x:c r="A412" s="115" t="str">
        <x:v>EXT-MONDE-T009-V07</x:v>
      </x:c>
      <x:c r="B412" s="115" t="str">
        <x:v>EXT-MONDE-T009</x:v>
      </x:c>
      <x:c r="C412" s="115" t="str">
        <x:v>Offshore</x:v>
      </x:c>
      <x:c r="D412" s="115" t="str">
        <x:v>Plateforme pétrolière fixe</x:v>
      </x:c>
      <x:c r="E412" s="115" t="n">
        <x:v>7</x:v>
      </x:c>
      <x:c r="F412" s="115" t="str">
        <x:v>Inspection physique</x:v>
      </x:c>
      <x:c r="G412" s="115" t="str">
        <x:v>1 niveaux ; 34 pièces ; 260 segments de mur ; 0 transitions. Inspection physique ; architecture complète encore ouverte.</x:v>
      </x:c>
      <x:c r="H412" s="115" t="str">
        <x:v>L 356 ; l 296 ; hauteur 52 m ; choix de composition auteur ; dimensions réelles à documenter</x:v>
      </x:c>
      <x:c r="I412" s="115" t="str">
        <x:v>À équilibrer</x:v>
      </x:c>
      <x:c r="J412" s="115" t="str">
        <x:v>Non</x:v>
      </x:c>
      <x:c r="K412" s="115" t="str">
        <x:v>Pièces décrites, murs, portes, niveaux et mobilier inspectables à l’échelle. Volumes réservés, raccord au seed, butin, rencontres et services de campagne restent à terminer.</x:v>
      </x:c>
    </x:row>
    <x:row r="413" ht="96" customHeight="1">
      <x:c r="A413" s="115" t="str">
        <x:v>EXT-MONDE-T009-V08</x:v>
      </x:c>
      <x:c r="B413" s="115" t="str">
        <x:v>EXT-MONDE-T009</x:v>
      </x:c>
      <x:c r="C413" s="115" t="str">
        <x:v>Offshore</x:v>
      </x:c>
      <x:c r="D413" s="115" t="str">
        <x:v>Plateforme pétrolière fixe</x:v>
      </x:c>
      <x:c r="E413" s="115" t="n">
        <x:v>8</x:v>
      </x:c>
      <x:c r="F413" s="115" t="str">
        <x:v>Inspection physique</x:v>
      </x:c>
      <x:c r="G413" s="115" t="str">
        <x:v>1 niveaux ; 34 pièces ; 260 segments de mur ; 0 transitions. Inspection physique ; architecture complète encore ouverte.</x:v>
      </x:c>
      <x:c r="H413" s="115" t="str">
        <x:v>L 356 ; l 296 ; hauteur 52 m ; choix de composition auteur ; dimensions réelles à documenter</x:v>
      </x:c>
      <x:c r="I413" s="115" t="str">
        <x:v>À équilibrer</x:v>
      </x:c>
      <x:c r="J413" s="115" t="str">
        <x:v>Non</x:v>
      </x:c>
      <x:c r="K413" s="115" t="str">
        <x:v>Pièces décrites, murs, portes, niveaux et mobilier inspectables à l’échelle. Volumes réservés, raccord au seed, butin, rencontres et services de campagne restent à terminer.</x:v>
      </x:c>
    </x:row>
    <x:row r="414" ht="96" customHeight="1">
      <x:c r="A414" s="115" t="str">
        <x:v>EXT-MONDE-T009-V09</x:v>
      </x:c>
      <x:c r="B414" s="115" t="str">
        <x:v>EXT-MONDE-T009</x:v>
      </x:c>
      <x:c r="C414" s="115" t="str">
        <x:v>Offshore</x:v>
      </x:c>
      <x:c r="D414" s="115" t="str">
        <x:v>Plateforme pétrolière fixe</x:v>
      </x:c>
      <x:c r="E414" s="115" t="n">
        <x:v>9</x:v>
      </x:c>
      <x:c r="F414" s="115" t="str">
        <x:v>Inspection physique</x:v>
      </x:c>
      <x:c r="G414" s="115" t="str">
        <x:v>1 niveaux ; 34 pièces ; 260 segments de mur ; 0 transitions. Inspection physique ; architecture complète encore ouverte.</x:v>
      </x:c>
      <x:c r="H414" s="115" t="str">
        <x:v>L 356 ; l 296 ; hauteur 52 m ; choix de composition auteur ; dimensions réelles à documenter</x:v>
      </x:c>
      <x:c r="I414" s="115" t="str">
        <x:v>À équilibrer</x:v>
      </x:c>
      <x:c r="J414" s="115" t="str">
        <x:v>Non</x:v>
      </x:c>
      <x:c r="K414" s="115" t="str">
        <x:v>Pièces décrites, murs, portes, niveaux et mobilier inspectables à l’échelle. Volumes réservés, raccord au seed, butin, rencontres et services de campagne restent à terminer.</x:v>
      </x:c>
    </x:row>
    <x:row r="415" ht="96" customHeight="1">
      <x:c r="A415" s="115" t="str">
        <x:v>EXT-MONDE-T009-V10</x:v>
      </x:c>
      <x:c r="B415" s="115" t="str">
        <x:v>EXT-MONDE-T009</x:v>
      </x:c>
      <x:c r="C415" s="115" t="str">
        <x:v>Offshore</x:v>
      </x:c>
      <x:c r="D415" s="115" t="str">
        <x:v>Plateforme pétrolière fixe</x:v>
      </x:c>
      <x:c r="E415" s="115" t="n">
        <x:v>10</x:v>
      </x:c>
      <x:c r="F415" s="115" t="str">
        <x:v>Inspection physique</x:v>
      </x:c>
      <x:c r="G415" s="115" t="str">
        <x:v>1 niveaux ; 34 pièces ; 260 segments de mur ; 0 transitions. Inspection physique ; architecture complète encore ouverte.</x:v>
      </x:c>
      <x:c r="H415" s="115" t="str">
        <x:v>L 356 ; l 296 ; hauteur 52 m ; choix de composition auteur ; dimensions réelles à documenter</x:v>
      </x:c>
      <x:c r="I415" s="115" t="str">
        <x:v>À équilibrer</x:v>
      </x:c>
      <x:c r="J415" s="115" t="str">
        <x:v>Non</x:v>
      </x:c>
      <x:c r="K415" s="115" t="str">
        <x:v>Pièces décrites, murs, portes, niveaux et mobilier inspectables à l’échelle. Volumes réservés, raccord au seed, butin, rencontres et services de campagne restent à terminer.</x:v>
      </x:c>
    </x:row>
    <x:row r="416" ht="96" customHeight="1">
      <x:c r="A416" s="115" t="str">
        <x:v>EXT-MONDE-T009-V11</x:v>
      </x:c>
      <x:c r="B416" s="115" t="str">
        <x:v>EXT-MONDE-T009</x:v>
      </x:c>
      <x:c r="C416" s="115" t="str">
        <x:v>Offshore</x:v>
      </x:c>
      <x:c r="D416" s="115" t="str">
        <x:v>Plateforme pétrolière fixe</x:v>
      </x:c>
      <x:c r="E416" s="115" t="n">
        <x:v>11</x:v>
      </x:c>
      <x:c r="F416" s="115" t="str">
        <x:v>Inspection physique</x:v>
      </x:c>
      <x:c r="G416" s="115" t="str">
        <x:v>1 niveaux ; 34 pièces ; 260 segments de mur ; 0 transitions. Inspection physique ; architecture complète encore ouverte.</x:v>
      </x:c>
      <x:c r="H416" s="115" t="str">
        <x:v>L 370 ; l 308 ; hauteur 52 m ; choix de composition auteur ; dimensions réelles à documenter</x:v>
      </x:c>
      <x:c r="I416" s="115" t="str">
        <x:v>À équilibrer</x:v>
      </x:c>
      <x:c r="J416" s="115" t="str">
        <x:v>Non</x:v>
      </x:c>
      <x:c r="K416" s="115" t="str">
        <x:v>Pièces décrites, murs, portes, niveaux et mobilier inspectables à l’échelle. Volumes réservés, raccord au seed, butin, rencontres et services de campagne restent à terminer.</x:v>
      </x:c>
    </x:row>
    <x:row r="417" ht="96" customHeight="1">
      <x:c r="A417" s="115" t="str">
        <x:v>EXT-MONDE-T009-V12</x:v>
      </x:c>
      <x:c r="B417" s="115" t="str">
        <x:v>EXT-MONDE-T009</x:v>
      </x:c>
      <x:c r="C417" s="115" t="str">
        <x:v>Offshore</x:v>
      </x:c>
      <x:c r="D417" s="115" t="str">
        <x:v>Plateforme pétrolière fixe</x:v>
      </x:c>
      <x:c r="E417" s="115" t="n">
        <x:v>12</x:v>
      </x:c>
      <x:c r="F417" s="115" t="str">
        <x:v>Inspection physique</x:v>
      </x:c>
      <x:c r="G417" s="115" t="str">
        <x:v>1 niveaux ; 34 pièces ; 260 segments de mur ; 0 transitions. Inspection physique ; architecture complète encore ouverte.</x:v>
      </x:c>
      <x:c r="H417" s="115" t="str">
        <x:v>L 370 ; l 308 ; hauteur 52 m ; choix de composition auteur ; dimensions réelles à documenter</x:v>
      </x:c>
      <x:c r="I417" s="115" t="str">
        <x:v>À équilibrer</x:v>
      </x:c>
      <x:c r="J417" s="115" t="str">
        <x:v>Non</x:v>
      </x:c>
      <x:c r="K417" s="115" t="str">
        <x:v>Pièces décrites, murs, portes, niveaux et mobilier inspectables à l’échelle. Volumes réservés, raccord au seed, butin, rencontres et services de campagne restent à terminer.</x:v>
      </x:c>
    </x:row>
    <x:row r="418" ht="96" customHeight="1">
      <x:c r="A418" s="115" t="str">
        <x:v>EXT-MONDE-T009-V13</x:v>
      </x:c>
      <x:c r="B418" s="115" t="str">
        <x:v>EXT-MONDE-T009</x:v>
      </x:c>
      <x:c r="C418" s="115" t="str">
        <x:v>Offshore</x:v>
      </x:c>
      <x:c r="D418" s="115" t="str">
        <x:v>Plateforme pétrolière fixe</x:v>
      </x:c>
      <x:c r="E418" s="115" t="n">
        <x:v>13</x:v>
      </x:c>
      <x:c r="F418" s="115" t="str">
        <x:v>Inspection physique</x:v>
      </x:c>
      <x:c r="G418" s="115" t="str">
        <x:v>1 niveaux ; 34 pièces ; 260 segments de mur ; 0 transitions. Inspection physique ; architecture complète encore ouverte.</x:v>
      </x:c>
      <x:c r="H418" s="115" t="str">
        <x:v>L 370 ; l 308 ; hauteur 52 m ; choix de composition auteur ; dimensions réelles à documenter</x:v>
      </x:c>
      <x:c r="I418" s="115" t="str">
        <x:v>À équilibrer</x:v>
      </x:c>
      <x:c r="J418" s="115" t="str">
        <x:v>Non</x:v>
      </x:c>
      <x:c r="K418" s="115" t="str">
        <x:v>Pièces décrites, murs, portes, niveaux et mobilier inspectables à l’échelle. Volumes réservés, raccord au seed, butin, rencontres et services de campagne restent à terminer.</x:v>
      </x:c>
    </x:row>
    <x:row r="419" ht="96" customHeight="1">
      <x:c r="A419" s="115" t="str">
        <x:v>EXT-MONDE-T009-V14</x:v>
      </x:c>
      <x:c r="B419" s="115" t="str">
        <x:v>EXT-MONDE-T009</x:v>
      </x:c>
      <x:c r="C419" s="115" t="str">
        <x:v>Offshore</x:v>
      </x:c>
      <x:c r="D419" s="115" t="str">
        <x:v>Plateforme pétrolière fixe</x:v>
      </x:c>
      <x:c r="E419" s="115" t="n">
        <x:v>14</x:v>
      </x:c>
      <x:c r="F419" s="115" t="str">
        <x:v>Inspection physique</x:v>
      </x:c>
      <x:c r="G419" s="115" t="str">
        <x:v>1 niveaux ; 34 pièces ; 260 segments de mur ; 0 transitions. Inspection physique ; architecture complète encore ouverte.</x:v>
      </x:c>
      <x:c r="H419" s="115" t="str">
        <x:v>L 370 ; l 308 ; hauteur 52 m ; choix de composition auteur ; dimensions réelles à documenter</x:v>
      </x:c>
      <x:c r="I419" s="115" t="str">
        <x:v>À équilibrer</x:v>
      </x:c>
      <x:c r="J419" s="115" t="str">
        <x:v>Non</x:v>
      </x:c>
      <x:c r="K419" s="115" t="str">
        <x:v>Pièces décrites, murs, portes, niveaux et mobilier inspectables à l’échelle. Volumes réservés, raccord au seed, butin, rencontres et services de campagne restent à terminer.</x:v>
      </x:c>
    </x:row>
    <x:row r="420" ht="96" customHeight="1">
      <x:c r="A420" s="115" t="str">
        <x:v>EXT-MONDE-T009-V15</x:v>
      </x:c>
      <x:c r="B420" s="115" t="str">
        <x:v>EXT-MONDE-T009</x:v>
      </x:c>
      <x:c r="C420" s="115" t="str">
        <x:v>Offshore</x:v>
      </x:c>
      <x:c r="D420" s="115" t="str">
        <x:v>Plateforme pétrolière fixe</x:v>
      </x:c>
      <x:c r="E420" s="115" t="n">
        <x:v>15</x:v>
      </x:c>
      <x:c r="F420" s="115" t="str">
        <x:v>Inspection physique</x:v>
      </x:c>
      <x:c r="G420" s="115" t="str">
        <x:v>1 niveaux ; 34 pièces ; 260 segments de mur ; 0 transitions. Inspection physique ; architecture complète encore ouverte.</x:v>
      </x:c>
      <x:c r="H420" s="115" t="str">
        <x:v>L 370 ; l 308 ; hauteur 52 m ; choix de composition auteur ; dimensions réelles à documenter</x:v>
      </x:c>
      <x:c r="I420" s="115" t="str">
        <x:v>À équilibrer</x:v>
      </x:c>
      <x:c r="J420" s="115" t="str">
        <x:v>Non</x:v>
      </x:c>
      <x:c r="K420" s="115" t="str">
        <x:v>Pièces décrites, murs, portes, niveaux et mobilier inspectables à l’échelle. Volumes réservés, raccord au seed, butin, rencontres et services de campagne restent à terminer.</x:v>
      </x:c>
    </x:row>
    <x:row r="421" ht="96" customHeight="1">
      <x:c r="A421" s="115" t="str">
        <x:v>EXT-MONDE-T009-V16</x:v>
      </x:c>
      <x:c r="B421" s="115" t="str">
        <x:v>EXT-MONDE-T009</x:v>
      </x:c>
      <x:c r="C421" s="115" t="str">
        <x:v>Offshore</x:v>
      </x:c>
      <x:c r="D421" s="115" t="str">
        <x:v>Plateforme pétrolière fixe</x:v>
      </x:c>
      <x:c r="E421" s="115" t="n">
        <x:v>16</x:v>
      </x:c>
      <x:c r="F421" s="115" t="str">
        <x:v>Inspection physique</x:v>
      </x:c>
      <x:c r="G421" s="115" t="str">
        <x:v>1 niveaux ; 34 pièces ; 260 segments de mur ; 0 transitions. Inspection physique ; architecture complète encore ouverte.</x:v>
      </x:c>
      <x:c r="H421" s="115" t="str">
        <x:v>L 370 ; l 308 ; hauteur 52 m ; choix de composition auteur ; dimensions réelles à documenter</x:v>
      </x:c>
      <x:c r="I421" s="115" t="str">
        <x:v>À équilibrer</x:v>
      </x:c>
      <x:c r="J421" s="115" t="str">
        <x:v>Non</x:v>
      </x:c>
      <x:c r="K421" s="115" t="str">
        <x:v>Pièces décrites, murs, portes, niveaux et mobilier inspectables à l’échelle. Volumes réservés, raccord au seed, butin, rencontres et services de campagne restent à terminer.</x:v>
      </x:c>
    </x:row>
    <x:row r="422" ht="96" customHeight="1">
      <x:c r="A422" s="115" t="str">
        <x:v>EXT-MONDE-T009-V17</x:v>
      </x:c>
      <x:c r="B422" s="115" t="str">
        <x:v>EXT-MONDE-T009</x:v>
      </x:c>
      <x:c r="C422" s="115" t="str">
        <x:v>Offshore</x:v>
      </x:c>
      <x:c r="D422" s="115" t="str">
        <x:v>Plateforme pétrolière fixe</x:v>
      </x:c>
      <x:c r="E422" s="115" t="n">
        <x:v>17</x:v>
      </x:c>
      <x:c r="F422" s="115" t="str">
        <x:v>Inspection physique</x:v>
      </x:c>
      <x:c r="G422" s="115" t="str">
        <x:v>1 niveaux ; 34 pièces ; 260 segments de mur ; 0 transitions. Inspection physique ; architecture complète encore ouverte.</x:v>
      </x:c>
      <x:c r="H422" s="115" t="str">
        <x:v>L 370 ; l 308 ; hauteur 52 m ; choix de composition auteur ; dimensions réelles à documenter</x:v>
      </x:c>
      <x:c r="I422" s="115" t="str">
        <x:v>À équilibrer</x:v>
      </x:c>
      <x:c r="J422" s="115" t="str">
        <x:v>Non</x:v>
      </x:c>
      <x:c r="K422" s="115" t="str">
        <x:v>Pièces décrites, murs, portes, niveaux et mobilier inspectables à l’échelle. Volumes réservés, raccord au seed, butin, rencontres et services de campagne restent à terminer.</x:v>
      </x:c>
    </x:row>
    <x:row r="423" ht="96" customHeight="1">
      <x:c r="A423" s="115" t="str">
        <x:v>EXT-MONDE-T009-V18</x:v>
      </x:c>
      <x:c r="B423" s="115" t="str">
        <x:v>EXT-MONDE-T009</x:v>
      </x:c>
      <x:c r="C423" s="115" t="str">
        <x:v>Offshore</x:v>
      </x:c>
      <x:c r="D423" s="115" t="str">
        <x:v>Plateforme pétrolière fixe</x:v>
      </x:c>
      <x:c r="E423" s="115" t="n">
        <x:v>18</x:v>
      </x:c>
      <x:c r="F423" s="115" t="str">
        <x:v>Inspection physique</x:v>
      </x:c>
      <x:c r="G423" s="115" t="str">
        <x:v>1 niveaux ; 34 pièces ; 260 segments de mur ; 0 transitions. Inspection physique ; architecture complète encore ouverte.</x:v>
      </x:c>
      <x:c r="H423" s="115" t="str">
        <x:v>L 370 ; l 308 ; hauteur 52 m ; choix de composition auteur ; dimensions réelles à documenter</x:v>
      </x:c>
      <x:c r="I423" s="115" t="str">
        <x:v>À équilibrer</x:v>
      </x:c>
      <x:c r="J423" s="115" t="str">
        <x:v>Non</x:v>
      </x:c>
      <x:c r="K423" s="115" t="str">
        <x:v>Pièces décrites, murs, portes, niveaux et mobilier inspectables à l’échelle. Volumes réservés, raccord au seed, butin, rencontres et services de campagne restent à terminer.</x:v>
      </x:c>
    </x:row>
    <x:row r="424" ht="96" customHeight="1">
      <x:c r="A424" s="115" t="str">
        <x:v>EXT-MONDE-T009-V19</x:v>
      </x:c>
      <x:c r="B424" s="115" t="str">
        <x:v>EXT-MONDE-T009</x:v>
      </x:c>
      <x:c r="C424" s="115" t="str">
        <x:v>Offshore</x:v>
      </x:c>
      <x:c r="D424" s="115" t="str">
        <x:v>Plateforme pétrolière fixe</x:v>
      </x:c>
      <x:c r="E424" s="115" t="n">
        <x:v>19</x:v>
      </x:c>
      <x:c r="F424" s="115" t="str">
        <x:v>Inspection physique</x:v>
      </x:c>
      <x:c r="G424" s="115" t="str">
        <x:v>1 niveaux ; 34 pièces ; 260 segments de mur ; 0 transitions. Inspection physique ; architecture complète encore ouverte.</x:v>
      </x:c>
      <x:c r="H424" s="115" t="str">
        <x:v>L 370 ; l 308 ; hauteur 52 m ; choix de composition auteur ; dimensions réelles à documenter</x:v>
      </x:c>
      <x:c r="I424" s="115" t="str">
        <x:v>À équilibrer</x:v>
      </x:c>
      <x:c r="J424" s="115" t="str">
        <x:v>Non</x:v>
      </x:c>
      <x:c r="K424" s="115" t="str">
        <x:v>Pièces décrites, murs, portes, niveaux et mobilier inspectables à l’échelle. Volumes réservés, raccord au seed, butin, rencontres et services de campagne restent à terminer.</x:v>
      </x:c>
    </x:row>
    <x:row r="425" ht="96" customHeight="1">
      <x:c r="A425" s="115" t="str">
        <x:v>EXT-MONDE-T009-V20</x:v>
      </x:c>
      <x:c r="B425" s="115" t="str">
        <x:v>EXT-MONDE-T009</x:v>
      </x:c>
      <x:c r="C425" s="115" t="str">
        <x:v>Offshore</x:v>
      </x:c>
      <x:c r="D425" s="115" t="str">
        <x:v>Plateforme pétrolière fixe</x:v>
      </x:c>
      <x:c r="E425" s="115" t="n">
        <x:v>20</x:v>
      </x:c>
      <x:c r="F425" s="115" t="str">
        <x:v>Inspection physique</x:v>
      </x:c>
      <x:c r="G425" s="115" t="str">
        <x:v>1 niveaux ; 34 pièces ; 260 segments de mur ; 0 transitions. Inspection physique ; architecture complète encore ouverte.</x:v>
      </x:c>
      <x:c r="H425" s="115" t="str">
        <x:v>L 370 ; l 308 ; hauteur 52 m ; choix de composition auteur ; dimensions réelles à documenter</x:v>
      </x:c>
      <x:c r="I425" s="115" t="str">
        <x:v>À équilibrer</x:v>
      </x:c>
      <x:c r="J425" s="115" t="str">
        <x:v>Non</x:v>
      </x:c>
      <x:c r="K425" s="115" t="str">
        <x:v>Pièces décrites, murs, portes, niveaux et mobilier inspectables à l’échelle. Volumes réservés, raccord au seed, butin, rencontres et services de campagne restent à terminer.</x:v>
      </x:c>
    </x:row>
    <x:row r="426" ht="96" customHeight="1">
      <x:c r="A426" s="115" t="str">
        <x:v>EXT-MONDE-T009-V21</x:v>
      </x:c>
      <x:c r="B426" s="115" t="str">
        <x:v>EXT-MONDE-T009</x:v>
      </x:c>
      <x:c r="C426" s="115" t="str">
        <x:v>Offshore</x:v>
      </x:c>
      <x:c r="D426" s="115" t="str">
        <x:v>Plateforme pétrolière fixe</x:v>
      </x:c>
      <x:c r="E426" s="115" t="n">
        <x:v>21</x:v>
      </x:c>
      <x:c r="F426" s="115" t="str">
        <x:v>Inspection physique</x:v>
      </x:c>
      <x:c r="G426" s="115" t="str">
        <x:v>1 niveaux ; 34 pièces ; 260 segments de mur ; 0 transitions. Inspection physique ; architecture complète encore ouverte.</x:v>
      </x:c>
      <x:c r="H426" s="115" t="str">
        <x:v>L 384 ; l 320 ; hauteur 52 m ; choix de composition auteur ; dimensions réelles à documenter</x:v>
      </x:c>
      <x:c r="I426" s="115" t="str">
        <x:v>À équilibrer</x:v>
      </x:c>
      <x:c r="J426" s="115" t="str">
        <x:v>Non</x:v>
      </x:c>
      <x:c r="K426" s="115" t="str">
        <x:v>Pièces décrites, murs, portes, niveaux et mobilier inspectables à l’échelle. Volumes réservés, raccord au seed, butin, rencontres et services de campagne restent à terminer.</x:v>
      </x:c>
    </x:row>
    <x:row r="427" ht="96" customHeight="1">
      <x:c r="A427" s="115" t="str">
        <x:v>EXT-MONDE-T009-V22</x:v>
      </x:c>
      <x:c r="B427" s="115" t="str">
        <x:v>EXT-MONDE-T009</x:v>
      </x:c>
      <x:c r="C427" s="115" t="str">
        <x:v>Offshore</x:v>
      </x:c>
      <x:c r="D427" s="115" t="str">
        <x:v>Plateforme pétrolière fixe</x:v>
      </x:c>
      <x:c r="E427" s="115" t="n">
        <x:v>22</x:v>
      </x:c>
      <x:c r="F427" s="115" t="str">
        <x:v>Inspection physique</x:v>
      </x:c>
      <x:c r="G427" s="115" t="str">
        <x:v>1 niveaux ; 34 pièces ; 260 segments de mur ; 0 transitions. Inspection physique ; architecture complète encore ouverte.</x:v>
      </x:c>
      <x:c r="H427" s="115" t="str">
        <x:v>L 384 ; l 320 ; hauteur 52 m ; choix de composition auteur ; dimensions réelles à documenter</x:v>
      </x:c>
      <x:c r="I427" s="115" t="str">
        <x:v>À équilibrer</x:v>
      </x:c>
      <x:c r="J427" s="115" t="str">
        <x:v>Non</x:v>
      </x:c>
      <x:c r="K427" s="115" t="str">
        <x:v>Pièces décrites, murs, portes, niveaux et mobilier inspectables à l’échelle. Volumes réservés, raccord au seed, butin, rencontres et services de campagne restent à terminer.</x:v>
      </x:c>
    </x:row>
    <x:row r="428" ht="96" customHeight="1">
      <x:c r="A428" s="115" t="str">
        <x:v>EXT-MONDE-T009-V23</x:v>
      </x:c>
      <x:c r="B428" s="115" t="str">
        <x:v>EXT-MONDE-T009</x:v>
      </x:c>
      <x:c r="C428" s="115" t="str">
        <x:v>Offshore</x:v>
      </x:c>
      <x:c r="D428" s="115" t="str">
        <x:v>Plateforme pétrolière fixe</x:v>
      </x:c>
      <x:c r="E428" s="115" t="n">
        <x:v>23</x:v>
      </x:c>
      <x:c r="F428" s="115" t="str">
        <x:v>Inspection physique</x:v>
      </x:c>
      <x:c r="G428" s="115" t="str">
        <x:v>1 niveaux ; 34 pièces ; 260 segments de mur ; 0 transitions. Inspection physique ; architecture complète encore ouverte.</x:v>
      </x:c>
      <x:c r="H428" s="115" t="str">
        <x:v>L 384 ; l 320 ; hauteur 52 m ; choix de composition auteur ; dimensions réelles à documenter</x:v>
      </x:c>
      <x:c r="I428" s="115" t="str">
        <x:v>À équilibrer</x:v>
      </x:c>
      <x:c r="J428" s="115" t="str">
        <x:v>Non</x:v>
      </x:c>
      <x:c r="K428" s="115" t="str">
        <x:v>Pièces décrites, murs, portes, niveaux et mobilier inspectables à l’échelle. Volumes réservés, raccord au seed, butin, rencontres et services de campagne restent à terminer.</x:v>
      </x:c>
    </x:row>
    <x:row r="429" ht="96" customHeight="1">
      <x:c r="A429" s="115" t="str">
        <x:v>EXT-MONDE-T009-V24</x:v>
      </x:c>
      <x:c r="B429" s="115" t="str">
        <x:v>EXT-MONDE-T009</x:v>
      </x:c>
      <x:c r="C429" s="115" t="str">
        <x:v>Offshore</x:v>
      </x:c>
      <x:c r="D429" s="115" t="str">
        <x:v>Plateforme pétrolière fixe</x:v>
      </x:c>
      <x:c r="E429" s="115" t="n">
        <x:v>24</x:v>
      </x:c>
      <x:c r="F429" s="115" t="str">
        <x:v>Inspection physique</x:v>
      </x:c>
      <x:c r="G429" s="115" t="str">
        <x:v>1 niveaux ; 34 pièces ; 260 segments de mur ; 0 transitions. Inspection physique ; architecture complète encore ouverte.</x:v>
      </x:c>
      <x:c r="H429" s="115" t="str">
        <x:v>L 384 ; l 320 ; hauteur 52 m ; choix de composition auteur ; dimensions réelles à documenter</x:v>
      </x:c>
      <x:c r="I429" s="115" t="str">
        <x:v>À équilibrer</x:v>
      </x:c>
      <x:c r="J429" s="115" t="str">
        <x:v>Non</x:v>
      </x:c>
      <x:c r="K429" s="115" t="str">
        <x:v>Pièces décrites, murs, portes, niveaux et mobilier inspectables à l’échelle. Volumes réservés, raccord au seed, butin, rencontres et services de campagne restent à terminer.</x:v>
      </x:c>
    </x:row>
    <x:row r="430" ht="96" customHeight="1">
      <x:c r="A430" s="115" t="str">
        <x:v>EXT-MONDE-T009-V25</x:v>
      </x:c>
      <x:c r="B430" s="115" t="str">
        <x:v>EXT-MONDE-T009</x:v>
      </x:c>
      <x:c r="C430" s="115" t="str">
        <x:v>Offshore</x:v>
      </x:c>
      <x:c r="D430" s="115" t="str">
        <x:v>Plateforme pétrolière fixe</x:v>
      </x:c>
      <x:c r="E430" s="115" t="n">
        <x:v>25</x:v>
      </x:c>
      <x:c r="F430" s="115" t="str">
        <x:v>Inspection physique</x:v>
      </x:c>
      <x:c r="G430" s="115" t="str">
        <x:v>1 niveaux ; 34 pièces ; 260 segments de mur ; 0 transitions. Inspection physique ; architecture complète encore ouverte.</x:v>
      </x:c>
      <x:c r="H430" s="115" t="str">
        <x:v>L 384 ; l 320 ; hauteur 52 m ; choix de composition auteur ; dimensions réelles à documenter</x:v>
      </x:c>
      <x:c r="I430" s="115" t="str">
        <x:v>À équilibrer</x:v>
      </x:c>
      <x:c r="J430" s="115" t="str">
        <x:v>Non</x:v>
      </x:c>
      <x:c r="K430" s="115" t="str">
        <x:v>Pièces décrites, murs, portes, niveaux et mobilier inspectables à l’échelle. Volumes réservés, raccord au seed, butin, rencontres et services de campagne restent à terminer.</x:v>
      </x:c>
    </x:row>
    <x:row r="431" ht="96" customHeight="1">
      <x:c r="A431" s="115" t="str">
        <x:v>EXT-MONDE-T009-V26</x:v>
      </x:c>
      <x:c r="B431" s="115" t="str">
        <x:v>EXT-MONDE-T009</x:v>
      </x:c>
      <x:c r="C431" s="115" t="str">
        <x:v>Offshore</x:v>
      </x:c>
      <x:c r="D431" s="115" t="str">
        <x:v>Plateforme pétrolière fixe</x:v>
      </x:c>
      <x:c r="E431" s="115" t="n">
        <x:v>26</x:v>
      </x:c>
      <x:c r="F431" s="115" t="str">
        <x:v>Inspection physique</x:v>
      </x:c>
      <x:c r="G431" s="115" t="str">
        <x:v>1 niveaux ; 34 pièces ; 260 segments de mur ; 0 transitions. Inspection physique ; architecture complète encore ouverte.</x:v>
      </x:c>
      <x:c r="H431" s="115" t="str">
        <x:v>L 384 ; l 320 ; hauteur 52 m ; choix de composition auteur ; dimensions réelles à documenter</x:v>
      </x:c>
      <x:c r="I431" s="115" t="str">
        <x:v>À équilibrer</x:v>
      </x:c>
      <x:c r="J431" s="115" t="str">
        <x:v>Non</x:v>
      </x:c>
      <x:c r="K431" s="115" t="str">
        <x:v>Pièces décrites, murs, portes, niveaux et mobilier inspectables à l’échelle. Volumes réservés, raccord au seed, butin, rencontres et services de campagne restent à terminer.</x:v>
      </x:c>
    </x:row>
    <x:row r="432" ht="96" customHeight="1">
      <x:c r="A432" s="115" t="str">
        <x:v>EXT-MONDE-T009-V27</x:v>
      </x:c>
      <x:c r="B432" s="115" t="str">
        <x:v>EXT-MONDE-T009</x:v>
      </x:c>
      <x:c r="C432" s="115" t="str">
        <x:v>Offshore</x:v>
      </x:c>
      <x:c r="D432" s="115" t="str">
        <x:v>Plateforme pétrolière fixe</x:v>
      </x:c>
      <x:c r="E432" s="115" t="n">
        <x:v>27</x:v>
      </x:c>
      <x:c r="F432" s="115" t="str">
        <x:v>Inspection physique</x:v>
      </x:c>
      <x:c r="G432" s="115" t="str">
        <x:v>1 niveaux ; 34 pièces ; 260 segments de mur ; 0 transitions. Inspection physique ; architecture complète encore ouverte.</x:v>
      </x:c>
      <x:c r="H432" s="115" t="str">
        <x:v>L 384 ; l 320 ; hauteur 52 m ; choix de composition auteur ; dimensions réelles à documenter</x:v>
      </x:c>
      <x:c r="I432" s="115" t="str">
        <x:v>À équilibrer</x:v>
      </x:c>
      <x:c r="J432" s="115" t="str">
        <x:v>Non</x:v>
      </x:c>
      <x:c r="K432" s="115" t="str">
        <x:v>Pièces décrites, murs, portes, niveaux et mobilier inspectables à l’échelle. Volumes réservés, raccord au seed, butin, rencontres et services de campagne restent à terminer.</x:v>
      </x:c>
    </x:row>
    <x:row r="433" ht="96" customHeight="1">
      <x:c r="A433" s="115" t="str">
        <x:v>EXT-MONDE-T009-V28</x:v>
      </x:c>
      <x:c r="B433" s="115" t="str">
        <x:v>EXT-MONDE-T009</x:v>
      </x:c>
      <x:c r="C433" s="115" t="str">
        <x:v>Offshore</x:v>
      </x:c>
      <x:c r="D433" s="115" t="str">
        <x:v>Plateforme pétrolière fixe</x:v>
      </x:c>
      <x:c r="E433" s="115" t="n">
        <x:v>28</x:v>
      </x:c>
      <x:c r="F433" s="115" t="str">
        <x:v>Inspection physique</x:v>
      </x:c>
      <x:c r="G433" s="115" t="str">
        <x:v>1 niveaux ; 34 pièces ; 260 segments de mur ; 0 transitions. Inspection physique ; architecture complète encore ouverte.</x:v>
      </x:c>
      <x:c r="H433" s="115" t="str">
        <x:v>L 384 ; l 320 ; hauteur 52 m ; choix de composition auteur ; dimensions réelles à documenter</x:v>
      </x:c>
      <x:c r="I433" s="115" t="str">
        <x:v>À équilibrer</x:v>
      </x:c>
      <x:c r="J433" s="115" t="str">
        <x:v>Non</x:v>
      </x:c>
      <x:c r="K433" s="115" t="str">
        <x:v>Pièces décrites, murs, portes, niveaux et mobilier inspectables à l’échelle. Volumes réservés, raccord au seed, butin, rencontres et services de campagne restent à terminer.</x:v>
      </x:c>
    </x:row>
    <x:row r="434" ht="96" customHeight="1">
      <x:c r="A434" s="115" t="str">
        <x:v>EXT-MONDE-T009-V29</x:v>
      </x:c>
      <x:c r="B434" s="115" t="str">
        <x:v>EXT-MONDE-T009</x:v>
      </x:c>
      <x:c r="C434" s="115" t="str">
        <x:v>Offshore</x:v>
      </x:c>
      <x:c r="D434" s="115" t="str">
        <x:v>Plateforme pétrolière fixe</x:v>
      </x:c>
      <x:c r="E434" s="115" t="n">
        <x:v>29</x:v>
      </x:c>
      <x:c r="F434" s="115" t="str">
        <x:v>Inspection physique</x:v>
      </x:c>
      <x:c r="G434" s="115" t="str">
        <x:v>1 niveaux ; 34 pièces ; 260 segments de mur ; 0 transitions. Inspection physique ; architecture complète encore ouverte.</x:v>
      </x:c>
      <x:c r="H434" s="115" t="str">
        <x:v>L 384 ; l 320 ; hauteur 52 m ; choix de composition auteur ; dimensions réelles à documenter</x:v>
      </x:c>
      <x:c r="I434" s="115" t="str">
        <x:v>À équilibrer</x:v>
      </x:c>
      <x:c r="J434" s="115" t="str">
        <x:v>Non</x:v>
      </x:c>
      <x:c r="K434" s="115" t="str">
        <x:v>Pièces décrites, murs, portes, niveaux et mobilier inspectables à l’échelle. Volumes réservés, raccord au seed, butin, rencontres et services de campagne restent à terminer.</x:v>
      </x:c>
    </x:row>
    <x:row r="435" ht="96" customHeight="1">
      <x:c r="A435" s="115" t="str">
        <x:v>EXT-MONDE-T009-V30</x:v>
      </x:c>
      <x:c r="B435" s="115" t="str">
        <x:v>EXT-MONDE-T009</x:v>
      </x:c>
      <x:c r="C435" s="115" t="str">
        <x:v>Offshore</x:v>
      </x:c>
      <x:c r="D435" s="115" t="str">
        <x:v>Plateforme pétrolière fixe</x:v>
      </x:c>
      <x:c r="E435" s="115" t="n">
        <x:v>30</x:v>
      </x:c>
      <x:c r="F435" s="115" t="str">
        <x:v>Inspection physique</x:v>
      </x:c>
      <x:c r="G435" s="115" t="str">
        <x:v>1 niveaux ; 34 pièces ; 260 segments de mur ; 0 transitions. Inspection physique ; architecture complète encore ouverte.</x:v>
      </x:c>
      <x:c r="H435" s="115" t="str">
        <x:v>L 384 ; l 320 ; hauteur 52 m ; choix de composition auteur ; dimensions réelles à documenter</x:v>
      </x:c>
      <x:c r="I435" s="115" t="str">
        <x:v>À équilibrer</x:v>
      </x:c>
      <x:c r="J435" s="115" t="str">
        <x:v>Non</x:v>
      </x:c>
      <x:c r="K435" s="115" t="str">
        <x:v>Pièces décrites, murs, portes, niveaux et mobilier inspectables à l’échelle. Volumes réservés, raccord au seed, butin, rencontres et services de campagne restent à terminer.</x:v>
      </x:c>
    </x:row>
    <x:row r="436" ht="96" customHeight="1">
      <x:c r="A436" s="115" t="str">
        <x:v>EXT-MONDE-T009-V31</x:v>
      </x:c>
      <x:c r="B436" s="115" t="str">
        <x:v>EXT-MONDE-T009</x:v>
      </x:c>
      <x:c r="C436" s="115" t="str">
        <x:v>Offshore</x:v>
      </x:c>
      <x:c r="D436" s="115" t="str">
        <x:v>Plateforme pétrolière fixe</x:v>
      </x:c>
      <x:c r="E436" s="115" t="n">
        <x:v>31</x:v>
      </x:c>
      <x:c r="F436" s="115" t="str">
        <x:v>Inspection physique</x:v>
      </x:c>
      <x:c r="G436" s="115" t="str">
        <x:v>1 niveaux ; 34 pièces ; 260 segments de mur ; 0 transitions. Inspection physique ; architecture complète encore ouverte.</x:v>
      </x:c>
      <x:c r="H436" s="115" t="str">
        <x:v>L 398 ; l 332 ; hauteur 52 m ; choix de composition auteur ; dimensions réelles à documenter</x:v>
      </x:c>
      <x:c r="I436" s="115" t="str">
        <x:v>À équilibrer</x:v>
      </x:c>
      <x:c r="J436" s="115" t="str">
        <x:v>Non</x:v>
      </x:c>
      <x:c r="K436" s="115" t="str">
        <x:v>Pièces décrites, murs, portes, niveaux et mobilier inspectables à l’échelle. Volumes réservés, raccord au seed, butin, rencontres et services de campagne restent à terminer.</x:v>
      </x:c>
    </x:row>
    <x:row r="437" ht="96" customHeight="1">
      <x:c r="A437" s="115" t="str">
        <x:v>EXT-MONDE-T009-V32</x:v>
      </x:c>
      <x:c r="B437" s="115" t="str">
        <x:v>EXT-MONDE-T009</x:v>
      </x:c>
      <x:c r="C437" s="115" t="str">
        <x:v>Offshore</x:v>
      </x:c>
      <x:c r="D437" s="115" t="str">
        <x:v>Plateforme pétrolière fixe</x:v>
      </x:c>
      <x:c r="E437" s="115" t="n">
        <x:v>32</x:v>
      </x:c>
      <x:c r="F437" s="115" t="str">
        <x:v>Inspection physique</x:v>
      </x:c>
      <x:c r="G437" s="115" t="str">
        <x:v>1 niveaux ; 34 pièces ; 260 segments de mur ; 0 transitions. Inspection physique ; architecture complète encore ouverte.</x:v>
      </x:c>
      <x:c r="H437" s="115" t="str">
        <x:v>L 398 ; l 332 ; hauteur 52 m ; choix de composition auteur ; dimensions réelles à documenter</x:v>
      </x:c>
      <x:c r="I437" s="115" t="str">
        <x:v>À équilibrer</x:v>
      </x:c>
      <x:c r="J437" s="115" t="str">
        <x:v>Non</x:v>
      </x:c>
      <x:c r="K437" s="115" t="str">
        <x:v>Pièces décrites, murs, portes, niveaux et mobilier inspectables à l’échelle. Volumes réservés, raccord au seed, butin, rencontres et services de campagne restent à terminer.</x:v>
      </x:c>
    </x:row>
    <x:row r="438" ht="96" customHeight="1">
      <x:c r="A438" s="115" t="str">
        <x:v>EXT-MONDE-T009-V33</x:v>
      </x:c>
      <x:c r="B438" s="115" t="str">
        <x:v>EXT-MONDE-T009</x:v>
      </x:c>
      <x:c r="C438" s="115" t="str">
        <x:v>Offshore</x:v>
      </x:c>
      <x:c r="D438" s="115" t="str">
        <x:v>Plateforme pétrolière fixe</x:v>
      </x:c>
      <x:c r="E438" s="115" t="n">
        <x:v>33</x:v>
      </x:c>
      <x:c r="F438" s="115" t="str">
        <x:v>Inspection physique</x:v>
      </x:c>
      <x:c r="G438" s="115" t="str">
        <x:v>1 niveaux ; 34 pièces ; 260 segments de mur ; 0 transitions. Inspection physique ; architecture complète encore ouverte.</x:v>
      </x:c>
      <x:c r="H438" s="115" t="str">
        <x:v>L 398 ; l 332 ; hauteur 52 m ; choix de composition auteur ; dimensions réelles à documenter</x:v>
      </x:c>
      <x:c r="I438" s="115" t="str">
        <x:v>À équilibrer</x:v>
      </x:c>
      <x:c r="J438" s="115" t="str">
        <x:v>Non</x:v>
      </x:c>
      <x:c r="K438" s="115" t="str">
        <x:v>Pièces décrites, murs, portes, niveaux et mobilier inspectables à l’échelle. Volumes réservés, raccord au seed, butin, rencontres et services de campagne restent à terminer.</x:v>
      </x:c>
    </x:row>
    <x:row r="439" ht="96" customHeight="1">
      <x:c r="A439" s="115" t="str">
        <x:v>EXT-MONDE-T009-V34</x:v>
      </x:c>
      <x:c r="B439" s="115" t="str">
        <x:v>EXT-MONDE-T009</x:v>
      </x:c>
      <x:c r="C439" s="115" t="str">
        <x:v>Offshore</x:v>
      </x:c>
      <x:c r="D439" s="115" t="str">
        <x:v>Plateforme pétrolière fixe</x:v>
      </x:c>
      <x:c r="E439" s="115" t="n">
        <x:v>34</x:v>
      </x:c>
      <x:c r="F439" s="115" t="str">
        <x:v>Inspection physique</x:v>
      </x:c>
      <x:c r="G439" s="115" t="str">
        <x:v>1 niveaux ; 34 pièces ; 260 segments de mur ; 0 transitions. Inspection physique ; architecture complète encore ouverte.</x:v>
      </x:c>
      <x:c r="H439" s="115" t="str">
        <x:v>L 398 ; l 332 ; hauteur 52 m ; choix de composition auteur ; dimensions réelles à documenter</x:v>
      </x:c>
      <x:c r="I439" s="115" t="str">
        <x:v>À équilibrer</x:v>
      </x:c>
      <x:c r="J439" s="115" t="str">
        <x:v>Non</x:v>
      </x:c>
      <x:c r="K439" s="115" t="str">
        <x:v>Pièces décrites, murs, portes, niveaux et mobilier inspectables à l’échelle. Volumes réservés, raccord au seed, butin, rencontres et services de campagne restent à terminer.</x:v>
      </x:c>
    </x:row>
    <x:row r="440" ht="96" customHeight="1">
      <x:c r="A440" s="115" t="str">
        <x:v>EXT-MONDE-T009-V35</x:v>
      </x:c>
      <x:c r="B440" s="115" t="str">
        <x:v>EXT-MONDE-T009</x:v>
      </x:c>
      <x:c r="C440" s="115" t="str">
        <x:v>Offshore</x:v>
      </x:c>
      <x:c r="D440" s="115" t="str">
        <x:v>Plateforme pétrolière fixe</x:v>
      </x:c>
      <x:c r="E440" s="115" t="n">
        <x:v>35</x:v>
      </x:c>
      <x:c r="F440" s="115" t="str">
        <x:v>Inspection physique</x:v>
      </x:c>
      <x:c r="G440" s="115" t="str">
        <x:v>1 niveaux ; 34 pièces ; 260 segments de mur ; 0 transitions. Inspection physique ; architecture complète encore ouverte.</x:v>
      </x:c>
      <x:c r="H440" s="115" t="str">
        <x:v>L 398 ; l 332 ; hauteur 52 m ; choix de composition auteur ; dimensions réelles à documenter</x:v>
      </x:c>
      <x:c r="I440" s="115" t="str">
        <x:v>À équilibrer</x:v>
      </x:c>
      <x:c r="J440" s="115" t="str">
        <x:v>Non</x:v>
      </x:c>
      <x:c r="K440" s="115" t="str">
        <x:v>Pièces décrites, murs, portes, niveaux et mobilier inspectables à l’échelle. Volumes réservés, raccord au seed, butin, rencontres et services de campagne restent à terminer.</x:v>
      </x:c>
    </x:row>
    <x:row r="441" ht="96" customHeight="1">
      <x:c r="A441" s="115" t="str">
        <x:v>EXT-MONDE-T009-V36</x:v>
      </x:c>
      <x:c r="B441" s="115" t="str">
        <x:v>EXT-MONDE-T009</x:v>
      </x:c>
      <x:c r="C441" s="115" t="str">
        <x:v>Offshore</x:v>
      </x:c>
      <x:c r="D441" s="115" t="str">
        <x:v>Plateforme pétrolière fixe</x:v>
      </x:c>
      <x:c r="E441" s="115" t="n">
        <x:v>36</x:v>
      </x:c>
      <x:c r="F441" s="115" t="str">
        <x:v>Inspection physique</x:v>
      </x:c>
      <x:c r="G441" s="115" t="str">
        <x:v>1 niveaux ; 34 pièces ; 260 segments de mur ; 0 transitions. Inspection physique ; architecture complète encore ouverte.</x:v>
      </x:c>
      <x:c r="H441" s="115" t="str">
        <x:v>L 398 ; l 332 ; hauteur 52 m ; choix de composition auteur ; dimensions réelles à documenter</x:v>
      </x:c>
      <x:c r="I441" s="115" t="str">
        <x:v>À équilibrer</x:v>
      </x:c>
      <x:c r="J441" s="115" t="str">
        <x:v>Non</x:v>
      </x:c>
      <x:c r="K441" s="115" t="str">
        <x:v>Pièces décrites, murs, portes, niveaux et mobilier inspectables à l’échelle. Volumes réservés, raccord au seed, butin, rencontres et services de campagne restent à terminer.</x:v>
      </x:c>
    </x:row>
    <x:row r="442" ht="96" customHeight="1">
      <x:c r="A442" s="115" t="str">
        <x:v>EXT-MONDE-T009-V37</x:v>
      </x:c>
      <x:c r="B442" s="115" t="str">
        <x:v>EXT-MONDE-T009</x:v>
      </x:c>
      <x:c r="C442" s="115" t="str">
        <x:v>Offshore</x:v>
      </x:c>
      <x:c r="D442" s="115" t="str">
        <x:v>Plateforme pétrolière fixe</x:v>
      </x:c>
      <x:c r="E442" s="115" t="n">
        <x:v>37</x:v>
      </x:c>
      <x:c r="F442" s="115" t="str">
        <x:v>Inspection physique</x:v>
      </x:c>
      <x:c r="G442" s="115" t="str">
        <x:v>1 niveaux ; 34 pièces ; 260 segments de mur ; 0 transitions. Inspection physique ; architecture complète encore ouverte.</x:v>
      </x:c>
      <x:c r="H442" s="115" t="str">
        <x:v>L 398 ; l 332 ; hauteur 52 m ; choix de composition auteur ; dimensions réelles à documenter</x:v>
      </x:c>
      <x:c r="I442" s="115" t="str">
        <x:v>À équilibrer</x:v>
      </x:c>
      <x:c r="J442" s="115" t="str">
        <x:v>Non</x:v>
      </x:c>
      <x:c r="K442" s="115" t="str">
        <x:v>Pièces décrites, murs, portes, niveaux et mobilier inspectables à l’échelle. Volumes réservés, raccord au seed, butin, rencontres et services de campagne restent à terminer.</x:v>
      </x:c>
    </x:row>
    <x:row r="443" ht="96" customHeight="1">
      <x:c r="A443" s="115" t="str">
        <x:v>EXT-MONDE-T009-V38</x:v>
      </x:c>
      <x:c r="B443" s="115" t="str">
        <x:v>EXT-MONDE-T009</x:v>
      </x:c>
      <x:c r="C443" s="115" t="str">
        <x:v>Offshore</x:v>
      </x:c>
      <x:c r="D443" s="115" t="str">
        <x:v>Plateforme pétrolière fixe</x:v>
      </x:c>
      <x:c r="E443" s="115" t="n">
        <x:v>38</x:v>
      </x:c>
      <x:c r="F443" s="115" t="str">
        <x:v>Inspection physique</x:v>
      </x:c>
      <x:c r="G443" s="115" t="str">
        <x:v>1 niveaux ; 34 pièces ; 260 segments de mur ; 0 transitions. Inspection physique ; architecture complète encore ouverte.</x:v>
      </x:c>
      <x:c r="H443" s="115" t="str">
        <x:v>L 398 ; l 332 ; hauteur 52 m ; choix de composition auteur ; dimensions réelles à documenter</x:v>
      </x:c>
      <x:c r="I443" s="115" t="str">
        <x:v>À équilibrer</x:v>
      </x:c>
      <x:c r="J443" s="115" t="str">
        <x:v>Non</x:v>
      </x:c>
      <x:c r="K443" s="115" t="str">
        <x:v>Pièces décrites, murs, portes, niveaux et mobilier inspectables à l’échelle. Volumes réservés, raccord au seed, butin, rencontres et services de campagne restent à terminer.</x:v>
      </x:c>
    </x:row>
    <x:row r="444" ht="96" customHeight="1">
      <x:c r="A444" s="115" t="str">
        <x:v>EXT-MONDE-T009-V39</x:v>
      </x:c>
      <x:c r="B444" s="115" t="str">
        <x:v>EXT-MONDE-T009</x:v>
      </x:c>
      <x:c r="C444" s="115" t="str">
        <x:v>Offshore</x:v>
      </x:c>
      <x:c r="D444" s="115" t="str">
        <x:v>Plateforme pétrolière fixe</x:v>
      </x:c>
      <x:c r="E444" s="115" t="n">
        <x:v>39</x:v>
      </x:c>
      <x:c r="F444" s="115" t="str">
        <x:v>Inspection physique</x:v>
      </x:c>
      <x:c r="G444" s="115" t="str">
        <x:v>1 niveaux ; 34 pièces ; 260 segments de mur ; 0 transitions. Inspection physique ; architecture complète encore ouverte.</x:v>
      </x:c>
      <x:c r="H444" s="115" t="str">
        <x:v>L 398 ; l 332 ; hauteur 52 m ; choix de composition auteur ; dimensions réelles à documenter</x:v>
      </x:c>
      <x:c r="I444" s="115" t="str">
        <x:v>À équilibrer</x:v>
      </x:c>
      <x:c r="J444" s="115" t="str">
        <x:v>Non</x:v>
      </x:c>
      <x:c r="K444" s="115" t="str">
        <x:v>Pièces décrites, murs, portes, niveaux et mobilier inspectables à l’échelle. Volumes réservés, raccord au seed, butin, rencontres et services de campagne restent à terminer.</x:v>
      </x:c>
    </x:row>
    <x:row r="445" ht="96" customHeight="1">
      <x:c r="A445" s="115" t="str">
        <x:v>EXT-MONDE-T009-V40</x:v>
      </x:c>
      <x:c r="B445" s="115" t="str">
        <x:v>EXT-MONDE-T009</x:v>
      </x:c>
      <x:c r="C445" s="115" t="str">
        <x:v>Offshore</x:v>
      </x:c>
      <x:c r="D445" s="115" t="str">
        <x:v>Plateforme pétrolière fixe</x:v>
      </x:c>
      <x:c r="E445" s="115" t="n">
        <x:v>40</x:v>
      </x:c>
      <x:c r="F445" s="115" t="str">
        <x:v>Inspection physique</x:v>
      </x:c>
      <x:c r="G445" s="115" t="str">
        <x:v>1 niveaux ; 34 pièces ; 260 segments de mur ; 0 transitions. Inspection physique ; architecture complète encore ouverte.</x:v>
      </x:c>
      <x:c r="H445" s="115" t="str">
        <x:v>L 398 ; l 332 ; hauteur 52 m ; choix de composition auteur ; dimensions réelles à documenter</x:v>
      </x:c>
      <x:c r="I445" s="115" t="str">
        <x:v>À équilibrer</x:v>
      </x:c>
      <x:c r="J445" s="115" t="str">
        <x:v>Non</x:v>
      </x:c>
      <x:c r="K445" s="115" t="str">
        <x:v>Pièces décrites, murs, portes, niveaux et mobilier inspectables à l’échelle. Volumes réservés, raccord au seed, butin, rencontres et services de campagne restent à terminer.</x:v>
      </x:c>
    </x:row>
    <x:row r="446" ht="96" customHeight="1">
      <x:c r="A446" s="115" t="str">
        <x:v>EXT-MONDE-T009-V41</x:v>
      </x:c>
      <x:c r="B446" s="115" t="str">
        <x:v>EXT-MONDE-T009</x:v>
      </x:c>
      <x:c r="C446" s="115" t="str">
        <x:v>Offshore</x:v>
      </x:c>
      <x:c r="D446" s="115" t="str">
        <x:v>Plateforme pétrolière fixe</x:v>
      </x:c>
      <x:c r="E446" s="115" t="n">
        <x:v>41</x:v>
      </x:c>
      <x:c r="F446" s="115" t="str">
        <x:v>Inspection physique</x:v>
      </x:c>
      <x:c r="G446" s="115" t="str">
        <x:v>1 niveaux ; 34 pièces ; 260 segments de mur ; 0 transitions. Inspection physique ; architecture complète encore ouverte.</x:v>
      </x:c>
      <x:c r="H446" s="115" t="str">
        <x:v>L 412 ; l 344 ; hauteur 52 m ; choix de composition auteur ; dimensions réelles à documenter</x:v>
      </x:c>
      <x:c r="I446" s="115" t="str">
        <x:v>À équilibrer</x:v>
      </x:c>
      <x:c r="J446" s="115" t="str">
        <x:v>Non</x:v>
      </x:c>
      <x:c r="K446" s="115" t="str">
        <x:v>Pièces décrites, murs, portes, niveaux et mobilier inspectables à l’échelle. Volumes réservés, raccord au seed, butin, rencontres et services de campagne restent à terminer.</x:v>
      </x:c>
    </x:row>
    <x:row r="447" ht="96" customHeight="1">
      <x:c r="A447" s="115" t="str">
        <x:v>EXT-MONDE-T009-V42</x:v>
      </x:c>
      <x:c r="B447" s="115" t="str">
        <x:v>EXT-MONDE-T009</x:v>
      </x:c>
      <x:c r="C447" s="115" t="str">
        <x:v>Offshore</x:v>
      </x:c>
      <x:c r="D447" s="115" t="str">
        <x:v>Plateforme pétrolière fixe</x:v>
      </x:c>
      <x:c r="E447" s="115" t="n">
        <x:v>42</x:v>
      </x:c>
      <x:c r="F447" s="115" t="str">
        <x:v>Inspection physique</x:v>
      </x:c>
      <x:c r="G447" s="115" t="str">
        <x:v>1 niveaux ; 34 pièces ; 260 segments de mur ; 0 transitions. Inspection physique ; architecture complète encore ouverte.</x:v>
      </x:c>
      <x:c r="H447" s="115" t="str">
        <x:v>L 412 ; l 344 ; hauteur 52 m ; choix de composition auteur ; dimensions réelles à documenter</x:v>
      </x:c>
      <x:c r="I447" s="115" t="str">
        <x:v>À équilibrer</x:v>
      </x:c>
      <x:c r="J447" s="115" t="str">
        <x:v>Non</x:v>
      </x:c>
      <x:c r="K447" s="115" t="str">
        <x:v>Pièces décrites, murs, portes, niveaux et mobilier inspectables à l’échelle. Volumes réservés, raccord au seed, butin, rencontres et services de campagne restent à terminer.</x:v>
      </x:c>
    </x:row>
    <x:row r="448" ht="96" customHeight="1">
      <x:c r="A448" s="115" t="str">
        <x:v>EXT-MONDE-T009-V43</x:v>
      </x:c>
      <x:c r="B448" s="115" t="str">
        <x:v>EXT-MONDE-T009</x:v>
      </x:c>
      <x:c r="C448" s="115" t="str">
        <x:v>Offshore</x:v>
      </x:c>
      <x:c r="D448" s="115" t="str">
        <x:v>Plateforme pétrolière fixe</x:v>
      </x:c>
      <x:c r="E448" s="115" t="n">
        <x:v>43</x:v>
      </x:c>
      <x:c r="F448" s="115" t="str">
        <x:v>Inspection physique</x:v>
      </x:c>
      <x:c r="G448" s="115" t="str">
        <x:v>1 niveaux ; 34 pièces ; 260 segments de mur ; 0 transitions. Inspection physique ; architecture complète encore ouverte.</x:v>
      </x:c>
      <x:c r="H448" s="115" t="str">
        <x:v>L 412 ; l 344 ; hauteur 52 m ; choix de composition auteur ; dimensions réelles à documenter</x:v>
      </x:c>
      <x:c r="I448" s="115" t="str">
        <x:v>À équilibrer</x:v>
      </x:c>
      <x:c r="J448" s="115" t="str">
        <x:v>Non</x:v>
      </x:c>
      <x:c r="K448" s="115" t="str">
        <x:v>Pièces décrites, murs, portes, niveaux et mobilier inspectables à l’échelle. Volumes réservés, raccord au seed, butin, rencontres et services de campagne restent à terminer.</x:v>
      </x:c>
    </x:row>
    <x:row r="449" ht="96" customHeight="1">
      <x:c r="A449" s="115" t="str">
        <x:v>EXT-MONDE-T009-V44</x:v>
      </x:c>
      <x:c r="B449" s="115" t="str">
        <x:v>EXT-MONDE-T009</x:v>
      </x:c>
      <x:c r="C449" s="115" t="str">
        <x:v>Offshore</x:v>
      </x:c>
      <x:c r="D449" s="115" t="str">
        <x:v>Plateforme pétrolière fixe</x:v>
      </x:c>
      <x:c r="E449" s="115" t="n">
        <x:v>44</x:v>
      </x:c>
      <x:c r="F449" s="115" t="str">
        <x:v>Inspection physique</x:v>
      </x:c>
      <x:c r="G449" s="115" t="str">
        <x:v>1 niveaux ; 34 pièces ; 260 segments de mur ; 0 transitions. Inspection physique ; architecture complète encore ouverte.</x:v>
      </x:c>
      <x:c r="H449" s="115" t="str">
        <x:v>L 412 ; l 344 ; hauteur 52 m ; choix de composition auteur ; dimensions réelles à documenter</x:v>
      </x:c>
      <x:c r="I449" s="115" t="str">
        <x:v>À équilibrer</x:v>
      </x:c>
      <x:c r="J449" s="115" t="str">
        <x:v>Non</x:v>
      </x:c>
      <x:c r="K449" s="115" t="str">
        <x:v>Pièces décrites, murs, portes, niveaux et mobilier inspectables à l’échelle. Volumes réservés, raccord au seed, butin, rencontres et services de campagne restent à terminer.</x:v>
      </x:c>
    </x:row>
    <x:row r="450" ht="96" customHeight="1">
      <x:c r="A450" s="115" t="str">
        <x:v>EXT-MONDE-T009-V45</x:v>
      </x:c>
      <x:c r="B450" s="115" t="str">
        <x:v>EXT-MONDE-T009</x:v>
      </x:c>
      <x:c r="C450" s="115" t="str">
        <x:v>Offshore</x:v>
      </x:c>
      <x:c r="D450" s="115" t="str">
        <x:v>Plateforme pétrolière fixe</x:v>
      </x:c>
      <x:c r="E450" s="115" t="n">
        <x:v>45</x:v>
      </x:c>
      <x:c r="F450" s="115" t="str">
        <x:v>Inspection physique</x:v>
      </x:c>
      <x:c r="G450" s="115" t="str">
        <x:v>1 niveaux ; 34 pièces ; 260 segments de mur ; 0 transitions. Inspection physique ; architecture complète encore ouverte.</x:v>
      </x:c>
      <x:c r="H450" s="115" t="str">
        <x:v>L 412 ; l 344 ; hauteur 52 m ; choix de composition auteur ; dimensions réelles à documenter</x:v>
      </x:c>
      <x:c r="I450" s="115" t="str">
        <x:v>À équilibrer</x:v>
      </x:c>
      <x:c r="J450" s="115" t="str">
        <x:v>Non</x:v>
      </x:c>
      <x:c r="K450" s="115" t="str">
        <x:v>Pièces décrites, murs, portes, niveaux et mobilier inspectables à l’échelle. Volumes réservés, raccord au seed, butin, rencontres et services de campagne restent à terminer.</x:v>
      </x:c>
    </x:row>
    <x:row r="451" ht="96" customHeight="1">
      <x:c r="A451" s="115" t="str">
        <x:v>EXT-MONDE-T009-V46</x:v>
      </x:c>
      <x:c r="B451" s="115" t="str">
        <x:v>EXT-MONDE-T009</x:v>
      </x:c>
      <x:c r="C451" s="115" t="str">
        <x:v>Offshore</x:v>
      </x:c>
      <x:c r="D451" s="115" t="str">
        <x:v>Plateforme pétrolière fixe</x:v>
      </x:c>
      <x:c r="E451" s="115" t="n">
        <x:v>46</x:v>
      </x:c>
      <x:c r="F451" s="115" t="str">
        <x:v>Inspection physique</x:v>
      </x:c>
      <x:c r="G451" s="115" t="str">
        <x:v>1 niveaux ; 34 pièces ; 260 segments de mur ; 0 transitions. Inspection physique ; architecture complète encore ouverte.</x:v>
      </x:c>
      <x:c r="H451" s="115" t="str">
        <x:v>L 412 ; l 344 ; hauteur 52 m ; choix de composition auteur ; dimensions réelles à documenter</x:v>
      </x:c>
      <x:c r="I451" s="115" t="str">
        <x:v>À équilibrer</x:v>
      </x:c>
      <x:c r="J451" s="115" t="str">
        <x:v>Non</x:v>
      </x:c>
      <x:c r="K451" s="115" t="str">
        <x:v>Pièces décrites, murs, portes, niveaux et mobilier inspectables à l’échelle. Volumes réservés, raccord au seed, butin, rencontres et services de campagne restent à terminer.</x:v>
      </x:c>
    </x:row>
    <x:row r="452" ht="96" customHeight="1">
      <x:c r="A452" s="115" t="str">
        <x:v>EXT-MONDE-T009-V47</x:v>
      </x:c>
      <x:c r="B452" s="115" t="str">
        <x:v>EXT-MONDE-T009</x:v>
      </x:c>
      <x:c r="C452" s="115" t="str">
        <x:v>Offshore</x:v>
      </x:c>
      <x:c r="D452" s="115" t="str">
        <x:v>Plateforme pétrolière fixe</x:v>
      </x:c>
      <x:c r="E452" s="115" t="n">
        <x:v>47</x:v>
      </x:c>
      <x:c r="F452" s="115" t="str">
        <x:v>Inspection physique</x:v>
      </x:c>
      <x:c r="G452" s="115" t="str">
        <x:v>1 niveaux ; 34 pièces ; 260 segments de mur ; 0 transitions. Inspection physique ; architecture complète encore ouverte.</x:v>
      </x:c>
      <x:c r="H452" s="115" t="str">
        <x:v>L 412 ; l 344 ; hauteur 52 m ; choix de composition auteur ; dimensions réelles à documenter</x:v>
      </x:c>
      <x:c r="I452" s="115" t="str">
        <x:v>À équilibrer</x:v>
      </x:c>
      <x:c r="J452" s="115" t="str">
        <x:v>Non</x:v>
      </x:c>
      <x:c r="K452" s="115" t="str">
        <x:v>Pièces décrites, murs, portes, niveaux et mobilier inspectables à l’échelle. Volumes réservés, raccord au seed, butin, rencontres et services de campagne restent à terminer.</x:v>
      </x:c>
    </x:row>
    <x:row r="453" ht="96" customHeight="1">
      <x:c r="A453" s="115" t="str">
        <x:v>EXT-MONDE-T009-V48</x:v>
      </x:c>
      <x:c r="B453" s="115" t="str">
        <x:v>EXT-MONDE-T009</x:v>
      </x:c>
      <x:c r="C453" s="115" t="str">
        <x:v>Offshore</x:v>
      </x:c>
      <x:c r="D453" s="115" t="str">
        <x:v>Plateforme pétrolière fixe</x:v>
      </x:c>
      <x:c r="E453" s="115" t="n">
        <x:v>48</x:v>
      </x:c>
      <x:c r="F453" s="115" t="str">
        <x:v>Inspection physique</x:v>
      </x:c>
      <x:c r="G453" s="115" t="str">
        <x:v>1 niveaux ; 34 pièces ; 260 segments de mur ; 0 transitions. Inspection physique ; architecture complète encore ouverte.</x:v>
      </x:c>
      <x:c r="H453" s="115" t="str">
        <x:v>L 412 ; l 344 ; hauteur 52 m ; choix de composition auteur ; dimensions réelles à documenter</x:v>
      </x:c>
      <x:c r="I453" s="115" t="str">
        <x:v>À équilibrer</x:v>
      </x:c>
      <x:c r="J453" s="115" t="str">
        <x:v>Non</x:v>
      </x:c>
      <x:c r="K453" s="115" t="str">
        <x:v>Pièces décrites, murs, portes, niveaux et mobilier inspectables à l’échelle. Volumes réservés, raccord au seed, butin, rencontres et services de campagne restent à terminer.</x:v>
      </x:c>
    </x:row>
    <x:row r="454" ht="96" customHeight="1">
      <x:c r="A454" s="115" t="str">
        <x:v>EXT-MONDE-T009-V49</x:v>
      </x:c>
      <x:c r="B454" s="115" t="str">
        <x:v>EXT-MONDE-T009</x:v>
      </x:c>
      <x:c r="C454" s="115" t="str">
        <x:v>Offshore</x:v>
      </x:c>
      <x:c r="D454" s="115" t="str">
        <x:v>Plateforme pétrolière fixe</x:v>
      </x:c>
      <x:c r="E454" s="115" t="n">
        <x:v>49</x:v>
      </x:c>
      <x:c r="F454" s="115" t="str">
        <x:v>Inspection physique</x:v>
      </x:c>
      <x:c r="G454" s="115" t="str">
        <x:v>1 niveaux ; 34 pièces ; 260 segments de mur ; 0 transitions. Inspection physique ; architecture complète encore ouverte.</x:v>
      </x:c>
      <x:c r="H454" s="115" t="str">
        <x:v>L 412 ; l 344 ; hauteur 52 m ; choix de composition auteur ; dimensions réelles à documenter</x:v>
      </x:c>
      <x:c r="I454" s="115" t="str">
        <x:v>À équilibrer</x:v>
      </x:c>
      <x:c r="J454" s="115" t="str">
        <x:v>Non</x:v>
      </x:c>
      <x:c r="K454" s="115" t="str">
        <x:v>Pièces décrites, murs, portes, niveaux et mobilier inspectables à l’échelle. Volumes réservés, raccord au seed, butin, rencontres et services de campagne restent à terminer.</x:v>
      </x:c>
    </x:row>
    <x:row r="455" ht="96" customHeight="1">
      <x:c r="A455" s="115" t="str">
        <x:v>EXT-MONDE-T009-V50</x:v>
      </x:c>
      <x:c r="B455" s="115" t="str">
        <x:v>EXT-MONDE-T009</x:v>
      </x:c>
      <x:c r="C455" s="115" t="str">
        <x:v>Offshore</x:v>
      </x:c>
      <x:c r="D455" s="115" t="str">
        <x:v>Plateforme pétrolière fixe</x:v>
      </x:c>
      <x:c r="E455" s="115" t="n">
        <x:v>50</x:v>
      </x:c>
      <x:c r="F455" s="115" t="str">
        <x:v>Inspection physique</x:v>
      </x:c>
      <x:c r="G455" s="115" t="str">
        <x:v>1 niveaux ; 34 pièces ; 260 segments de mur ; 0 transitions. Inspection physique ; architecture complète encore ouverte.</x:v>
      </x:c>
      <x:c r="H455" s="115" t="str">
        <x:v>L 412 ; l 344 ; hauteur 52 m ; choix de composition auteur ; dimensions réelles à documenter</x:v>
      </x:c>
      <x:c r="I455" s="115" t="str">
        <x:v>À équilibrer</x:v>
      </x:c>
      <x:c r="J455" s="115" t="str">
        <x:v>Non</x:v>
      </x:c>
      <x:c r="K455" s="115" t="str">
        <x:v>Pièces décrites, murs, portes, niveaux et mobilier inspectables à l’échelle. Volumes réservés, raccord au seed, butin, rencontres et services de campagne restent à terminer.</x:v>
      </x:c>
    </x:row>
    <x:row r="456" ht="96" customHeight="1">
      <x:c r="A456" s="115" t="str">
        <x:v>EXT-MONDE-T010-V01</x:v>
      </x:c>
      <x:c r="B456" s="115" t="str">
        <x:v>EXT-MONDE-T010</x:v>
      </x:c>
      <x:c r="C456" s="115" t="str">
        <x:v>Offshore</x:v>
      </x:c>
      <x:c r="D456" s="115" t="str">
        <x:v>Plateforme semi-submersible</x:v>
      </x:c>
      <x:c r="E456" s="115" t="n">
        <x:v>1</x:v>
      </x:c>
      <x:c r="F456" s="115" t="str">
        <x:v>Inspection physique</x:v>
      </x:c>
      <x:c r="G456" s="115" t="str">
        <x:v>1 niveaux ; 34 pièces ; 260 segments de mur ; 0 transitions. Inspection physique ; architecture complète encore ouverte.</x:v>
      </x:c>
      <x:c r="H456" s="115" t="str">
        <x:v>L 376 ; l 316 ; hauteur 12 m ; choix de composition auteur ; dimensions réelles à documenter</x:v>
      </x:c>
      <x:c r="I456" s="115" t="str">
        <x:v>À équilibrer</x:v>
      </x:c>
      <x:c r="J456" s="115" t="str">
        <x:v>Non</x:v>
      </x:c>
      <x:c r="K456" s="115" t="str">
        <x:v>Pièces décrites, murs, portes, niveaux et mobilier inspectables à l’échelle. Volumes réservés, raccord au seed, butin, rencontres et services de campagne restent à terminer.</x:v>
      </x:c>
    </x:row>
    <x:row r="457" ht="96" customHeight="1">
      <x:c r="A457" s="115" t="str">
        <x:v>EXT-MONDE-T010-V02</x:v>
      </x:c>
      <x:c r="B457" s="115" t="str">
        <x:v>EXT-MONDE-T010</x:v>
      </x:c>
      <x:c r="C457" s="115" t="str">
        <x:v>Offshore</x:v>
      </x:c>
      <x:c r="D457" s="115" t="str">
        <x:v>Plateforme semi-submersible</x:v>
      </x:c>
      <x:c r="E457" s="115" t="n">
        <x:v>2</x:v>
      </x:c>
      <x:c r="F457" s="115" t="str">
        <x:v>Inspection physique</x:v>
      </x:c>
      <x:c r="G457" s="115" t="str">
        <x:v>1 niveaux ; 34 pièces ; 260 segments de mur ; 0 transitions. Inspection physique ; architecture complète encore ouverte.</x:v>
      </x:c>
      <x:c r="H457" s="115" t="str">
        <x:v>L 376 ; l 316 ; hauteur 12 m ; choix de composition auteur ; dimensions réelles à documenter</x:v>
      </x:c>
      <x:c r="I457" s="115" t="str">
        <x:v>À équilibrer</x:v>
      </x:c>
      <x:c r="J457" s="115" t="str">
        <x:v>Non</x:v>
      </x:c>
      <x:c r="K457" s="115" t="str">
        <x:v>Pièces décrites, murs, portes, niveaux et mobilier inspectables à l’échelle. Volumes réservés, raccord au seed, butin, rencontres et services de campagne restent à terminer.</x:v>
      </x:c>
    </x:row>
    <x:row r="458" ht="96" customHeight="1">
      <x:c r="A458" s="115" t="str">
        <x:v>EXT-MONDE-T010-V03</x:v>
      </x:c>
      <x:c r="B458" s="115" t="str">
        <x:v>EXT-MONDE-T010</x:v>
      </x:c>
      <x:c r="C458" s="115" t="str">
        <x:v>Offshore</x:v>
      </x:c>
      <x:c r="D458" s="115" t="str">
        <x:v>Plateforme semi-submersible</x:v>
      </x:c>
      <x:c r="E458" s="115" t="n">
        <x:v>3</x:v>
      </x:c>
      <x:c r="F458" s="115" t="str">
        <x:v>Inspection physique</x:v>
      </x:c>
      <x:c r="G458" s="115" t="str">
        <x:v>1 niveaux ; 34 pièces ; 260 segments de mur ; 0 transitions. Inspection physique ; architecture complète encore ouverte.</x:v>
      </x:c>
      <x:c r="H458" s="115" t="str">
        <x:v>L 376 ; l 316 ; hauteur 12 m ; choix de composition auteur ; dimensions réelles à documenter</x:v>
      </x:c>
      <x:c r="I458" s="115" t="str">
        <x:v>À équilibrer</x:v>
      </x:c>
      <x:c r="J458" s="115" t="str">
        <x:v>Non</x:v>
      </x:c>
      <x:c r="K458" s="115" t="str">
        <x:v>Pièces décrites, murs, portes, niveaux et mobilier inspectables à l’échelle. Volumes réservés, raccord au seed, butin, rencontres et services de campagne restent à terminer.</x:v>
      </x:c>
    </x:row>
    <x:row r="459" ht="96" customHeight="1">
      <x:c r="A459" s="115" t="str">
        <x:v>EXT-MONDE-T010-V04</x:v>
      </x:c>
      <x:c r="B459" s="115" t="str">
        <x:v>EXT-MONDE-T010</x:v>
      </x:c>
      <x:c r="C459" s="115" t="str">
        <x:v>Offshore</x:v>
      </x:c>
      <x:c r="D459" s="115" t="str">
        <x:v>Plateforme semi-submersible</x:v>
      </x:c>
      <x:c r="E459" s="115" t="n">
        <x:v>4</x:v>
      </x:c>
      <x:c r="F459" s="115" t="str">
        <x:v>Inspection physique</x:v>
      </x:c>
      <x:c r="G459" s="115" t="str">
        <x:v>1 niveaux ; 34 pièces ; 260 segments de mur ; 0 transitions. Inspection physique ; architecture complète encore ouverte.</x:v>
      </x:c>
      <x:c r="H459" s="115" t="str">
        <x:v>L 376 ; l 316 ; hauteur 12 m ; choix de composition auteur ; dimensions réelles à documenter</x:v>
      </x:c>
      <x:c r="I459" s="115" t="str">
        <x:v>À équilibrer</x:v>
      </x:c>
      <x:c r="J459" s="115" t="str">
        <x:v>Non</x:v>
      </x:c>
      <x:c r="K459" s="115" t="str">
        <x:v>Pièces décrites, murs, portes, niveaux et mobilier inspectables à l’échelle. Volumes réservés, raccord au seed, butin, rencontres et services de campagne restent à terminer.</x:v>
      </x:c>
    </x:row>
    <x:row r="460" ht="96" customHeight="1">
      <x:c r="A460" s="115" t="str">
        <x:v>EXT-MONDE-T010-V05</x:v>
      </x:c>
      <x:c r="B460" s="115" t="str">
        <x:v>EXT-MONDE-T010</x:v>
      </x:c>
      <x:c r="C460" s="115" t="str">
        <x:v>Offshore</x:v>
      </x:c>
      <x:c r="D460" s="115" t="str">
        <x:v>Plateforme semi-submersible</x:v>
      </x:c>
      <x:c r="E460" s="115" t="n">
        <x:v>5</x:v>
      </x:c>
      <x:c r="F460" s="115" t="str">
        <x:v>Inspection physique</x:v>
      </x:c>
      <x:c r="G460" s="115" t="str">
        <x:v>1 niveaux ; 34 pièces ; 260 segments de mur ; 0 transitions. Inspection physique ; architecture complète encore ouverte.</x:v>
      </x:c>
      <x:c r="H460" s="115" t="str">
        <x:v>L 376 ; l 316 ; hauteur 12 m ; choix de composition auteur ; dimensions réelles à documenter</x:v>
      </x:c>
      <x:c r="I460" s="115" t="str">
        <x:v>À équilibrer</x:v>
      </x:c>
      <x:c r="J460" s="115" t="str">
        <x:v>Non</x:v>
      </x:c>
      <x:c r="K460" s="115" t="str">
        <x:v>Pièces décrites, murs, portes, niveaux et mobilier inspectables à l’échelle. Volumes réservés, raccord au seed, butin, rencontres et services de campagne restent à terminer.</x:v>
      </x:c>
    </x:row>
    <x:row r="461" ht="96" customHeight="1">
      <x:c r="A461" s="115" t="str">
        <x:v>EXT-MONDE-T010-V06</x:v>
      </x:c>
      <x:c r="B461" s="115" t="str">
        <x:v>EXT-MONDE-T010</x:v>
      </x:c>
      <x:c r="C461" s="115" t="str">
        <x:v>Offshore</x:v>
      </x:c>
      <x:c r="D461" s="115" t="str">
        <x:v>Plateforme semi-submersible</x:v>
      </x:c>
      <x:c r="E461" s="115" t="n">
        <x:v>6</x:v>
      </x:c>
      <x:c r="F461" s="115" t="str">
        <x:v>Inspection physique</x:v>
      </x:c>
      <x:c r="G461" s="115" t="str">
        <x:v>1 niveaux ; 34 pièces ; 260 segments de mur ; 0 transitions. Inspection physique ; architecture complète encore ouverte.</x:v>
      </x:c>
      <x:c r="H461" s="115" t="str">
        <x:v>L 376 ; l 316 ; hauteur 12 m ; choix de composition auteur ; dimensions réelles à documenter</x:v>
      </x:c>
      <x:c r="I461" s="115" t="str">
        <x:v>À équilibrer</x:v>
      </x:c>
      <x:c r="J461" s="115" t="str">
        <x:v>Non</x:v>
      </x:c>
      <x:c r="K461" s="115" t="str">
        <x:v>Pièces décrites, murs, portes, niveaux et mobilier inspectables à l’échelle. Volumes réservés, raccord au seed, butin, rencontres et services de campagne restent à terminer.</x:v>
      </x:c>
    </x:row>
    <x:row r="462" ht="96" customHeight="1">
      <x:c r="A462" s="115" t="str">
        <x:v>EXT-MONDE-T010-V07</x:v>
      </x:c>
      <x:c r="B462" s="115" t="str">
        <x:v>EXT-MONDE-T010</x:v>
      </x:c>
      <x:c r="C462" s="115" t="str">
        <x:v>Offshore</x:v>
      </x:c>
      <x:c r="D462" s="115" t="str">
        <x:v>Plateforme semi-submersible</x:v>
      </x:c>
      <x:c r="E462" s="115" t="n">
        <x:v>7</x:v>
      </x:c>
      <x:c r="F462" s="115" t="str">
        <x:v>Inspection physique</x:v>
      </x:c>
      <x:c r="G462" s="115" t="str">
        <x:v>1 niveaux ; 34 pièces ; 260 segments de mur ; 0 transitions. Inspection physique ; architecture complète encore ouverte.</x:v>
      </x:c>
      <x:c r="H462" s="115" t="str">
        <x:v>L 376 ; l 316 ; hauteur 12 m ; choix de composition auteur ; dimensions réelles à documenter</x:v>
      </x:c>
      <x:c r="I462" s="115" t="str">
        <x:v>À équilibrer</x:v>
      </x:c>
      <x:c r="J462" s="115" t="str">
        <x:v>Non</x:v>
      </x:c>
      <x:c r="K462" s="115" t="str">
        <x:v>Pièces décrites, murs, portes, niveaux et mobilier inspectables à l’échelle. Volumes réservés, raccord au seed, butin, rencontres et services de campagne restent à terminer.</x:v>
      </x:c>
    </x:row>
    <x:row r="463" ht="96" customHeight="1">
      <x:c r="A463" s="115" t="str">
        <x:v>EXT-MONDE-T010-V08</x:v>
      </x:c>
      <x:c r="B463" s="115" t="str">
        <x:v>EXT-MONDE-T010</x:v>
      </x:c>
      <x:c r="C463" s="115" t="str">
        <x:v>Offshore</x:v>
      </x:c>
      <x:c r="D463" s="115" t="str">
        <x:v>Plateforme semi-submersible</x:v>
      </x:c>
      <x:c r="E463" s="115" t="n">
        <x:v>8</x:v>
      </x:c>
      <x:c r="F463" s="115" t="str">
        <x:v>Inspection physique</x:v>
      </x:c>
      <x:c r="G463" s="115" t="str">
        <x:v>1 niveaux ; 34 pièces ; 260 segments de mur ; 0 transitions. Inspection physique ; architecture complète encore ouverte.</x:v>
      </x:c>
      <x:c r="H463" s="115" t="str">
        <x:v>L 376 ; l 316 ; hauteur 12 m ; choix de composition auteur ; dimensions réelles à documenter</x:v>
      </x:c>
      <x:c r="I463" s="115" t="str">
        <x:v>À équilibrer</x:v>
      </x:c>
      <x:c r="J463" s="115" t="str">
        <x:v>Non</x:v>
      </x:c>
      <x:c r="K463" s="115" t="str">
        <x:v>Pièces décrites, murs, portes, niveaux et mobilier inspectables à l’échelle. Volumes réservés, raccord au seed, butin, rencontres et services de campagne restent à terminer.</x:v>
      </x:c>
    </x:row>
    <x:row r="464" ht="96" customHeight="1">
      <x:c r="A464" s="115" t="str">
        <x:v>EXT-MONDE-T010-V09</x:v>
      </x:c>
      <x:c r="B464" s="115" t="str">
        <x:v>EXT-MONDE-T010</x:v>
      </x:c>
      <x:c r="C464" s="115" t="str">
        <x:v>Offshore</x:v>
      </x:c>
      <x:c r="D464" s="115" t="str">
        <x:v>Plateforme semi-submersible</x:v>
      </x:c>
      <x:c r="E464" s="115" t="n">
        <x:v>9</x:v>
      </x:c>
      <x:c r="F464" s="115" t="str">
        <x:v>Inspection physique</x:v>
      </x:c>
      <x:c r="G464" s="115" t="str">
        <x:v>1 niveaux ; 34 pièces ; 260 segments de mur ; 0 transitions. Inspection physique ; architecture complète encore ouverte.</x:v>
      </x:c>
      <x:c r="H464" s="115" t="str">
        <x:v>L 376 ; l 316 ; hauteur 12 m ; choix de composition auteur ; dimensions réelles à documenter</x:v>
      </x:c>
      <x:c r="I464" s="115" t="str">
        <x:v>À équilibrer</x:v>
      </x:c>
      <x:c r="J464" s="115" t="str">
        <x:v>Non</x:v>
      </x:c>
      <x:c r="K464" s="115" t="str">
        <x:v>Pièces décrites, murs, portes, niveaux et mobilier inspectables à l’échelle. Volumes réservés, raccord au seed, butin, rencontres et services de campagne restent à terminer.</x:v>
      </x:c>
    </x:row>
    <x:row r="465" ht="96" customHeight="1">
      <x:c r="A465" s="115" t="str">
        <x:v>EXT-MONDE-T010-V10</x:v>
      </x:c>
      <x:c r="B465" s="115" t="str">
        <x:v>EXT-MONDE-T010</x:v>
      </x:c>
      <x:c r="C465" s="115" t="str">
        <x:v>Offshore</x:v>
      </x:c>
      <x:c r="D465" s="115" t="str">
        <x:v>Plateforme semi-submersible</x:v>
      </x:c>
      <x:c r="E465" s="115" t="n">
        <x:v>10</x:v>
      </x:c>
      <x:c r="F465" s="115" t="str">
        <x:v>Inspection physique</x:v>
      </x:c>
      <x:c r="G465" s="115" t="str">
        <x:v>1 niveaux ; 34 pièces ; 260 segments de mur ; 0 transitions. Inspection physique ; architecture complète encore ouverte.</x:v>
      </x:c>
      <x:c r="H465" s="115" t="str">
        <x:v>L 376 ; l 316 ; hauteur 12 m ; choix de composition auteur ; dimensions réelles à documenter</x:v>
      </x:c>
      <x:c r="I465" s="115" t="str">
        <x:v>À équilibrer</x:v>
      </x:c>
      <x:c r="J465" s="115" t="str">
        <x:v>Non</x:v>
      </x:c>
      <x:c r="K465" s="115" t="str">
        <x:v>Pièces décrites, murs, portes, niveaux et mobilier inspectables à l’échelle. Volumes réservés, raccord au seed, butin, rencontres et services de campagne restent à terminer.</x:v>
      </x:c>
    </x:row>
    <x:row r="466" ht="96" customHeight="1">
      <x:c r="A466" s="115" t="str">
        <x:v>EXT-MONDE-T010-V11</x:v>
      </x:c>
      <x:c r="B466" s="115" t="str">
        <x:v>EXT-MONDE-T010</x:v>
      </x:c>
      <x:c r="C466" s="115" t="str">
        <x:v>Offshore</x:v>
      </x:c>
      <x:c r="D466" s="115" t="str">
        <x:v>Plateforme semi-submersible</x:v>
      </x:c>
      <x:c r="E466" s="115" t="n">
        <x:v>11</x:v>
      </x:c>
      <x:c r="F466" s="115" t="str">
        <x:v>Inspection physique</x:v>
      </x:c>
      <x:c r="G466" s="115" t="str">
        <x:v>1 niveaux ; 34 pièces ; 260 segments de mur ; 0 transitions. Inspection physique ; architecture complète encore ouverte.</x:v>
      </x:c>
      <x:c r="H466" s="115" t="str">
        <x:v>L 390 ; l 328 ; hauteur 12 m ; choix de composition auteur ; dimensions réelles à documenter</x:v>
      </x:c>
      <x:c r="I466" s="115" t="str">
        <x:v>À équilibrer</x:v>
      </x:c>
      <x:c r="J466" s="115" t="str">
        <x:v>Non</x:v>
      </x:c>
      <x:c r="K466" s="115" t="str">
        <x:v>Pièces décrites, murs, portes, niveaux et mobilier inspectables à l’échelle. Volumes réservés, raccord au seed, butin, rencontres et services de campagne restent à terminer.</x:v>
      </x:c>
    </x:row>
    <x:row r="467" ht="96" customHeight="1">
      <x:c r="A467" s="115" t="str">
        <x:v>EXT-MONDE-T010-V12</x:v>
      </x:c>
      <x:c r="B467" s="115" t="str">
        <x:v>EXT-MONDE-T010</x:v>
      </x:c>
      <x:c r="C467" s="115" t="str">
        <x:v>Offshore</x:v>
      </x:c>
      <x:c r="D467" s="115" t="str">
        <x:v>Plateforme semi-submersible</x:v>
      </x:c>
      <x:c r="E467" s="115" t="n">
        <x:v>12</x:v>
      </x:c>
      <x:c r="F467" s="115" t="str">
        <x:v>Inspection physique</x:v>
      </x:c>
      <x:c r="G467" s="115" t="str">
        <x:v>1 niveaux ; 34 pièces ; 260 segments de mur ; 0 transitions. Inspection physique ; architecture complète encore ouverte.</x:v>
      </x:c>
      <x:c r="H467" s="115" t="str">
        <x:v>L 390 ; l 328 ; hauteur 12 m ; choix de composition auteur ; dimensions réelles à documenter</x:v>
      </x:c>
      <x:c r="I467" s="115" t="str">
        <x:v>À équilibrer</x:v>
      </x:c>
      <x:c r="J467" s="115" t="str">
        <x:v>Non</x:v>
      </x:c>
      <x:c r="K467" s="115" t="str">
        <x:v>Pièces décrites, murs, portes, niveaux et mobilier inspectables à l’échelle. Volumes réservés, raccord au seed, butin, rencontres et services de campagne restent à terminer.</x:v>
      </x:c>
    </x:row>
    <x:row r="468" ht="96" customHeight="1">
      <x:c r="A468" s="115" t="str">
        <x:v>EXT-MONDE-T010-V13</x:v>
      </x:c>
      <x:c r="B468" s="115" t="str">
        <x:v>EXT-MONDE-T010</x:v>
      </x:c>
      <x:c r="C468" s="115" t="str">
        <x:v>Offshore</x:v>
      </x:c>
      <x:c r="D468" s="115" t="str">
        <x:v>Plateforme semi-submersible</x:v>
      </x:c>
      <x:c r="E468" s="115" t="n">
        <x:v>13</x:v>
      </x:c>
      <x:c r="F468" s="115" t="str">
        <x:v>Inspection physique</x:v>
      </x:c>
      <x:c r="G468" s="115" t="str">
        <x:v>1 niveaux ; 34 pièces ; 260 segments de mur ; 0 transitions. Inspection physique ; architecture complète encore ouverte.</x:v>
      </x:c>
      <x:c r="H468" s="115" t="str">
        <x:v>L 390 ; l 328 ; hauteur 12 m ; choix de composition auteur ; dimensions réelles à documenter</x:v>
      </x:c>
      <x:c r="I468" s="115" t="str">
        <x:v>À équilibrer</x:v>
      </x:c>
      <x:c r="J468" s="115" t="str">
        <x:v>Non</x:v>
      </x:c>
      <x:c r="K468" s="115" t="str">
        <x:v>Pièces décrites, murs, portes, niveaux et mobilier inspectables à l’échelle. Volumes réservés, raccord au seed, butin, rencontres et services de campagne restent à terminer.</x:v>
      </x:c>
    </x:row>
    <x:row r="469" ht="96" customHeight="1">
      <x:c r="A469" s="115" t="str">
        <x:v>EXT-MONDE-T010-V14</x:v>
      </x:c>
      <x:c r="B469" s="115" t="str">
        <x:v>EXT-MONDE-T010</x:v>
      </x:c>
      <x:c r="C469" s="115" t="str">
        <x:v>Offshore</x:v>
      </x:c>
      <x:c r="D469" s="115" t="str">
        <x:v>Plateforme semi-submersible</x:v>
      </x:c>
      <x:c r="E469" s="115" t="n">
        <x:v>14</x:v>
      </x:c>
      <x:c r="F469" s="115" t="str">
        <x:v>Inspection physique</x:v>
      </x:c>
      <x:c r="G469" s="115" t="str">
        <x:v>1 niveaux ; 34 pièces ; 260 segments de mur ; 0 transitions. Inspection physique ; architecture complète encore ouverte.</x:v>
      </x:c>
      <x:c r="H469" s="115" t="str">
        <x:v>L 390 ; l 328 ; hauteur 12 m ; choix de composition auteur ; dimensions réelles à documenter</x:v>
      </x:c>
      <x:c r="I469" s="115" t="str">
        <x:v>À équilibrer</x:v>
      </x:c>
      <x:c r="J469" s="115" t="str">
        <x:v>Non</x:v>
      </x:c>
      <x:c r="K469" s="115" t="str">
        <x:v>Pièces décrites, murs, portes, niveaux et mobilier inspectables à l’échelle. Volumes réservés, raccord au seed, butin, rencontres et services de campagne restent à terminer.</x:v>
      </x:c>
    </x:row>
    <x:row r="470" ht="96" customHeight="1">
      <x:c r="A470" s="115" t="str">
        <x:v>EXT-MONDE-T010-V15</x:v>
      </x:c>
      <x:c r="B470" s="115" t="str">
        <x:v>EXT-MONDE-T010</x:v>
      </x:c>
      <x:c r="C470" s="115" t="str">
        <x:v>Offshore</x:v>
      </x:c>
      <x:c r="D470" s="115" t="str">
        <x:v>Plateforme semi-submersible</x:v>
      </x:c>
      <x:c r="E470" s="115" t="n">
        <x:v>15</x:v>
      </x:c>
      <x:c r="F470" s="115" t="str">
        <x:v>Inspection physique</x:v>
      </x:c>
      <x:c r="G470" s="115" t="str">
        <x:v>1 niveaux ; 34 pièces ; 260 segments de mur ; 0 transitions. Inspection physique ; architecture complète encore ouverte.</x:v>
      </x:c>
      <x:c r="H470" s="115" t="str">
        <x:v>L 390 ; l 328 ; hauteur 12 m ; choix de composition auteur ; dimensions réelles à documenter</x:v>
      </x:c>
      <x:c r="I470" s="115" t="str">
        <x:v>À équilibrer</x:v>
      </x:c>
      <x:c r="J470" s="115" t="str">
        <x:v>Non</x:v>
      </x:c>
      <x:c r="K470" s="115" t="str">
        <x:v>Pièces décrites, murs, portes, niveaux et mobilier inspectables à l’échelle. Volumes réservés, raccord au seed, butin, rencontres et services de campagne restent à terminer.</x:v>
      </x:c>
    </x:row>
    <x:row r="471" ht="96" customHeight="1">
      <x:c r="A471" s="115" t="str">
        <x:v>EXT-MONDE-T010-V16</x:v>
      </x:c>
      <x:c r="B471" s="115" t="str">
        <x:v>EXT-MONDE-T010</x:v>
      </x:c>
      <x:c r="C471" s="115" t="str">
        <x:v>Offshore</x:v>
      </x:c>
      <x:c r="D471" s="115" t="str">
        <x:v>Plateforme semi-submersible</x:v>
      </x:c>
      <x:c r="E471" s="115" t="n">
        <x:v>16</x:v>
      </x:c>
      <x:c r="F471" s="115" t="str">
        <x:v>Inspection physique</x:v>
      </x:c>
      <x:c r="G471" s="115" t="str">
        <x:v>1 niveaux ; 34 pièces ; 260 segments de mur ; 0 transitions. Inspection physique ; architecture complète encore ouverte.</x:v>
      </x:c>
      <x:c r="H471" s="115" t="str">
        <x:v>L 390 ; l 328 ; hauteur 12 m ; choix de composition auteur ; dimensions réelles à documenter</x:v>
      </x:c>
      <x:c r="I471" s="115" t="str">
        <x:v>À équilibrer</x:v>
      </x:c>
      <x:c r="J471" s="115" t="str">
        <x:v>Non</x:v>
      </x:c>
      <x:c r="K471" s="115" t="str">
        <x:v>Pièces décrites, murs, portes, niveaux et mobilier inspectables à l’échelle. Volumes réservés, raccord au seed, butin, rencontres et services de campagne restent à terminer.</x:v>
      </x:c>
    </x:row>
    <x:row r="472" ht="96" customHeight="1">
      <x:c r="A472" s="115" t="str">
        <x:v>EXT-MONDE-T010-V17</x:v>
      </x:c>
      <x:c r="B472" s="115" t="str">
        <x:v>EXT-MONDE-T010</x:v>
      </x:c>
      <x:c r="C472" s="115" t="str">
        <x:v>Offshore</x:v>
      </x:c>
      <x:c r="D472" s="115" t="str">
        <x:v>Plateforme semi-submersible</x:v>
      </x:c>
      <x:c r="E472" s="115" t="n">
        <x:v>17</x:v>
      </x:c>
      <x:c r="F472" s="115" t="str">
        <x:v>Inspection physique</x:v>
      </x:c>
      <x:c r="G472" s="115" t="str">
        <x:v>1 niveaux ; 34 pièces ; 260 segments de mur ; 0 transitions. Inspection physique ; architecture complète encore ouverte.</x:v>
      </x:c>
      <x:c r="H472" s="115" t="str">
        <x:v>L 390 ; l 328 ; hauteur 12 m ; choix de composition auteur ; dimensions réelles à documenter</x:v>
      </x:c>
      <x:c r="I472" s="115" t="str">
        <x:v>À équilibrer</x:v>
      </x:c>
      <x:c r="J472" s="115" t="str">
        <x:v>Non</x:v>
      </x:c>
      <x:c r="K472" s="115" t="str">
        <x:v>Pièces décrites, murs, portes, niveaux et mobilier inspectables à l’échelle. Volumes réservés, raccord au seed, butin, rencontres et services de campagne restent à terminer.</x:v>
      </x:c>
    </x:row>
    <x:row r="473" ht="96" customHeight="1">
      <x:c r="A473" s="115" t="str">
        <x:v>EXT-MONDE-T010-V18</x:v>
      </x:c>
      <x:c r="B473" s="115" t="str">
        <x:v>EXT-MONDE-T010</x:v>
      </x:c>
      <x:c r="C473" s="115" t="str">
        <x:v>Offshore</x:v>
      </x:c>
      <x:c r="D473" s="115" t="str">
        <x:v>Plateforme semi-submersible</x:v>
      </x:c>
      <x:c r="E473" s="115" t="n">
        <x:v>18</x:v>
      </x:c>
      <x:c r="F473" s="115" t="str">
        <x:v>Inspection physique</x:v>
      </x:c>
      <x:c r="G473" s="115" t="str">
        <x:v>1 niveaux ; 34 pièces ; 260 segments de mur ; 0 transitions. Inspection physique ; architecture complète encore ouverte.</x:v>
      </x:c>
      <x:c r="H473" s="115" t="str">
        <x:v>L 390 ; l 328 ; hauteur 12 m ; choix de composition auteur ; dimensions réelles à documenter</x:v>
      </x:c>
      <x:c r="I473" s="115" t="str">
        <x:v>À équilibrer</x:v>
      </x:c>
      <x:c r="J473" s="115" t="str">
        <x:v>Non</x:v>
      </x:c>
      <x:c r="K473" s="115" t="str">
        <x:v>Pièces décrites, murs, portes, niveaux et mobilier inspectables à l’échelle. Volumes réservés, raccord au seed, butin, rencontres et services de campagne restent à terminer.</x:v>
      </x:c>
    </x:row>
    <x:row r="474" ht="96" customHeight="1">
      <x:c r="A474" s="115" t="str">
        <x:v>EXT-MONDE-T010-V19</x:v>
      </x:c>
      <x:c r="B474" s="115" t="str">
        <x:v>EXT-MONDE-T010</x:v>
      </x:c>
      <x:c r="C474" s="115" t="str">
        <x:v>Offshore</x:v>
      </x:c>
      <x:c r="D474" s="115" t="str">
        <x:v>Plateforme semi-submersible</x:v>
      </x:c>
      <x:c r="E474" s="115" t="n">
        <x:v>19</x:v>
      </x:c>
      <x:c r="F474" s="115" t="str">
        <x:v>Inspection physique</x:v>
      </x:c>
      <x:c r="G474" s="115" t="str">
        <x:v>1 niveaux ; 34 pièces ; 260 segments de mur ; 0 transitions. Inspection physique ; architecture complète encore ouverte.</x:v>
      </x:c>
      <x:c r="H474" s="115" t="str">
        <x:v>L 390 ; l 328 ; hauteur 12 m ; choix de composition auteur ; dimensions réelles à documenter</x:v>
      </x:c>
      <x:c r="I474" s="115" t="str">
        <x:v>À équilibrer</x:v>
      </x:c>
      <x:c r="J474" s="115" t="str">
        <x:v>Non</x:v>
      </x:c>
      <x:c r="K474" s="115" t="str">
        <x:v>Pièces décrites, murs, portes, niveaux et mobilier inspectables à l’échelle. Volumes réservés, raccord au seed, butin, rencontres et services de campagne restent à terminer.</x:v>
      </x:c>
    </x:row>
    <x:row r="475" ht="96" customHeight="1">
      <x:c r="A475" s="115" t="str">
        <x:v>EXT-MONDE-T010-V20</x:v>
      </x:c>
      <x:c r="B475" s="115" t="str">
        <x:v>EXT-MONDE-T010</x:v>
      </x:c>
      <x:c r="C475" s="115" t="str">
        <x:v>Offshore</x:v>
      </x:c>
      <x:c r="D475" s="115" t="str">
        <x:v>Plateforme semi-submersible</x:v>
      </x:c>
      <x:c r="E475" s="115" t="n">
        <x:v>20</x:v>
      </x:c>
      <x:c r="F475" s="115" t="str">
        <x:v>Inspection physique</x:v>
      </x:c>
      <x:c r="G475" s="115" t="str">
        <x:v>1 niveaux ; 34 pièces ; 260 segments de mur ; 0 transitions. Inspection physique ; architecture complète encore ouverte.</x:v>
      </x:c>
      <x:c r="H475" s="115" t="str">
        <x:v>L 390 ; l 328 ; hauteur 12 m ; choix de composition auteur ; dimensions réelles à documenter</x:v>
      </x:c>
      <x:c r="I475" s="115" t="str">
        <x:v>À équilibrer</x:v>
      </x:c>
      <x:c r="J475" s="115" t="str">
        <x:v>Non</x:v>
      </x:c>
      <x:c r="K475" s="115" t="str">
        <x:v>Pièces décrites, murs, portes, niveaux et mobilier inspectables à l’échelle. Volumes réservés, raccord au seed, butin, rencontres et services de campagne restent à terminer.</x:v>
      </x:c>
    </x:row>
    <x:row r="476" ht="96" customHeight="1">
      <x:c r="A476" s="115" t="str">
        <x:v>EXT-MONDE-T010-V21</x:v>
      </x:c>
      <x:c r="B476" s="115" t="str">
        <x:v>EXT-MONDE-T010</x:v>
      </x:c>
      <x:c r="C476" s="115" t="str">
        <x:v>Offshore</x:v>
      </x:c>
      <x:c r="D476" s="115" t="str">
        <x:v>Plateforme semi-submersible</x:v>
      </x:c>
      <x:c r="E476" s="115" t="n">
        <x:v>21</x:v>
      </x:c>
      <x:c r="F476" s="115" t="str">
        <x:v>Inspection physique</x:v>
      </x:c>
      <x:c r="G476" s="115" t="str">
        <x:v>1 niveaux ; 34 pièces ; 260 segments de mur ; 0 transitions. Inspection physique ; architecture complète encore ouverte.</x:v>
      </x:c>
      <x:c r="H476" s="115" t="str">
        <x:v>L 404 ; l 340 ; hauteur 12 m ; choix de composition auteur ; dimensions réelles à documenter</x:v>
      </x:c>
      <x:c r="I476" s="115" t="str">
        <x:v>À équilibrer</x:v>
      </x:c>
      <x:c r="J476" s="115" t="str">
        <x:v>Non</x:v>
      </x:c>
      <x:c r="K476" s="115" t="str">
        <x:v>Pièces décrites, murs, portes, niveaux et mobilier inspectables à l’échelle. Volumes réservés, raccord au seed, butin, rencontres et services de campagne restent à terminer.</x:v>
      </x:c>
    </x:row>
    <x:row r="477" ht="96" customHeight="1">
      <x:c r="A477" s="115" t="str">
        <x:v>EXT-MONDE-T010-V22</x:v>
      </x:c>
      <x:c r="B477" s="115" t="str">
        <x:v>EXT-MONDE-T010</x:v>
      </x:c>
      <x:c r="C477" s="115" t="str">
        <x:v>Offshore</x:v>
      </x:c>
      <x:c r="D477" s="115" t="str">
        <x:v>Plateforme semi-submersible</x:v>
      </x:c>
      <x:c r="E477" s="115" t="n">
        <x:v>22</x:v>
      </x:c>
      <x:c r="F477" s="115" t="str">
        <x:v>Inspection physique</x:v>
      </x:c>
      <x:c r="G477" s="115" t="str">
        <x:v>1 niveaux ; 34 pièces ; 260 segments de mur ; 0 transitions. Inspection physique ; architecture complète encore ouverte.</x:v>
      </x:c>
      <x:c r="H477" s="115" t="str">
        <x:v>L 404 ; l 340 ; hauteur 12 m ; choix de composition auteur ; dimensions réelles à documenter</x:v>
      </x:c>
      <x:c r="I477" s="115" t="str">
        <x:v>À équilibrer</x:v>
      </x:c>
      <x:c r="J477" s="115" t="str">
        <x:v>Non</x:v>
      </x:c>
      <x:c r="K477" s="115" t="str">
        <x:v>Pièces décrites, murs, portes, niveaux et mobilier inspectables à l’échelle. Volumes réservés, raccord au seed, butin, rencontres et services de campagne restent à terminer.</x:v>
      </x:c>
    </x:row>
    <x:row r="478" ht="96" customHeight="1">
      <x:c r="A478" s="115" t="str">
        <x:v>EXT-MONDE-T010-V23</x:v>
      </x:c>
      <x:c r="B478" s="115" t="str">
        <x:v>EXT-MONDE-T010</x:v>
      </x:c>
      <x:c r="C478" s="115" t="str">
        <x:v>Offshore</x:v>
      </x:c>
      <x:c r="D478" s="115" t="str">
        <x:v>Plateforme semi-submersible</x:v>
      </x:c>
      <x:c r="E478" s="115" t="n">
        <x:v>23</x:v>
      </x:c>
      <x:c r="F478" s="115" t="str">
        <x:v>Inspection physique</x:v>
      </x:c>
      <x:c r="G478" s="115" t="str">
        <x:v>1 niveaux ; 34 pièces ; 260 segments de mur ; 0 transitions. Inspection physique ; architecture complète encore ouverte.</x:v>
      </x:c>
      <x:c r="H478" s="115" t="str">
        <x:v>L 404 ; l 340 ; hauteur 12 m ; choix de composition auteur ; dimensions réelles à documenter</x:v>
      </x:c>
      <x:c r="I478" s="115" t="str">
        <x:v>À équilibrer</x:v>
      </x:c>
      <x:c r="J478" s="115" t="str">
        <x:v>Non</x:v>
      </x:c>
      <x:c r="K478" s="115" t="str">
        <x:v>Pièces décrites, murs, portes, niveaux et mobilier inspectables à l’échelle. Volumes réservés, raccord au seed, butin, rencontres et services de campagne restent à terminer.</x:v>
      </x:c>
    </x:row>
    <x:row r="479" ht="96" customHeight="1">
      <x:c r="A479" s="115" t="str">
        <x:v>EXT-MONDE-T010-V24</x:v>
      </x:c>
      <x:c r="B479" s="115" t="str">
        <x:v>EXT-MONDE-T010</x:v>
      </x:c>
      <x:c r="C479" s="115" t="str">
        <x:v>Offshore</x:v>
      </x:c>
      <x:c r="D479" s="115" t="str">
        <x:v>Plateforme semi-submersible</x:v>
      </x:c>
      <x:c r="E479" s="115" t="n">
        <x:v>24</x:v>
      </x:c>
      <x:c r="F479" s="115" t="str">
        <x:v>Inspection physique</x:v>
      </x:c>
      <x:c r="G479" s="115" t="str">
        <x:v>1 niveaux ; 34 pièces ; 260 segments de mur ; 0 transitions. Inspection physique ; architecture complète encore ouverte.</x:v>
      </x:c>
      <x:c r="H479" s="115" t="str">
        <x:v>L 404 ; l 340 ; hauteur 12 m ; choix de composition auteur ; dimensions réelles à documenter</x:v>
      </x:c>
      <x:c r="I479" s="115" t="str">
        <x:v>À équilibrer</x:v>
      </x:c>
      <x:c r="J479" s="115" t="str">
        <x:v>Non</x:v>
      </x:c>
      <x:c r="K479" s="115" t="str">
        <x:v>Pièces décrites, murs, portes, niveaux et mobilier inspectables à l’échelle. Volumes réservés, raccord au seed, butin, rencontres et services de campagne restent à terminer.</x:v>
      </x:c>
    </x:row>
    <x:row r="480" ht="96" customHeight="1">
      <x:c r="A480" s="115" t="str">
        <x:v>EXT-MONDE-T010-V25</x:v>
      </x:c>
      <x:c r="B480" s="115" t="str">
        <x:v>EXT-MONDE-T010</x:v>
      </x:c>
      <x:c r="C480" s="115" t="str">
        <x:v>Offshore</x:v>
      </x:c>
      <x:c r="D480" s="115" t="str">
        <x:v>Plateforme semi-submersible</x:v>
      </x:c>
      <x:c r="E480" s="115" t="n">
        <x:v>25</x:v>
      </x:c>
      <x:c r="F480" s="115" t="str">
        <x:v>Inspection physique</x:v>
      </x:c>
      <x:c r="G480" s="115" t="str">
        <x:v>1 niveaux ; 34 pièces ; 260 segments de mur ; 0 transitions. Inspection physique ; architecture complète encore ouverte.</x:v>
      </x:c>
      <x:c r="H480" s="115" t="str">
        <x:v>L 404 ; l 340 ; hauteur 12 m ; choix de composition auteur ; dimensions réelles à documenter</x:v>
      </x:c>
      <x:c r="I480" s="115" t="str">
        <x:v>À équilibrer</x:v>
      </x:c>
      <x:c r="J480" s="115" t="str">
        <x:v>Non</x:v>
      </x:c>
      <x:c r="K480" s="115" t="str">
        <x:v>Pièces décrites, murs, portes, niveaux et mobilier inspectables à l’échelle. Volumes réservés, raccord au seed, butin, rencontres et services de campagne restent à terminer.</x:v>
      </x:c>
    </x:row>
    <x:row r="481" ht="96" customHeight="1">
      <x:c r="A481" s="115" t="str">
        <x:v>EXT-MONDE-T010-V26</x:v>
      </x:c>
      <x:c r="B481" s="115" t="str">
        <x:v>EXT-MONDE-T010</x:v>
      </x:c>
      <x:c r="C481" s="115" t="str">
        <x:v>Offshore</x:v>
      </x:c>
      <x:c r="D481" s="115" t="str">
        <x:v>Plateforme semi-submersible</x:v>
      </x:c>
      <x:c r="E481" s="115" t="n">
        <x:v>26</x:v>
      </x:c>
      <x:c r="F481" s="115" t="str">
        <x:v>Inspection physique</x:v>
      </x:c>
      <x:c r="G481" s="115" t="str">
        <x:v>1 niveaux ; 34 pièces ; 260 segments de mur ; 0 transitions. Inspection physique ; architecture complète encore ouverte.</x:v>
      </x:c>
      <x:c r="H481" s="115" t="str">
        <x:v>L 404 ; l 340 ; hauteur 12 m ; choix de composition auteur ; dimensions réelles à documenter</x:v>
      </x:c>
      <x:c r="I481" s="115" t="str">
        <x:v>À équilibrer</x:v>
      </x:c>
      <x:c r="J481" s="115" t="str">
        <x:v>Non</x:v>
      </x:c>
      <x:c r="K481" s="115" t="str">
        <x:v>Pièces décrites, murs, portes, niveaux et mobilier inspectables à l’échelle. Volumes réservés, raccord au seed, butin, rencontres et services de campagne restent à terminer.</x:v>
      </x:c>
    </x:row>
    <x:row r="482" ht="96" customHeight="1">
      <x:c r="A482" s="115" t="str">
        <x:v>EXT-MONDE-T010-V27</x:v>
      </x:c>
      <x:c r="B482" s="115" t="str">
        <x:v>EXT-MONDE-T010</x:v>
      </x:c>
      <x:c r="C482" s="115" t="str">
        <x:v>Offshore</x:v>
      </x:c>
      <x:c r="D482" s="115" t="str">
        <x:v>Plateforme semi-submersible</x:v>
      </x:c>
      <x:c r="E482" s="115" t="n">
        <x:v>27</x:v>
      </x:c>
      <x:c r="F482" s="115" t="str">
        <x:v>Inspection physique</x:v>
      </x:c>
      <x:c r="G482" s="115" t="str">
        <x:v>1 niveaux ; 34 pièces ; 260 segments de mur ; 0 transitions. Inspection physique ; architecture complète encore ouverte.</x:v>
      </x:c>
      <x:c r="H482" s="115" t="str">
        <x:v>L 404 ; l 340 ; hauteur 12 m ; choix de composition auteur ; dimensions réelles à documenter</x:v>
      </x:c>
      <x:c r="I482" s="115" t="str">
        <x:v>À équilibrer</x:v>
      </x:c>
      <x:c r="J482" s="115" t="str">
        <x:v>Non</x:v>
      </x:c>
      <x:c r="K482" s="115" t="str">
        <x:v>Pièces décrites, murs, portes, niveaux et mobilier inspectables à l’échelle. Volumes réservés, raccord au seed, butin, rencontres et services de campagne restent à terminer.</x:v>
      </x:c>
    </x:row>
    <x:row r="483" ht="96" customHeight="1">
      <x:c r="A483" s="115" t="str">
        <x:v>EXT-MONDE-T010-V28</x:v>
      </x:c>
      <x:c r="B483" s="115" t="str">
        <x:v>EXT-MONDE-T010</x:v>
      </x:c>
      <x:c r="C483" s="115" t="str">
        <x:v>Offshore</x:v>
      </x:c>
      <x:c r="D483" s="115" t="str">
        <x:v>Plateforme semi-submersible</x:v>
      </x:c>
      <x:c r="E483" s="115" t="n">
        <x:v>28</x:v>
      </x:c>
      <x:c r="F483" s="115" t="str">
        <x:v>Inspection physique</x:v>
      </x:c>
      <x:c r="G483" s="115" t="str">
        <x:v>1 niveaux ; 34 pièces ; 260 segments de mur ; 0 transitions. Inspection physique ; architecture complète encore ouverte.</x:v>
      </x:c>
      <x:c r="H483" s="115" t="str">
        <x:v>L 404 ; l 340 ; hauteur 12 m ; choix de composition auteur ; dimensions réelles à documenter</x:v>
      </x:c>
      <x:c r="I483" s="115" t="str">
        <x:v>À équilibrer</x:v>
      </x:c>
      <x:c r="J483" s="115" t="str">
        <x:v>Non</x:v>
      </x:c>
      <x:c r="K483" s="115" t="str">
        <x:v>Pièces décrites, murs, portes, niveaux et mobilier inspectables à l’échelle. Volumes réservés, raccord au seed, butin, rencontres et services de campagne restent à terminer.</x:v>
      </x:c>
    </x:row>
    <x:row r="484" ht="96" customHeight="1">
      <x:c r="A484" s="115" t="str">
        <x:v>EXT-MONDE-T010-V29</x:v>
      </x:c>
      <x:c r="B484" s="115" t="str">
        <x:v>EXT-MONDE-T010</x:v>
      </x:c>
      <x:c r="C484" s="115" t="str">
        <x:v>Offshore</x:v>
      </x:c>
      <x:c r="D484" s="115" t="str">
        <x:v>Plateforme semi-submersible</x:v>
      </x:c>
      <x:c r="E484" s="115" t="n">
        <x:v>29</x:v>
      </x:c>
      <x:c r="F484" s="115" t="str">
        <x:v>Inspection physique</x:v>
      </x:c>
      <x:c r="G484" s="115" t="str">
        <x:v>1 niveaux ; 34 pièces ; 260 segments de mur ; 0 transitions. Inspection physique ; architecture complète encore ouverte.</x:v>
      </x:c>
      <x:c r="H484" s="115" t="str">
        <x:v>L 404 ; l 340 ; hauteur 12 m ; choix de composition auteur ; dimensions réelles à documenter</x:v>
      </x:c>
      <x:c r="I484" s="115" t="str">
        <x:v>À équilibrer</x:v>
      </x:c>
      <x:c r="J484" s="115" t="str">
        <x:v>Non</x:v>
      </x:c>
      <x:c r="K484" s="115" t="str">
        <x:v>Pièces décrites, murs, portes, niveaux et mobilier inspectables à l’échelle. Volumes réservés, raccord au seed, butin, rencontres et services de campagne restent à terminer.</x:v>
      </x:c>
    </x:row>
    <x:row r="485" ht="96" customHeight="1">
      <x:c r="A485" s="115" t="str">
        <x:v>EXT-MONDE-T010-V30</x:v>
      </x:c>
      <x:c r="B485" s="115" t="str">
        <x:v>EXT-MONDE-T010</x:v>
      </x:c>
      <x:c r="C485" s="115" t="str">
        <x:v>Offshore</x:v>
      </x:c>
      <x:c r="D485" s="115" t="str">
        <x:v>Plateforme semi-submersible</x:v>
      </x:c>
      <x:c r="E485" s="115" t="n">
        <x:v>30</x:v>
      </x:c>
      <x:c r="F485" s="115" t="str">
        <x:v>Inspection physique</x:v>
      </x:c>
      <x:c r="G485" s="115" t="str">
        <x:v>1 niveaux ; 34 pièces ; 260 segments de mur ; 0 transitions. Inspection physique ; architecture complète encore ouverte.</x:v>
      </x:c>
      <x:c r="H485" s="115" t="str">
        <x:v>L 404 ; l 340 ; hauteur 12 m ; choix de composition auteur ; dimensions réelles à documenter</x:v>
      </x:c>
      <x:c r="I485" s="115" t="str">
        <x:v>À équilibrer</x:v>
      </x:c>
      <x:c r="J485" s="115" t="str">
        <x:v>Non</x:v>
      </x:c>
      <x:c r="K485" s="115" t="str">
        <x:v>Pièces décrites, murs, portes, niveaux et mobilier inspectables à l’échelle. Volumes réservés, raccord au seed, butin, rencontres et services de campagne restent à terminer.</x:v>
      </x:c>
    </x:row>
    <x:row r="486" ht="96" customHeight="1">
      <x:c r="A486" s="115" t="str">
        <x:v>EXT-MONDE-T010-V31</x:v>
      </x:c>
      <x:c r="B486" s="115" t="str">
        <x:v>EXT-MONDE-T010</x:v>
      </x:c>
      <x:c r="C486" s="115" t="str">
        <x:v>Offshore</x:v>
      </x:c>
      <x:c r="D486" s="115" t="str">
        <x:v>Plateforme semi-submersible</x:v>
      </x:c>
      <x:c r="E486" s="115" t="n">
        <x:v>31</x:v>
      </x:c>
      <x:c r="F486" s="115" t="str">
        <x:v>Inspection physique</x:v>
      </x:c>
      <x:c r="G486" s="115" t="str">
        <x:v>1 niveaux ; 34 pièces ; 260 segments de mur ; 0 transitions. Inspection physique ; architecture complète encore ouverte.</x:v>
      </x:c>
      <x:c r="H486" s="115" t="str">
        <x:v>L 418 ; l 352 ; hauteur 12 m ; choix de composition auteur ; dimensions réelles à documenter</x:v>
      </x:c>
      <x:c r="I486" s="115" t="str">
        <x:v>À équilibrer</x:v>
      </x:c>
      <x:c r="J486" s="115" t="str">
        <x:v>Non</x:v>
      </x:c>
      <x:c r="K486" s="115" t="str">
        <x:v>Pièces décrites, murs, portes, niveaux et mobilier inspectables à l’échelle. Volumes réservés, raccord au seed, butin, rencontres et services de campagne restent à terminer.</x:v>
      </x:c>
    </x:row>
    <x:row r="487" ht="96" customHeight="1">
      <x:c r="A487" s="115" t="str">
        <x:v>EXT-MONDE-T010-V32</x:v>
      </x:c>
      <x:c r="B487" s="115" t="str">
        <x:v>EXT-MONDE-T010</x:v>
      </x:c>
      <x:c r="C487" s="115" t="str">
        <x:v>Offshore</x:v>
      </x:c>
      <x:c r="D487" s="115" t="str">
        <x:v>Plateforme semi-submersible</x:v>
      </x:c>
      <x:c r="E487" s="115" t="n">
        <x:v>32</x:v>
      </x:c>
      <x:c r="F487" s="115" t="str">
        <x:v>Inspection physique</x:v>
      </x:c>
      <x:c r="G487" s="115" t="str">
        <x:v>1 niveaux ; 34 pièces ; 260 segments de mur ; 0 transitions. Inspection physique ; architecture complète encore ouverte.</x:v>
      </x:c>
      <x:c r="H487" s="115" t="str">
        <x:v>L 418 ; l 352 ; hauteur 12 m ; choix de composition auteur ; dimensions réelles à documenter</x:v>
      </x:c>
      <x:c r="I487" s="115" t="str">
        <x:v>À équilibrer</x:v>
      </x:c>
      <x:c r="J487" s="115" t="str">
        <x:v>Non</x:v>
      </x:c>
      <x:c r="K487" s="115" t="str">
        <x:v>Pièces décrites, murs, portes, niveaux et mobilier inspectables à l’échelle. Volumes réservés, raccord au seed, butin, rencontres et services de campagne restent à terminer.</x:v>
      </x:c>
    </x:row>
    <x:row r="488" ht="96" customHeight="1">
      <x:c r="A488" s="115" t="str">
        <x:v>EXT-MONDE-T010-V33</x:v>
      </x:c>
      <x:c r="B488" s="115" t="str">
        <x:v>EXT-MONDE-T010</x:v>
      </x:c>
      <x:c r="C488" s="115" t="str">
        <x:v>Offshore</x:v>
      </x:c>
      <x:c r="D488" s="115" t="str">
        <x:v>Plateforme semi-submersible</x:v>
      </x:c>
      <x:c r="E488" s="115" t="n">
        <x:v>33</x:v>
      </x:c>
      <x:c r="F488" s="115" t="str">
        <x:v>Inspection physique</x:v>
      </x:c>
      <x:c r="G488" s="115" t="str">
        <x:v>1 niveaux ; 34 pièces ; 260 segments de mur ; 0 transitions. Inspection physique ; architecture complète encore ouverte.</x:v>
      </x:c>
      <x:c r="H488" s="115" t="str">
        <x:v>L 418 ; l 352 ; hauteur 12 m ; choix de composition auteur ; dimensions réelles à documenter</x:v>
      </x:c>
      <x:c r="I488" s="115" t="str">
        <x:v>À équilibrer</x:v>
      </x:c>
      <x:c r="J488" s="115" t="str">
        <x:v>Non</x:v>
      </x:c>
      <x:c r="K488" s="115" t="str">
        <x:v>Pièces décrites, murs, portes, niveaux et mobilier inspectables à l’échelle. Volumes réservés, raccord au seed, butin, rencontres et services de campagne restent à terminer.</x:v>
      </x:c>
    </x:row>
    <x:row r="489" ht="96" customHeight="1">
      <x:c r="A489" s="115" t="str">
        <x:v>EXT-MONDE-T010-V34</x:v>
      </x:c>
      <x:c r="B489" s="115" t="str">
        <x:v>EXT-MONDE-T010</x:v>
      </x:c>
      <x:c r="C489" s="115" t="str">
        <x:v>Offshore</x:v>
      </x:c>
      <x:c r="D489" s="115" t="str">
        <x:v>Plateforme semi-submersible</x:v>
      </x:c>
      <x:c r="E489" s="115" t="n">
        <x:v>34</x:v>
      </x:c>
      <x:c r="F489" s="115" t="str">
        <x:v>Inspection physique</x:v>
      </x:c>
      <x:c r="G489" s="115" t="str">
        <x:v>1 niveaux ; 34 pièces ; 260 segments de mur ; 0 transitions. Inspection physique ; architecture complète encore ouverte.</x:v>
      </x:c>
      <x:c r="H489" s="115" t="str">
        <x:v>L 418 ; l 352 ; hauteur 12 m ; choix de composition auteur ; dimensions réelles à documenter</x:v>
      </x:c>
      <x:c r="I489" s="115" t="str">
        <x:v>À équilibrer</x:v>
      </x:c>
      <x:c r="J489" s="115" t="str">
        <x:v>Non</x:v>
      </x:c>
      <x:c r="K489" s="115" t="str">
        <x:v>Pièces décrites, murs, portes, niveaux et mobilier inspectables à l’échelle. Volumes réservés, raccord au seed, butin, rencontres et services de campagne restent à terminer.</x:v>
      </x:c>
    </x:row>
    <x:row r="490" ht="96" customHeight="1">
      <x:c r="A490" s="115" t="str">
        <x:v>EXT-MONDE-T010-V35</x:v>
      </x:c>
      <x:c r="B490" s="115" t="str">
        <x:v>EXT-MONDE-T010</x:v>
      </x:c>
      <x:c r="C490" s="115" t="str">
        <x:v>Offshore</x:v>
      </x:c>
      <x:c r="D490" s="115" t="str">
        <x:v>Plateforme semi-submersible</x:v>
      </x:c>
      <x:c r="E490" s="115" t="n">
        <x:v>35</x:v>
      </x:c>
      <x:c r="F490" s="115" t="str">
        <x:v>Inspection physique</x:v>
      </x:c>
      <x:c r="G490" s="115" t="str">
        <x:v>1 niveaux ; 34 pièces ; 260 segments de mur ; 0 transitions. Inspection physique ; architecture complète encore ouverte.</x:v>
      </x:c>
      <x:c r="H490" s="115" t="str">
        <x:v>L 418 ; l 352 ; hauteur 12 m ; choix de composition auteur ; dimensions réelles à documenter</x:v>
      </x:c>
      <x:c r="I490" s="115" t="str">
        <x:v>À équilibrer</x:v>
      </x:c>
      <x:c r="J490" s="115" t="str">
        <x:v>Non</x:v>
      </x:c>
      <x:c r="K490" s="115" t="str">
        <x:v>Pièces décrites, murs, portes, niveaux et mobilier inspectables à l’échelle. Volumes réservés, raccord au seed, butin, rencontres et services de campagne restent à terminer.</x:v>
      </x:c>
    </x:row>
    <x:row r="491" ht="96" customHeight="1">
      <x:c r="A491" s="115" t="str">
        <x:v>EXT-MONDE-T010-V36</x:v>
      </x:c>
      <x:c r="B491" s="115" t="str">
        <x:v>EXT-MONDE-T010</x:v>
      </x:c>
      <x:c r="C491" s="115" t="str">
        <x:v>Offshore</x:v>
      </x:c>
      <x:c r="D491" s="115" t="str">
        <x:v>Plateforme semi-submersible</x:v>
      </x:c>
      <x:c r="E491" s="115" t="n">
        <x:v>36</x:v>
      </x:c>
      <x:c r="F491" s="115" t="str">
        <x:v>Inspection physique</x:v>
      </x:c>
      <x:c r="G491" s="115" t="str">
        <x:v>1 niveaux ; 34 pièces ; 260 segments de mur ; 0 transitions. Inspection physique ; architecture complète encore ouverte.</x:v>
      </x:c>
      <x:c r="H491" s="115" t="str">
        <x:v>L 418 ; l 352 ; hauteur 12 m ; choix de composition auteur ; dimensions réelles à documenter</x:v>
      </x:c>
      <x:c r="I491" s="115" t="str">
        <x:v>À équilibrer</x:v>
      </x:c>
      <x:c r="J491" s="115" t="str">
        <x:v>Non</x:v>
      </x:c>
      <x:c r="K491" s="115" t="str">
        <x:v>Pièces décrites, murs, portes, niveaux et mobilier inspectables à l’échelle. Volumes réservés, raccord au seed, butin, rencontres et services de campagne restent à terminer.</x:v>
      </x:c>
    </x:row>
    <x:row r="492" ht="96" customHeight="1">
      <x:c r="A492" s="115" t="str">
        <x:v>EXT-MONDE-T010-V37</x:v>
      </x:c>
      <x:c r="B492" s="115" t="str">
        <x:v>EXT-MONDE-T010</x:v>
      </x:c>
      <x:c r="C492" s="115" t="str">
        <x:v>Offshore</x:v>
      </x:c>
      <x:c r="D492" s="115" t="str">
        <x:v>Plateforme semi-submersible</x:v>
      </x:c>
      <x:c r="E492" s="115" t="n">
        <x:v>37</x:v>
      </x:c>
      <x:c r="F492" s="115" t="str">
        <x:v>Inspection physique</x:v>
      </x:c>
      <x:c r="G492" s="115" t="str">
        <x:v>1 niveaux ; 34 pièces ; 260 segments de mur ; 0 transitions. Inspection physique ; architecture complète encore ouverte.</x:v>
      </x:c>
      <x:c r="H492" s="115" t="str">
        <x:v>L 418 ; l 352 ; hauteur 12 m ; choix de composition auteur ; dimensions réelles à documenter</x:v>
      </x:c>
      <x:c r="I492" s="115" t="str">
        <x:v>À équilibrer</x:v>
      </x:c>
      <x:c r="J492" s="115" t="str">
        <x:v>Non</x:v>
      </x:c>
      <x:c r="K492" s="115" t="str">
        <x:v>Pièces décrites, murs, portes, niveaux et mobilier inspectables à l’échelle. Volumes réservés, raccord au seed, butin, rencontres et services de campagne restent à terminer.</x:v>
      </x:c>
    </x:row>
    <x:row r="493" ht="96" customHeight="1">
      <x:c r="A493" s="115" t="str">
        <x:v>EXT-MONDE-T010-V38</x:v>
      </x:c>
      <x:c r="B493" s="115" t="str">
        <x:v>EXT-MONDE-T010</x:v>
      </x:c>
      <x:c r="C493" s="115" t="str">
        <x:v>Offshore</x:v>
      </x:c>
      <x:c r="D493" s="115" t="str">
        <x:v>Plateforme semi-submersible</x:v>
      </x:c>
      <x:c r="E493" s="115" t="n">
        <x:v>38</x:v>
      </x:c>
      <x:c r="F493" s="115" t="str">
        <x:v>Inspection physique</x:v>
      </x:c>
      <x:c r="G493" s="115" t="str">
        <x:v>1 niveaux ; 34 pièces ; 260 segments de mur ; 0 transitions. Inspection physique ; architecture complète encore ouverte.</x:v>
      </x:c>
      <x:c r="H493" s="115" t="str">
        <x:v>L 418 ; l 352 ; hauteur 12 m ; choix de composition auteur ; dimensions réelles à documenter</x:v>
      </x:c>
      <x:c r="I493" s="115" t="str">
        <x:v>À équilibrer</x:v>
      </x:c>
      <x:c r="J493" s="115" t="str">
        <x:v>Non</x:v>
      </x:c>
      <x:c r="K493" s="115" t="str">
        <x:v>Pièces décrites, murs, portes, niveaux et mobilier inspectables à l’échelle. Volumes réservés, raccord au seed, butin, rencontres et services de campagne restent à terminer.</x:v>
      </x:c>
    </x:row>
    <x:row r="494" ht="96" customHeight="1">
      <x:c r="A494" s="115" t="str">
        <x:v>EXT-MONDE-T010-V39</x:v>
      </x:c>
      <x:c r="B494" s="115" t="str">
        <x:v>EXT-MONDE-T010</x:v>
      </x:c>
      <x:c r="C494" s="115" t="str">
        <x:v>Offshore</x:v>
      </x:c>
      <x:c r="D494" s="115" t="str">
        <x:v>Plateforme semi-submersible</x:v>
      </x:c>
      <x:c r="E494" s="115" t="n">
        <x:v>39</x:v>
      </x:c>
      <x:c r="F494" s="115" t="str">
        <x:v>Inspection physique</x:v>
      </x:c>
      <x:c r="G494" s="115" t="str">
        <x:v>1 niveaux ; 34 pièces ; 260 segments de mur ; 0 transitions. Inspection physique ; architecture complète encore ouverte.</x:v>
      </x:c>
      <x:c r="H494" s="115" t="str">
        <x:v>L 418 ; l 352 ; hauteur 12 m ; choix de composition auteur ; dimensions réelles à documenter</x:v>
      </x:c>
      <x:c r="I494" s="115" t="str">
        <x:v>À équilibrer</x:v>
      </x:c>
      <x:c r="J494" s="115" t="str">
        <x:v>Non</x:v>
      </x:c>
      <x:c r="K494" s="115" t="str">
        <x:v>Pièces décrites, murs, portes, niveaux et mobilier inspectables à l’échelle. Volumes réservés, raccord au seed, butin, rencontres et services de campagne restent à terminer.</x:v>
      </x:c>
    </x:row>
    <x:row r="495" ht="96" customHeight="1">
      <x:c r="A495" s="115" t="str">
        <x:v>EXT-MONDE-T010-V40</x:v>
      </x:c>
      <x:c r="B495" s="115" t="str">
        <x:v>EXT-MONDE-T010</x:v>
      </x:c>
      <x:c r="C495" s="115" t="str">
        <x:v>Offshore</x:v>
      </x:c>
      <x:c r="D495" s="115" t="str">
        <x:v>Plateforme semi-submersible</x:v>
      </x:c>
      <x:c r="E495" s="115" t="n">
        <x:v>40</x:v>
      </x:c>
      <x:c r="F495" s="115" t="str">
        <x:v>Inspection physique</x:v>
      </x:c>
      <x:c r="G495" s="115" t="str">
        <x:v>1 niveaux ; 34 pièces ; 260 segments de mur ; 0 transitions. Inspection physique ; architecture complète encore ouverte.</x:v>
      </x:c>
      <x:c r="H495" s="115" t="str">
        <x:v>L 418 ; l 352 ; hauteur 12 m ; choix de composition auteur ; dimensions réelles à documenter</x:v>
      </x:c>
      <x:c r="I495" s="115" t="str">
        <x:v>À équilibrer</x:v>
      </x:c>
      <x:c r="J495" s="115" t="str">
        <x:v>Non</x:v>
      </x:c>
      <x:c r="K495" s="115" t="str">
        <x:v>Pièces décrites, murs, portes, niveaux et mobilier inspectables à l’échelle. Volumes réservés, raccord au seed, butin, rencontres et services de campagne restent à terminer.</x:v>
      </x:c>
    </x:row>
    <x:row r="496" ht="96" customHeight="1">
      <x:c r="A496" s="115" t="str">
        <x:v>EXT-MONDE-T010-V41</x:v>
      </x:c>
      <x:c r="B496" s="115" t="str">
        <x:v>EXT-MONDE-T010</x:v>
      </x:c>
      <x:c r="C496" s="115" t="str">
        <x:v>Offshore</x:v>
      </x:c>
      <x:c r="D496" s="115" t="str">
        <x:v>Plateforme semi-submersible</x:v>
      </x:c>
      <x:c r="E496" s="115" t="n">
        <x:v>41</x:v>
      </x:c>
      <x:c r="F496" s="115" t="str">
        <x:v>Inspection physique</x:v>
      </x:c>
      <x:c r="G496" s="115" t="str">
        <x:v>1 niveaux ; 34 pièces ; 260 segments de mur ; 0 transitions. Inspection physique ; architecture complète encore ouverte.</x:v>
      </x:c>
      <x:c r="H496" s="115" t="str">
        <x:v>L 432 ; l 364 ; hauteur 12 m ; choix de composition auteur ; dimensions réelles à documenter</x:v>
      </x:c>
      <x:c r="I496" s="115" t="str">
        <x:v>À équilibrer</x:v>
      </x:c>
      <x:c r="J496" s="115" t="str">
        <x:v>Non</x:v>
      </x:c>
      <x:c r="K496" s="115" t="str">
        <x:v>Pièces décrites, murs, portes, niveaux et mobilier inspectables à l’échelle. Volumes réservés, raccord au seed, butin, rencontres et services de campagne restent à terminer.</x:v>
      </x:c>
    </x:row>
    <x:row r="497" ht="96" customHeight="1">
      <x:c r="A497" s="115" t="str">
        <x:v>EXT-MONDE-T010-V42</x:v>
      </x:c>
      <x:c r="B497" s="115" t="str">
        <x:v>EXT-MONDE-T010</x:v>
      </x:c>
      <x:c r="C497" s="115" t="str">
        <x:v>Offshore</x:v>
      </x:c>
      <x:c r="D497" s="115" t="str">
        <x:v>Plateforme semi-submersible</x:v>
      </x:c>
      <x:c r="E497" s="115" t="n">
        <x:v>42</x:v>
      </x:c>
      <x:c r="F497" s="115" t="str">
        <x:v>Inspection physique</x:v>
      </x:c>
      <x:c r="G497" s="115" t="str">
        <x:v>1 niveaux ; 34 pièces ; 260 segments de mur ; 0 transitions. Inspection physique ; architecture complète encore ouverte.</x:v>
      </x:c>
      <x:c r="H497" s="115" t="str">
        <x:v>L 432 ; l 364 ; hauteur 12 m ; choix de composition auteur ; dimensions réelles à documenter</x:v>
      </x:c>
      <x:c r="I497" s="115" t="str">
        <x:v>À équilibrer</x:v>
      </x:c>
      <x:c r="J497" s="115" t="str">
        <x:v>Non</x:v>
      </x:c>
      <x:c r="K497" s="115" t="str">
        <x:v>Pièces décrites, murs, portes, niveaux et mobilier inspectables à l’échelle. Volumes réservés, raccord au seed, butin, rencontres et services de campagne restent à terminer.</x:v>
      </x:c>
    </x:row>
    <x:row r="498" ht="96" customHeight="1">
      <x:c r="A498" s="115" t="str">
        <x:v>EXT-MONDE-T010-V43</x:v>
      </x:c>
      <x:c r="B498" s="115" t="str">
        <x:v>EXT-MONDE-T010</x:v>
      </x:c>
      <x:c r="C498" s="115" t="str">
        <x:v>Offshore</x:v>
      </x:c>
      <x:c r="D498" s="115" t="str">
        <x:v>Plateforme semi-submersible</x:v>
      </x:c>
      <x:c r="E498" s="115" t="n">
        <x:v>43</x:v>
      </x:c>
      <x:c r="F498" s="115" t="str">
        <x:v>Inspection physique</x:v>
      </x:c>
      <x:c r="G498" s="115" t="str">
        <x:v>1 niveaux ; 34 pièces ; 260 segments de mur ; 0 transitions. Inspection physique ; architecture complète encore ouverte.</x:v>
      </x:c>
      <x:c r="H498" s="115" t="str">
        <x:v>L 432 ; l 364 ; hauteur 12 m ; choix de composition auteur ; dimensions réelles à documenter</x:v>
      </x:c>
      <x:c r="I498" s="115" t="str">
        <x:v>À équilibrer</x:v>
      </x:c>
      <x:c r="J498" s="115" t="str">
        <x:v>Non</x:v>
      </x:c>
      <x:c r="K498" s="115" t="str">
        <x:v>Pièces décrites, murs, portes, niveaux et mobilier inspectables à l’échelle. Volumes réservés, raccord au seed, butin, rencontres et services de campagne restent à terminer.</x:v>
      </x:c>
    </x:row>
    <x:row r="499" ht="96" customHeight="1">
      <x:c r="A499" s="115" t="str">
        <x:v>EXT-MONDE-T010-V44</x:v>
      </x:c>
      <x:c r="B499" s="115" t="str">
        <x:v>EXT-MONDE-T010</x:v>
      </x:c>
      <x:c r="C499" s="115" t="str">
        <x:v>Offshore</x:v>
      </x:c>
      <x:c r="D499" s="115" t="str">
        <x:v>Plateforme semi-submersible</x:v>
      </x:c>
      <x:c r="E499" s="115" t="n">
        <x:v>44</x:v>
      </x:c>
      <x:c r="F499" s="115" t="str">
        <x:v>Inspection physique</x:v>
      </x:c>
      <x:c r="G499" s="115" t="str">
        <x:v>1 niveaux ; 34 pièces ; 260 segments de mur ; 0 transitions. Inspection physique ; architecture complète encore ouverte.</x:v>
      </x:c>
      <x:c r="H499" s="115" t="str">
        <x:v>L 432 ; l 364 ; hauteur 12 m ; choix de composition auteur ; dimensions réelles à documenter</x:v>
      </x:c>
      <x:c r="I499" s="115" t="str">
        <x:v>À équilibrer</x:v>
      </x:c>
      <x:c r="J499" s="115" t="str">
        <x:v>Non</x:v>
      </x:c>
      <x:c r="K499" s="115" t="str">
        <x:v>Pièces décrites, murs, portes, niveaux et mobilier inspectables à l’échelle. Volumes réservés, raccord au seed, butin, rencontres et services de campagne restent à terminer.</x:v>
      </x:c>
    </x:row>
    <x:row r="500" ht="96" customHeight="1">
      <x:c r="A500" s="115" t="str">
        <x:v>EXT-MONDE-T010-V45</x:v>
      </x:c>
      <x:c r="B500" s="115" t="str">
        <x:v>EXT-MONDE-T010</x:v>
      </x:c>
      <x:c r="C500" s="115" t="str">
        <x:v>Offshore</x:v>
      </x:c>
      <x:c r="D500" s="115" t="str">
        <x:v>Plateforme semi-submersible</x:v>
      </x:c>
      <x:c r="E500" s="115" t="n">
        <x:v>45</x:v>
      </x:c>
      <x:c r="F500" s="115" t="str">
        <x:v>Inspection physique</x:v>
      </x:c>
      <x:c r="G500" s="115" t="str">
        <x:v>1 niveaux ; 34 pièces ; 260 segments de mur ; 0 transitions. Inspection physique ; architecture complète encore ouverte.</x:v>
      </x:c>
      <x:c r="H500" s="115" t="str">
        <x:v>L 432 ; l 364 ; hauteur 12 m ; choix de composition auteur ; dimensions réelles à documenter</x:v>
      </x:c>
      <x:c r="I500" s="115" t="str">
        <x:v>À équilibrer</x:v>
      </x:c>
      <x:c r="J500" s="115" t="str">
        <x:v>Non</x:v>
      </x:c>
      <x:c r="K500" s="115" t="str">
        <x:v>Pièces décrites, murs, portes, niveaux et mobilier inspectables à l’échelle. Volumes réservés, raccord au seed, butin, rencontres et services de campagne restent à terminer.</x:v>
      </x:c>
    </x:row>
    <x:row r="501" ht="96" customHeight="1">
      <x:c r="A501" s="115" t="str">
        <x:v>EXT-MONDE-T010-V46</x:v>
      </x:c>
      <x:c r="B501" s="115" t="str">
        <x:v>EXT-MONDE-T010</x:v>
      </x:c>
      <x:c r="C501" s="115" t="str">
        <x:v>Offshore</x:v>
      </x:c>
      <x:c r="D501" s="115" t="str">
        <x:v>Plateforme semi-submersible</x:v>
      </x:c>
      <x:c r="E501" s="115" t="n">
        <x:v>46</x:v>
      </x:c>
      <x:c r="F501" s="115" t="str">
        <x:v>Inspection physique</x:v>
      </x:c>
      <x:c r="G501" s="115" t="str">
        <x:v>1 niveaux ; 34 pièces ; 260 segments de mur ; 0 transitions. Inspection physique ; architecture complète encore ouverte.</x:v>
      </x:c>
      <x:c r="H501" s="115" t="str">
        <x:v>L 432 ; l 364 ; hauteur 12 m ; choix de composition auteur ; dimensions réelles à documenter</x:v>
      </x:c>
      <x:c r="I501" s="115" t="str">
        <x:v>À équilibrer</x:v>
      </x:c>
      <x:c r="J501" s="115" t="str">
        <x:v>Non</x:v>
      </x:c>
      <x:c r="K501" s="115" t="str">
        <x:v>Pièces décrites, murs, portes, niveaux et mobilier inspectables à l’échelle. Volumes réservés, raccord au seed, butin, rencontres et services de campagne restent à terminer.</x:v>
      </x:c>
    </x:row>
    <x:row r="502" ht="96" customHeight="1">
      <x:c r="A502" s="115" t="str">
        <x:v>EXT-MONDE-T010-V47</x:v>
      </x:c>
      <x:c r="B502" s="115" t="str">
        <x:v>EXT-MONDE-T010</x:v>
      </x:c>
      <x:c r="C502" s="115" t="str">
        <x:v>Offshore</x:v>
      </x:c>
      <x:c r="D502" s="115" t="str">
        <x:v>Plateforme semi-submersible</x:v>
      </x:c>
      <x:c r="E502" s="115" t="n">
        <x:v>47</x:v>
      </x:c>
      <x:c r="F502" s="115" t="str">
        <x:v>Inspection physique</x:v>
      </x:c>
      <x:c r="G502" s="115" t="str">
        <x:v>1 niveaux ; 34 pièces ; 260 segments de mur ; 0 transitions. Inspection physique ; architecture complète encore ouverte.</x:v>
      </x:c>
      <x:c r="H502" s="115" t="str">
        <x:v>L 432 ; l 364 ; hauteur 12 m ; choix de composition auteur ; dimensions réelles à documenter</x:v>
      </x:c>
      <x:c r="I502" s="115" t="str">
        <x:v>À équilibrer</x:v>
      </x:c>
      <x:c r="J502" s="115" t="str">
        <x:v>Non</x:v>
      </x:c>
      <x:c r="K502" s="115" t="str">
        <x:v>Pièces décrites, murs, portes, niveaux et mobilier inspectables à l’échelle. Volumes réservés, raccord au seed, butin, rencontres et services de campagne restent à terminer.</x:v>
      </x:c>
    </x:row>
    <x:row r="503" ht="96" customHeight="1">
      <x:c r="A503" s="115" t="str">
        <x:v>EXT-MONDE-T010-V48</x:v>
      </x:c>
      <x:c r="B503" s="115" t="str">
        <x:v>EXT-MONDE-T010</x:v>
      </x:c>
      <x:c r="C503" s="115" t="str">
        <x:v>Offshore</x:v>
      </x:c>
      <x:c r="D503" s="115" t="str">
        <x:v>Plateforme semi-submersible</x:v>
      </x:c>
      <x:c r="E503" s="115" t="n">
        <x:v>48</x:v>
      </x:c>
      <x:c r="F503" s="115" t="str">
        <x:v>Inspection physique</x:v>
      </x:c>
      <x:c r="G503" s="115" t="str">
        <x:v>1 niveaux ; 34 pièces ; 260 segments de mur ; 0 transitions. Inspection physique ; architecture complète encore ouverte.</x:v>
      </x:c>
      <x:c r="H503" s="115" t="str">
        <x:v>L 432 ; l 364 ; hauteur 12 m ; choix de composition auteur ; dimensions réelles à documenter</x:v>
      </x:c>
      <x:c r="I503" s="115" t="str">
        <x:v>À équilibrer</x:v>
      </x:c>
      <x:c r="J503" s="115" t="str">
        <x:v>Non</x:v>
      </x:c>
      <x:c r="K503" s="115" t="str">
        <x:v>Pièces décrites, murs, portes, niveaux et mobilier inspectables à l’échelle. Volumes réservés, raccord au seed, butin, rencontres et services de campagne restent à terminer.</x:v>
      </x:c>
    </x:row>
    <x:row r="504" ht="96" customHeight="1">
      <x:c r="A504" s="115" t="str">
        <x:v>EXT-MONDE-T010-V49</x:v>
      </x:c>
      <x:c r="B504" s="115" t="str">
        <x:v>EXT-MONDE-T010</x:v>
      </x:c>
      <x:c r="C504" s="115" t="str">
        <x:v>Offshore</x:v>
      </x:c>
      <x:c r="D504" s="115" t="str">
        <x:v>Plateforme semi-submersible</x:v>
      </x:c>
      <x:c r="E504" s="115" t="n">
        <x:v>49</x:v>
      </x:c>
      <x:c r="F504" s="115" t="str">
        <x:v>Inspection physique</x:v>
      </x:c>
      <x:c r="G504" s="115" t="str">
        <x:v>1 niveaux ; 34 pièces ; 260 segments de mur ; 0 transitions. Inspection physique ; architecture complète encore ouverte.</x:v>
      </x:c>
      <x:c r="H504" s="115" t="str">
        <x:v>L 432 ; l 364 ; hauteur 12 m ; choix de composition auteur ; dimensions réelles à documenter</x:v>
      </x:c>
      <x:c r="I504" s="115" t="str">
        <x:v>À équilibrer</x:v>
      </x:c>
      <x:c r="J504" s="115" t="str">
        <x:v>Non</x:v>
      </x:c>
      <x:c r="K504" s="115" t="str">
        <x:v>Pièces décrites, murs, portes, niveaux et mobilier inspectables à l’échelle. Volumes réservés, raccord au seed, butin, rencontres et services de campagne restent à terminer.</x:v>
      </x:c>
    </x:row>
    <x:row r="505" ht="96" customHeight="1">
      <x:c r="A505" s="115" t="str">
        <x:v>EXT-MONDE-T010-V50</x:v>
      </x:c>
      <x:c r="B505" s="115" t="str">
        <x:v>EXT-MONDE-T010</x:v>
      </x:c>
      <x:c r="C505" s="115" t="str">
        <x:v>Offshore</x:v>
      </x:c>
      <x:c r="D505" s="115" t="str">
        <x:v>Plateforme semi-submersible</x:v>
      </x:c>
      <x:c r="E505" s="115" t="n">
        <x:v>50</x:v>
      </x:c>
      <x:c r="F505" s="115" t="str">
        <x:v>Inspection physique</x:v>
      </x:c>
      <x:c r="G505" s="115" t="str">
        <x:v>1 niveaux ; 34 pièces ; 260 segments de mur ; 0 transitions. Inspection physique ; architecture complète encore ouverte.</x:v>
      </x:c>
      <x:c r="H505" s="115" t="str">
        <x:v>L 432 ; l 364 ; hauteur 12 m ; choix de composition auteur ; dimensions réelles à documenter</x:v>
      </x:c>
      <x:c r="I505" s="115" t="str">
        <x:v>À équilibrer</x:v>
      </x:c>
      <x:c r="J505" s="115" t="str">
        <x:v>Non</x:v>
      </x:c>
      <x:c r="K505" s="115" t="str">
        <x:v>Pièces décrites, murs, portes, niveaux et mobilier inspectables à l’échelle. Volumes réservés, raccord au seed, butin, rencontres et services de campagne restent à terminer.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16,2 ; hauteur inconnue ; tirant 6,15 ; hauteur émergée auteur 11,75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16,2 ; hauteur inconnue ; tirant 6,15 ; hauteur émergée auteur 11,75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16,2 ; hauteur inconnue ; tirant 6,15 ; hauteur émergée auteur 11,75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16,2 ; hauteur inconnue ; tirant 6,15 ; hauteur émergée auteur 11,75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16,2 ; hauteur inconnue ; tirant 6,15 ; hauteur émergée auteur 11,75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16,2 ; hauteur inconnue ; tirant 6,15 ; hauteur émergée auteur 11,75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16,2 ; hauteur inconnue ; tirant 6,15 ; hauteur émergée auteur 11,75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16,2 ; hauteur inconnue ; tirant 6,15 ; hauteur émergée auteur 11,75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16,2 ; hauteur inconnue ; tirant 6,15 ; hauteur émergée auteur 11,75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16,2 ; hauteur inconnue ; tirant 6,15 ; hauteur émergée auteur 11,75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16,2 ; hauteur inconnue ; tirant 6,15 ; hauteur émergée auteur 11,75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16,2 ; hauteur inconnue ; tirant 6,15 ; hauteur émergée auteur 11,75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16,2 ; hauteur inconnue ; tirant 6,15 ; hauteur émergée auteur 11,75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16,2 ; hauteur inconnue ; tirant 6,15 ; hauteur émergée auteur 11,75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16,2 ; hauteur inconnue ; tirant 6,15 ; hauteur émergée auteur 11,75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16,2 ; hauteur inconnue ; tirant 6,15 ; hauteur émergée auteur 11,75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16,2 ; hauteur inconnue ; tirant 6,15 ; hauteur émergée auteur 11,75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16,2 ; hauteur inconnue ; tirant 6,15 ; hauteur émergée auteur 11,75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16,2 ; hauteur inconnue ; tirant 6,15 ; hauteur émergée auteur 11,75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16,2 ; hauteur inconnue ; tirant 6,15 ; hauteur émergée auteur 11,75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16,2 ; hauteur inconnue ; tirant 6,15 ; hauteur émergée auteur 11,75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16,2 ; hauteur inconnue ; tirant 6,15 ; hauteur émergée auteur 11,75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16,2 ; hauteur inconnue ; tirant 6,15 ; hauteur émergée auteur 11,75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16,2 ; hauteur inconnue ; tirant 6,15 ; hauteur émergée auteur 11,75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16,2 ; hauteur inconnue ; tirant 6,15 ; hauteur émergée auteur 11,75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16,2 ; hauteur inconnue ; tirant 6,15 ; hauteur émergée auteur 11,75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16,2 ; hauteur inconnue ; tirant 6,15 ; hauteur émergée auteur 11,75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16,2 ; hauteur inconnue ; tirant 6,15 ; hauteur émergée auteur 11,75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16,2 ; hauteur inconnue ; tirant 6,15 ; hauteur émergée auteur 11,75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16,2 ; hauteur inconnue ; tirant 6,15 ; hauteur émergée auteur 11,75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16,2 ; hauteur inconnue ; tirant 6,15 ; hauteur émergée auteur 11,75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16,2 ; hauteur inconnue ; tirant 6,15 ; hauteur émergée auteur 11,75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16,2 ; hauteur inconnue ; tirant 6,15 ; hauteur émergée auteur 11,75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16,2 ; hauteur inconnue ; tirant 6,15 ; hauteur émergée auteur 11,75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16,2 ; hauteur inconnue ; tirant 6,15 ; hauteur émergée auteur 11,75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16,2 ; hauteur inconnue ; tirant 6,15 ; hauteur émergée auteur 11,75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16,2 ; hauteur inconnue ; tirant 6,15 ; hauteur émergée auteur 11,75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16,2 ; hauteur inconnue ; tirant 6,15 ; hauteur émergée auteur 11,75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16,2 ; hauteur inconnue ; tirant 6,15 ; hauteur émergée auteur 11,75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16,2 ; hauteur inconnue ; tirant 6,15 ; hauteur émergée auteur 11,75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16,2 ; hauteur inconnue ; tirant 6,15 ; hauteur émergée auteur 11,75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16,2 ; hauteur inconnue ; tirant 6,15 ; hauteur émergée auteur 11,75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16,2 ; hauteur inconnue ; tirant 6,15 ; hauteur émergée auteur 11,75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16,2 ; hauteur inconnue ; tirant 6,15 ; hauteur émergée auteur 11,75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16,2 ; hauteur inconnue ; tirant 6,15 ; hauteur émergée auteur 11,75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16,2 ; hauteur inconnue ; tirant 6,15 ; hauteur émergée auteur 11,75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16,2 ; hauteur inconnue ; tirant 6,15 ; hauteur émergée auteur 11,75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16,2 ; hauteur inconnue ; tirant 6,15 ; hauteur émergée auteur 11,75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16,2 ; hauteur inconnue ; tirant 6,15 ; hauteur émergée auteur 11,75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16,2 ; hauteur inconnue ; tirant 6,15 ; hauteur émergée auteur 11,75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 ht="96" customHeight="1">
      <x:c r="A556" s="115" t="str">
        <x:v>EXT-MONDE-T012-V01</x:v>
      </x:c>
      <x:c r="B556" s="115" t="str">
        <x:v>EXT-MONDE-T012</x:v>
      </x:c>
      <x:c r="C556" s="115" t="str">
        <x:v>Offshore</x:v>
      </x:c>
      <x:c r="D556" s="115" t="str">
        <x:v>Station scientifique marine</x:v>
      </x:c>
      <x:c r="E556" s="115" t="n">
        <x:v>1</x:v>
      </x:c>
      <x:c r="F556" s="115" t="str">
        <x:v>Inspection physique</x:v>
      </x:c>
      <x:c r="G556" s="115" t="str">
        <x:v>1 niveaux ; 34 pièces ; 260 segments de mur ; 0 transitions. Inspection physique ; architecture complète encore ouverte.</x:v>
      </x:c>
      <x:c r="H556" s="115" t="str">
        <x:v>L 356 ; l 296 ; hauteur 26 m ; choix de composition auteur ; dimensions réelles à documenter</x:v>
      </x:c>
      <x:c r="I556" s="115" t="str">
        <x:v>À équilibrer</x:v>
      </x:c>
      <x:c r="J556" s="115" t="str">
        <x:v>Non</x:v>
      </x:c>
      <x:c r="K556" s="115" t="str">
        <x:v>Pièces décrites, murs, portes, niveaux et mobilier inspectables à l’échelle. Volumes réservés, raccord au seed, butin, rencontres et services de campagne restent à terminer.</x:v>
      </x:c>
    </x:row>
    <x:row r="557" ht="96" customHeight="1">
      <x:c r="A557" s="115" t="str">
        <x:v>EXT-MONDE-T012-V02</x:v>
      </x:c>
      <x:c r="B557" s="115" t="str">
        <x:v>EXT-MONDE-T012</x:v>
      </x:c>
      <x:c r="C557" s="115" t="str">
        <x:v>Offshore</x:v>
      </x:c>
      <x:c r="D557" s="115" t="str">
        <x:v>Station scientifique marine</x:v>
      </x:c>
      <x:c r="E557" s="115" t="n">
        <x:v>2</x:v>
      </x:c>
      <x:c r="F557" s="115" t="str">
        <x:v>Inspection physique</x:v>
      </x:c>
      <x:c r="G557" s="115" t="str">
        <x:v>1 niveaux ; 34 pièces ; 260 segments de mur ; 0 transitions. Inspection physique ; architecture complète encore ouverte.</x:v>
      </x:c>
      <x:c r="H557" s="115" t="str">
        <x:v>L 356 ; l 296 ; hauteur 26 m ; choix de composition auteur ; dimensions réelles à documenter</x:v>
      </x:c>
      <x:c r="I557" s="115" t="str">
        <x:v>À équilibrer</x:v>
      </x:c>
      <x:c r="J557" s="115" t="str">
        <x:v>Non</x:v>
      </x:c>
      <x:c r="K557" s="115" t="str">
        <x:v>Pièces décrites, murs, portes, niveaux et mobilier inspectables à l’échelle. Volumes réservés, raccord au seed, butin, rencontres et services de campagne restent à terminer.</x:v>
      </x:c>
    </x:row>
    <x:row r="558" ht="96" customHeight="1">
      <x:c r="A558" s="115" t="str">
        <x:v>EXT-MONDE-T012-V03</x:v>
      </x:c>
      <x:c r="B558" s="115" t="str">
        <x:v>EXT-MONDE-T012</x:v>
      </x:c>
      <x:c r="C558" s="115" t="str">
        <x:v>Offshore</x:v>
      </x:c>
      <x:c r="D558" s="115" t="str">
        <x:v>Station scientifique marine</x:v>
      </x:c>
      <x:c r="E558" s="115" t="n">
        <x:v>3</x:v>
      </x:c>
      <x:c r="F558" s="115" t="str">
        <x:v>Inspection physique</x:v>
      </x:c>
      <x:c r="G558" s="115" t="str">
        <x:v>1 niveaux ; 34 pièces ; 260 segments de mur ; 0 transitions. Inspection physique ; architecture complète encore ouverte.</x:v>
      </x:c>
      <x:c r="H558" s="115" t="str">
        <x:v>L 356 ; l 296 ; hauteur 26 m ; choix de composition auteur ; dimensions réelles à documenter</x:v>
      </x:c>
      <x:c r="I558" s="115" t="str">
        <x:v>À équilibrer</x:v>
      </x:c>
      <x:c r="J558" s="115" t="str">
        <x:v>Non</x:v>
      </x:c>
      <x:c r="K558" s="115" t="str">
        <x:v>Pièces décrites, murs, portes, niveaux et mobilier inspectables à l’échelle. Volumes réservés, raccord au seed, butin, rencontres et services de campagne restent à terminer.</x:v>
      </x:c>
    </x:row>
    <x:row r="559" ht="96" customHeight="1">
      <x:c r="A559" s="115" t="str">
        <x:v>EXT-MONDE-T012-V04</x:v>
      </x:c>
      <x:c r="B559" s="115" t="str">
        <x:v>EXT-MONDE-T012</x:v>
      </x:c>
      <x:c r="C559" s="115" t="str">
        <x:v>Offshore</x:v>
      </x:c>
      <x:c r="D559" s="115" t="str">
        <x:v>Station scientifique marine</x:v>
      </x:c>
      <x:c r="E559" s="115" t="n">
        <x:v>4</x:v>
      </x:c>
      <x:c r="F559" s="115" t="str">
        <x:v>Inspection physique</x:v>
      </x:c>
      <x:c r="G559" s="115" t="str">
        <x:v>1 niveaux ; 34 pièces ; 260 segments de mur ; 0 transitions. Inspection physique ; architecture complète encore ouverte.</x:v>
      </x:c>
      <x:c r="H559" s="115" t="str">
        <x:v>L 356 ; l 296 ; hauteur 26 m ; choix de composition auteur ; dimensions réelles à documenter</x:v>
      </x:c>
      <x:c r="I559" s="115" t="str">
        <x:v>À équilibrer</x:v>
      </x:c>
      <x:c r="J559" s="115" t="str">
        <x:v>Non</x:v>
      </x:c>
      <x:c r="K559" s="115" t="str">
        <x:v>Pièces décrites, murs, portes, niveaux et mobilier inspectables à l’échelle. Volumes réservés, raccord au seed, butin, rencontres et services de campagne restent à terminer.</x:v>
      </x:c>
    </x:row>
    <x:row r="560" ht="96" customHeight="1">
      <x:c r="A560" s="115" t="str">
        <x:v>EXT-MONDE-T012-V05</x:v>
      </x:c>
      <x:c r="B560" s="115" t="str">
        <x:v>EXT-MONDE-T012</x:v>
      </x:c>
      <x:c r="C560" s="115" t="str">
        <x:v>Offshore</x:v>
      </x:c>
      <x:c r="D560" s="115" t="str">
        <x:v>Station scientifique marine</x:v>
      </x:c>
      <x:c r="E560" s="115" t="n">
        <x:v>5</x:v>
      </x:c>
      <x:c r="F560" s="115" t="str">
        <x:v>Inspection physique</x:v>
      </x:c>
      <x:c r="G560" s="115" t="str">
        <x:v>1 niveaux ; 34 pièces ; 260 segments de mur ; 0 transitions. Inspection physique ; architecture complète encore ouverte.</x:v>
      </x:c>
      <x:c r="H560" s="115" t="str">
        <x:v>L 356 ; l 296 ; hauteur 26 m ; choix de composition auteur ; dimensions réelles à documenter</x:v>
      </x:c>
      <x:c r="I560" s="115" t="str">
        <x:v>À équilibrer</x:v>
      </x:c>
      <x:c r="J560" s="115" t="str">
        <x:v>Non</x:v>
      </x:c>
      <x:c r="K560" s="115" t="str">
        <x:v>Pièces décrites, murs, portes, niveaux et mobilier inspectables à l’échelle. Volumes réservés, raccord au seed, butin, rencontres et services de campagne restent à terminer.</x:v>
      </x:c>
    </x:row>
    <x:row r="561" ht="96" customHeight="1">
      <x:c r="A561" s="115" t="str">
        <x:v>EXT-MONDE-T012-V06</x:v>
      </x:c>
      <x:c r="B561" s="115" t="str">
        <x:v>EXT-MONDE-T012</x:v>
      </x:c>
      <x:c r="C561" s="115" t="str">
        <x:v>Offshore</x:v>
      </x:c>
      <x:c r="D561" s="115" t="str">
        <x:v>Station scientifique marine</x:v>
      </x:c>
      <x:c r="E561" s="115" t="n">
        <x:v>6</x:v>
      </x:c>
      <x:c r="F561" s="115" t="str">
        <x:v>Inspection physique</x:v>
      </x:c>
      <x:c r="G561" s="115" t="str">
        <x:v>1 niveaux ; 34 pièces ; 260 segments de mur ; 0 transitions. Inspection physique ; architecture complète encore ouverte.</x:v>
      </x:c>
      <x:c r="H561" s="115" t="str">
        <x:v>L 356 ; l 296 ; hauteur 26 m ; choix de composition auteur ; dimensions réelles à documenter</x:v>
      </x:c>
      <x:c r="I561" s="115" t="str">
        <x:v>À équilibrer</x:v>
      </x:c>
      <x:c r="J561" s="115" t="str">
        <x:v>Non</x:v>
      </x:c>
      <x:c r="K561" s="115" t="str">
        <x:v>Pièces décrites, murs, portes, niveaux et mobilier inspectables à l’échelle. Volumes réservés, raccord au seed, butin, rencontres et services de campagne restent à terminer.</x:v>
      </x:c>
    </x:row>
    <x:row r="562" ht="96" customHeight="1">
      <x:c r="A562" s="115" t="str">
        <x:v>EXT-MONDE-T012-V07</x:v>
      </x:c>
      <x:c r="B562" s="115" t="str">
        <x:v>EXT-MONDE-T012</x:v>
      </x:c>
      <x:c r="C562" s="115" t="str">
        <x:v>Offshore</x:v>
      </x:c>
      <x:c r="D562" s="115" t="str">
        <x:v>Station scientifique marine</x:v>
      </x:c>
      <x:c r="E562" s="115" t="n">
        <x:v>7</x:v>
      </x:c>
      <x:c r="F562" s="115" t="str">
        <x:v>Inspection physique</x:v>
      </x:c>
      <x:c r="G562" s="115" t="str">
        <x:v>1 niveaux ; 34 pièces ; 260 segments de mur ; 0 transitions. Inspection physique ; architecture complète encore ouverte.</x:v>
      </x:c>
      <x:c r="H562" s="115" t="str">
        <x:v>L 356 ; l 296 ; hauteur 26 m ; choix de composition auteur ; dimensions réelles à documenter</x:v>
      </x:c>
      <x:c r="I562" s="115" t="str">
        <x:v>À équilibrer</x:v>
      </x:c>
      <x:c r="J562" s="115" t="str">
        <x:v>Non</x:v>
      </x:c>
      <x:c r="K562" s="115" t="str">
        <x:v>Pièces décrites, murs, portes, niveaux et mobilier inspectables à l’échelle. Volumes réservés, raccord au seed, butin, rencontres et services de campagne restent à terminer.</x:v>
      </x:c>
    </x:row>
    <x:row r="563" ht="96" customHeight="1">
      <x:c r="A563" s="115" t="str">
        <x:v>EXT-MONDE-T012-V08</x:v>
      </x:c>
      <x:c r="B563" s="115" t="str">
        <x:v>EXT-MONDE-T012</x:v>
      </x:c>
      <x:c r="C563" s="115" t="str">
        <x:v>Offshore</x:v>
      </x:c>
      <x:c r="D563" s="115" t="str">
        <x:v>Station scientifique marine</x:v>
      </x:c>
      <x:c r="E563" s="115" t="n">
        <x:v>8</x:v>
      </x:c>
      <x:c r="F563" s="115" t="str">
        <x:v>Inspection physique</x:v>
      </x:c>
      <x:c r="G563" s="115" t="str">
        <x:v>1 niveaux ; 34 pièces ; 260 segments de mur ; 0 transitions. Inspection physique ; architecture complète encore ouverte.</x:v>
      </x:c>
      <x:c r="H563" s="115" t="str">
        <x:v>L 356 ; l 296 ; hauteur 26 m ; choix de composition auteur ; dimensions réelles à documenter</x:v>
      </x:c>
      <x:c r="I563" s="115" t="str">
        <x:v>À équilibrer</x:v>
      </x:c>
      <x:c r="J563" s="115" t="str">
        <x:v>Non</x:v>
      </x:c>
      <x:c r="K563" s="115" t="str">
        <x:v>Pièces décrites, murs, portes, niveaux et mobilier inspectables à l’échelle. Volumes réservés, raccord au seed, butin, rencontres et services de campagne restent à terminer.</x:v>
      </x:c>
    </x:row>
    <x:row r="564" ht="96" customHeight="1">
      <x:c r="A564" s="115" t="str">
        <x:v>EXT-MONDE-T012-V09</x:v>
      </x:c>
      <x:c r="B564" s="115" t="str">
        <x:v>EXT-MONDE-T012</x:v>
      </x:c>
      <x:c r="C564" s="115" t="str">
        <x:v>Offshore</x:v>
      </x:c>
      <x:c r="D564" s="115" t="str">
        <x:v>Station scientifique marine</x:v>
      </x:c>
      <x:c r="E564" s="115" t="n">
        <x:v>9</x:v>
      </x:c>
      <x:c r="F564" s="115" t="str">
        <x:v>Inspection physique</x:v>
      </x:c>
      <x:c r="G564" s="115" t="str">
        <x:v>1 niveaux ; 34 pièces ; 260 segments de mur ; 0 transitions. Inspection physique ; architecture complète encore ouverte.</x:v>
      </x:c>
      <x:c r="H564" s="115" t="str">
        <x:v>L 356 ; l 296 ; hauteur 26 m ; choix de composition auteur ; dimensions réelles à documenter</x:v>
      </x:c>
      <x:c r="I564" s="115" t="str">
        <x:v>À équilibrer</x:v>
      </x:c>
      <x:c r="J564" s="115" t="str">
        <x:v>Non</x:v>
      </x:c>
      <x:c r="K564" s="115" t="str">
        <x:v>Pièces décrites, murs, portes, niveaux et mobilier inspectables à l’échelle. Volumes réservés, raccord au seed, butin, rencontres et services de campagne restent à terminer.</x:v>
      </x:c>
    </x:row>
    <x:row r="565" ht="96" customHeight="1">
      <x:c r="A565" s="115" t="str">
        <x:v>EXT-MONDE-T012-V10</x:v>
      </x:c>
      <x:c r="B565" s="115" t="str">
        <x:v>EXT-MONDE-T012</x:v>
      </x:c>
      <x:c r="C565" s="115" t="str">
        <x:v>Offshore</x:v>
      </x:c>
      <x:c r="D565" s="115" t="str">
        <x:v>Station scientifique marine</x:v>
      </x:c>
      <x:c r="E565" s="115" t="n">
        <x:v>10</x:v>
      </x:c>
      <x:c r="F565" s="115" t="str">
        <x:v>Inspection physique</x:v>
      </x:c>
      <x:c r="G565" s="115" t="str">
        <x:v>1 niveaux ; 34 pièces ; 260 segments de mur ; 0 transitions. Inspection physique ; architecture complète encore ouverte.</x:v>
      </x:c>
      <x:c r="H565" s="115" t="str">
        <x:v>L 356 ; l 296 ; hauteur 26 m ; choix de composition auteur ; dimensions réelles à documenter</x:v>
      </x:c>
      <x:c r="I565" s="115" t="str">
        <x:v>À équilibrer</x:v>
      </x:c>
      <x:c r="J565" s="115" t="str">
        <x:v>Non</x:v>
      </x:c>
      <x:c r="K565" s="115" t="str">
        <x:v>Pièces décrites, murs, portes, niveaux et mobilier inspectables à l’échelle. Volumes réservés, raccord au seed, butin, rencontres et services de campagne restent à terminer.</x:v>
      </x:c>
    </x:row>
    <x:row r="566" ht="96" customHeight="1">
      <x:c r="A566" s="115" t="str">
        <x:v>EXT-MONDE-T012-V11</x:v>
      </x:c>
      <x:c r="B566" s="115" t="str">
        <x:v>EXT-MONDE-T012</x:v>
      </x:c>
      <x:c r="C566" s="115" t="str">
        <x:v>Offshore</x:v>
      </x:c>
      <x:c r="D566" s="115" t="str">
        <x:v>Station scientifique marine</x:v>
      </x:c>
      <x:c r="E566" s="115" t="n">
        <x:v>11</x:v>
      </x:c>
      <x:c r="F566" s="115" t="str">
        <x:v>Inspection physique</x:v>
      </x:c>
      <x:c r="G566" s="115" t="str">
        <x:v>1 niveaux ; 34 pièces ; 260 segments de mur ; 0 transitions. Inspection physique ; architecture complète encore ouverte.</x:v>
      </x:c>
      <x:c r="H566" s="115" t="str">
        <x:v>L 370 ; l 308 ; hauteur 26 m ; choix de composition auteur ; dimensions réelles à documenter</x:v>
      </x:c>
      <x:c r="I566" s="115" t="str">
        <x:v>À équilibrer</x:v>
      </x:c>
      <x:c r="J566" s="115" t="str">
        <x:v>Non</x:v>
      </x:c>
      <x:c r="K566" s="115" t="str">
        <x:v>Pièces décrites, murs, portes, niveaux et mobilier inspectables à l’échelle. Volumes réservés, raccord au seed, butin, rencontres et services de campagne restent à terminer.</x:v>
      </x:c>
    </x:row>
    <x:row r="567" ht="96" customHeight="1">
      <x:c r="A567" s="115" t="str">
        <x:v>EXT-MONDE-T012-V12</x:v>
      </x:c>
      <x:c r="B567" s="115" t="str">
        <x:v>EXT-MONDE-T012</x:v>
      </x:c>
      <x:c r="C567" s="115" t="str">
        <x:v>Offshore</x:v>
      </x:c>
      <x:c r="D567" s="115" t="str">
        <x:v>Station scientifique marine</x:v>
      </x:c>
      <x:c r="E567" s="115" t="n">
        <x:v>12</x:v>
      </x:c>
      <x:c r="F567" s="115" t="str">
        <x:v>Inspection physique</x:v>
      </x:c>
      <x:c r="G567" s="115" t="str">
        <x:v>1 niveaux ; 34 pièces ; 260 segments de mur ; 0 transitions. Inspection physique ; architecture complète encore ouverte.</x:v>
      </x:c>
      <x:c r="H567" s="115" t="str">
        <x:v>L 370 ; l 308 ; hauteur 26 m ; choix de composition auteur ; dimensions réelles à documenter</x:v>
      </x:c>
      <x:c r="I567" s="115" t="str">
        <x:v>À équilibrer</x:v>
      </x:c>
      <x:c r="J567" s="115" t="str">
        <x:v>Non</x:v>
      </x:c>
      <x:c r="K567" s="115" t="str">
        <x:v>Pièces décrites, murs, portes, niveaux et mobilier inspectables à l’échelle. Volumes réservés, raccord au seed, butin, rencontres et services de campagne restent à terminer.</x:v>
      </x:c>
    </x:row>
    <x:row r="568" ht="96" customHeight="1">
      <x:c r="A568" s="115" t="str">
        <x:v>EXT-MONDE-T012-V13</x:v>
      </x:c>
      <x:c r="B568" s="115" t="str">
        <x:v>EXT-MONDE-T012</x:v>
      </x:c>
      <x:c r="C568" s="115" t="str">
        <x:v>Offshore</x:v>
      </x:c>
      <x:c r="D568" s="115" t="str">
        <x:v>Station scientifique marine</x:v>
      </x:c>
      <x:c r="E568" s="115" t="n">
        <x:v>13</x:v>
      </x:c>
      <x:c r="F568" s="115" t="str">
        <x:v>Inspection physique</x:v>
      </x:c>
      <x:c r="G568" s="115" t="str">
        <x:v>1 niveaux ; 34 pièces ; 260 segments de mur ; 0 transitions. Inspection physique ; architecture complète encore ouverte.</x:v>
      </x:c>
      <x:c r="H568" s="115" t="str">
        <x:v>L 370 ; l 308 ; hauteur 26 m ; choix de composition auteur ; dimensions réelles à documenter</x:v>
      </x:c>
      <x:c r="I568" s="115" t="str">
        <x:v>À équilibrer</x:v>
      </x:c>
      <x:c r="J568" s="115" t="str">
        <x:v>Non</x:v>
      </x:c>
      <x:c r="K568" s="115" t="str">
        <x:v>Pièces décrites, murs, portes, niveaux et mobilier inspectables à l’échelle. Volumes réservés, raccord au seed, butin, rencontres et services de campagne restent à terminer.</x:v>
      </x:c>
    </x:row>
    <x:row r="569" ht="96" customHeight="1">
      <x:c r="A569" s="115" t="str">
        <x:v>EXT-MONDE-T012-V14</x:v>
      </x:c>
      <x:c r="B569" s="115" t="str">
        <x:v>EXT-MONDE-T012</x:v>
      </x:c>
      <x:c r="C569" s="115" t="str">
        <x:v>Offshore</x:v>
      </x:c>
      <x:c r="D569" s="115" t="str">
        <x:v>Station scientifique marine</x:v>
      </x:c>
      <x:c r="E569" s="115" t="n">
        <x:v>14</x:v>
      </x:c>
      <x:c r="F569" s="115" t="str">
        <x:v>Inspection physique</x:v>
      </x:c>
      <x:c r="G569" s="115" t="str">
        <x:v>1 niveaux ; 34 pièces ; 260 segments de mur ; 0 transitions. Inspection physique ; architecture complète encore ouverte.</x:v>
      </x:c>
      <x:c r="H569" s="115" t="str">
        <x:v>L 370 ; l 308 ; hauteur 26 m ; choix de composition auteur ; dimensions réelles à documenter</x:v>
      </x:c>
      <x:c r="I569" s="115" t="str">
        <x:v>À équilibrer</x:v>
      </x:c>
      <x:c r="J569" s="115" t="str">
        <x:v>Non</x:v>
      </x:c>
      <x:c r="K569" s="115" t="str">
        <x:v>Pièces décrites, murs, portes, niveaux et mobilier inspectables à l’échelle. Volumes réservés, raccord au seed, butin, rencontres et services de campagne restent à terminer.</x:v>
      </x:c>
    </x:row>
    <x:row r="570" ht="96" customHeight="1">
      <x:c r="A570" s="115" t="str">
        <x:v>EXT-MONDE-T012-V15</x:v>
      </x:c>
      <x:c r="B570" s="115" t="str">
        <x:v>EXT-MONDE-T012</x:v>
      </x:c>
      <x:c r="C570" s="115" t="str">
        <x:v>Offshore</x:v>
      </x:c>
      <x:c r="D570" s="115" t="str">
        <x:v>Station scientifique marine</x:v>
      </x:c>
      <x:c r="E570" s="115" t="n">
        <x:v>15</x:v>
      </x:c>
      <x:c r="F570" s="115" t="str">
        <x:v>Inspection physique</x:v>
      </x:c>
      <x:c r="G570" s="115" t="str">
        <x:v>1 niveaux ; 34 pièces ; 260 segments de mur ; 0 transitions. Inspection physique ; architecture complète encore ouverte.</x:v>
      </x:c>
      <x:c r="H570" s="115" t="str">
        <x:v>L 370 ; l 308 ; hauteur 26 m ; choix de composition auteur ; dimensions réelles à documenter</x:v>
      </x:c>
      <x:c r="I570" s="115" t="str">
        <x:v>À équilibrer</x:v>
      </x:c>
      <x:c r="J570" s="115" t="str">
        <x:v>Non</x:v>
      </x:c>
      <x:c r="K570" s="115" t="str">
        <x:v>Pièces décrites, murs, portes, niveaux et mobilier inspectables à l’échelle. Volumes réservés, raccord au seed, butin, rencontres et services de campagne restent à terminer.</x:v>
      </x:c>
    </x:row>
    <x:row r="571" ht="96" customHeight="1">
      <x:c r="A571" s="115" t="str">
        <x:v>EXT-MONDE-T012-V16</x:v>
      </x:c>
      <x:c r="B571" s="115" t="str">
        <x:v>EXT-MONDE-T012</x:v>
      </x:c>
      <x:c r="C571" s="115" t="str">
        <x:v>Offshore</x:v>
      </x:c>
      <x:c r="D571" s="115" t="str">
        <x:v>Station scientifique marine</x:v>
      </x:c>
      <x:c r="E571" s="115" t="n">
        <x:v>16</x:v>
      </x:c>
      <x:c r="F571" s="115" t="str">
        <x:v>Inspection physique</x:v>
      </x:c>
      <x:c r="G571" s="115" t="str">
        <x:v>1 niveaux ; 34 pièces ; 260 segments de mur ; 0 transitions. Inspection physique ; architecture complète encore ouverte.</x:v>
      </x:c>
      <x:c r="H571" s="115" t="str">
        <x:v>L 370 ; l 308 ; hauteur 26 m ; choix de composition auteur ; dimensions réelles à documenter</x:v>
      </x:c>
      <x:c r="I571" s="115" t="str">
        <x:v>À équilibrer</x:v>
      </x:c>
      <x:c r="J571" s="115" t="str">
        <x:v>Non</x:v>
      </x:c>
      <x:c r="K571" s="115" t="str">
        <x:v>Pièces décrites, murs, portes, niveaux et mobilier inspectables à l’échelle. Volumes réservés, raccord au seed, butin, rencontres et services de campagne restent à terminer.</x:v>
      </x:c>
    </x:row>
    <x:row r="572" ht="96" customHeight="1">
      <x:c r="A572" s="115" t="str">
        <x:v>EXT-MONDE-T012-V17</x:v>
      </x:c>
      <x:c r="B572" s="115" t="str">
        <x:v>EXT-MONDE-T012</x:v>
      </x:c>
      <x:c r="C572" s="115" t="str">
        <x:v>Offshore</x:v>
      </x:c>
      <x:c r="D572" s="115" t="str">
        <x:v>Station scientifique marine</x:v>
      </x:c>
      <x:c r="E572" s="115" t="n">
        <x:v>17</x:v>
      </x:c>
      <x:c r="F572" s="115" t="str">
        <x:v>Inspection physique</x:v>
      </x:c>
      <x:c r="G572" s="115" t="str">
        <x:v>1 niveaux ; 34 pièces ; 260 segments de mur ; 0 transitions. Inspection physique ; architecture complète encore ouverte.</x:v>
      </x:c>
      <x:c r="H572" s="115" t="str">
        <x:v>L 370 ; l 308 ; hauteur 26 m ; choix de composition auteur ; dimensions réelles à documenter</x:v>
      </x:c>
      <x:c r="I572" s="115" t="str">
        <x:v>À équilibrer</x:v>
      </x:c>
      <x:c r="J572" s="115" t="str">
        <x:v>Non</x:v>
      </x:c>
      <x:c r="K572" s="115" t="str">
        <x:v>Pièces décrites, murs, portes, niveaux et mobilier inspectables à l’échelle. Volumes réservés, raccord au seed, butin, rencontres et services de campagne restent à terminer.</x:v>
      </x:c>
    </x:row>
    <x:row r="573" ht="96" customHeight="1">
      <x:c r="A573" s="115" t="str">
        <x:v>EXT-MONDE-T012-V18</x:v>
      </x:c>
      <x:c r="B573" s="115" t="str">
        <x:v>EXT-MONDE-T012</x:v>
      </x:c>
      <x:c r="C573" s="115" t="str">
        <x:v>Offshore</x:v>
      </x:c>
      <x:c r="D573" s="115" t="str">
        <x:v>Station scientifique marine</x:v>
      </x:c>
      <x:c r="E573" s="115" t="n">
        <x:v>18</x:v>
      </x:c>
      <x:c r="F573" s="115" t="str">
        <x:v>Inspection physique</x:v>
      </x:c>
      <x:c r="G573" s="115" t="str">
        <x:v>1 niveaux ; 34 pièces ; 260 segments de mur ; 0 transitions. Inspection physique ; architecture complète encore ouverte.</x:v>
      </x:c>
      <x:c r="H573" s="115" t="str">
        <x:v>L 370 ; l 308 ; hauteur 26 m ; choix de composition auteur ; dimensions réelles à documenter</x:v>
      </x:c>
      <x:c r="I573" s="115" t="str">
        <x:v>À équilibrer</x:v>
      </x:c>
      <x:c r="J573" s="115" t="str">
        <x:v>Non</x:v>
      </x:c>
      <x:c r="K573" s="115" t="str">
        <x:v>Pièces décrites, murs, portes, niveaux et mobilier inspectables à l’échelle. Volumes réservés, raccord au seed, butin, rencontres et services de campagne restent à terminer.</x:v>
      </x:c>
    </x:row>
    <x:row r="574" ht="96" customHeight="1">
      <x:c r="A574" s="115" t="str">
        <x:v>EXT-MONDE-T012-V19</x:v>
      </x:c>
      <x:c r="B574" s="115" t="str">
        <x:v>EXT-MONDE-T012</x:v>
      </x:c>
      <x:c r="C574" s="115" t="str">
        <x:v>Offshore</x:v>
      </x:c>
      <x:c r="D574" s="115" t="str">
        <x:v>Station scientifique marine</x:v>
      </x:c>
      <x:c r="E574" s="115" t="n">
        <x:v>19</x:v>
      </x:c>
      <x:c r="F574" s="115" t="str">
        <x:v>Inspection physique</x:v>
      </x:c>
      <x:c r="G574" s="115" t="str">
        <x:v>1 niveaux ; 34 pièces ; 260 segments de mur ; 0 transitions. Inspection physique ; architecture complète encore ouverte.</x:v>
      </x:c>
      <x:c r="H574" s="115" t="str">
        <x:v>L 370 ; l 308 ; hauteur 26 m ; choix de composition auteur ; dimensions réelles à documenter</x:v>
      </x:c>
      <x:c r="I574" s="115" t="str">
        <x:v>À équilibrer</x:v>
      </x:c>
      <x:c r="J574" s="115" t="str">
        <x:v>Non</x:v>
      </x:c>
      <x:c r="K574" s="115" t="str">
        <x:v>Pièces décrites, murs, portes, niveaux et mobilier inspectables à l’échelle. Volumes réservés, raccord au seed, butin, rencontres et services de campagne restent à terminer.</x:v>
      </x:c>
    </x:row>
    <x:row r="575" ht="96" customHeight="1">
      <x:c r="A575" s="115" t="str">
        <x:v>EXT-MONDE-T012-V20</x:v>
      </x:c>
      <x:c r="B575" s="115" t="str">
        <x:v>EXT-MONDE-T012</x:v>
      </x:c>
      <x:c r="C575" s="115" t="str">
        <x:v>Offshore</x:v>
      </x:c>
      <x:c r="D575" s="115" t="str">
        <x:v>Station scientifique marine</x:v>
      </x:c>
      <x:c r="E575" s="115" t="n">
        <x:v>20</x:v>
      </x:c>
      <x:c r="F575" s="115" t="str">
        <x:v>Inspection physique</x:v>
      </x:c>
      <x:c r="G575" s="115" t="str">
        <x:v>1 niveaux ; 34 pièces ; 260 segments de mur ; 0 transitions. Inspection physique ; architecture complète encore ouverte.</x:v>
      </x:c>
      <x:c r="H575" s="115" t="str">
        <x:v>L 370 ; l 308 ; hauteur 26 m ; choix de composition auteur ; dimensions réelles à documenter</x:v>
      </x:c>
      <x:c r="I575" s="115" t="str">
        <x:v>À équilibrer</x:v>
      </x:c>
      <x:c r="J575" s="115" t="str">
        <x:v>Non</x:v>
      </x:c>
      <x:c r="K575" s="115" t="str">
        <x:v>Pièces décrites, murs, portes, niveaux et mobilier inspectables à l’échelle. Volumes réservés, raccord au seed, butin, rencontres et services de campagne restent à terminer.</x:v>
      </x:c>
    </x:row>
    <x:row r="576" ht="96" customHeight="1">
      <x:c r="A576" s="115" t="str">
        <x:v>EXT-MONDE-T012-V21</x:v>
      </x:c>
      <x:c r="B576" s="115" t="str">
        <x:v>EXT-MONDE-T012</x:v>
      </x:c>
      <x:c r="C576" s="115" t="str">
        <x:v>Offshore</x:v>
      </x:c>
      <x:c r="D576" s="115" t="str">
        <x:v>Station scientifique marine</x:v>
      </x:c>
      <x:c r="E576" s="115" t="n">
        <x:v>21</x:v>
      </x:c>
      <x:c r="F576" s="115" t="str">
        <x:v>Inspection physique</x:v>
      </x:c>
      <x:c r="G576" s="115" t="str">
        <x:v>1 niveaux ; 34 pièces ; 260 segments de mur ; 0 transitions. Inspection physique ; architecture complète encore ouverte.</x:v>
      </x:c>
      <x:c r="H576" s="115" t="str">
        <x:v>L 384 ; l 320 ; hauteur 26 m ; choix de composition auteur ; dimensions réelles à documenter</x:v>
      </x:c>
      <x:c r="I576" s="115" t="str">
        <x:v>À équilibrer</x:v>
      </x:c>
      <x:c r="J576" s="115" t="str">
        <x:v>Non</x:v>
      </x:c>
      <x:c r="K576" s="115" t="str">
        <x:v>Pièces décrites, murs, portes, niveaux et mobilier inspectables à l’échelle. Volumes réservés, raccord au seed, butin, rencontres et services de campagne restent à terminer.</x:v>
      </x:c>
    </x:row>
    <x:row r="577" ht="96" customHeight="1">
      <x:c r="A577" s="115" t="str">
        <x:v>EXT-MONDE-T012-V22</x:v>
      </x:c>
      <x:c r="B577" s="115" t="str">
        <x:v>EXT-MONDE-T012</x:v>
      </x:c>
      <x:c r="C577" s="115" t="str">
        <x:v>Offshore</x:v>
      </x:c>
      <x:c r="D577" s="115" t="str">
        <x:v>Station scientifique marine</x:v>
      </x:c>
      <x:c r="E577" s="115" t="n">
        <x:v>22</x:v>
      </x:c>
      <x:c r="F577" s="115" t="str">
        <x:v>Inspection physique</x:v>
      </x:c>
      <x:c r="G577" s="115" t="str">
        <x:v>1 niveaux ; 34 pièces ; 260 segments de mur ; 0 transitions. Inspection physique ; architecture complète encore ouverte.</x:v>
      </x:c>
      <x:c r="H577" s="115" t="str">
        <x:v>L 384 ; l 320 ; hauteur 26 m ; choix de composition auteur ; dimensions réelles à documenter</x:v>
      </x:c>
      <x:c r="I577" s="115" t="str">
        <x:v>À équilibrer</x:v>
      </x:c>
      <x:c r="J577" s="115" t="str">
        <x:v>Non</x:v>
      </x:c>
      <x:c r="K577" s="115" t="str">
        <x:v>Pièces décrites, murs, portes, niveaux et mobilier inspectables à l’échelle. Volumes réservés, raccord au seed, butin, rencontres et services de campagne restent à terminer.</x:v>
      </x:c>
    </x:row>
    <x:row r="578" ht="96" customHeight="1">
      <x:c r="A578" s="115" t="str">
        <x:v>EXT-MONDE-T012-V23</x:v>
      </x:c>
      <x:c r="B578" s="115" t="str">
        <x:v>EXT-MONDE-T012</x:v>
      </x:c>
      <x:c r="C578" s="115" t="str">
        <x:v>Offshore</x:v>
      </x:c>
      <x:c r="D578" s="115" t="str">
        <x:v>Station scientifique marine</x:v>
      </x:c>
      <x:c r="E578" s="115" t="n">
        <x:v>23</x:v>
      </x:c>
      <x:c r="F578" s="115" t="str">
        <x:v>Inspection physique</x:v>
      </x:c>
      <x:c r="G578" s="115" t="str">
        <x:v>1 niveaux ; 34 pièces ; 260 segments de mur ; 0 transitions. Inspection physique ; architecture complète encore ouverte.</x:v>
      </x:c>
      <x:c r="H578" s="115" t="str">
        <x:v>L 384 ; l 320 ; hauteur 26 m ; choix de composition auteur ; dimensions réelles à documenter</x:v>
      </x:c>
      <x:c r="I578" s="115" t="str">
        <x:v>À équilibrer</x:v>
      </x:c>
      <x:c r="J578" s="115" t="str">
        <x:v>Non</x:v>
      </x:c>
      <x:c r="K578" s="115" t="str">
        <x:v>Pièces décrites, murs, portes, niveaux et mobilier inspectables à l’échelle. Volumes réservés, raccord au seed, butin, rencontres et services de campagne restent à terminer.</x:v>
      </x:c>
    </x:row>
    <x:row r="579" ht="96" customHeight="1">
      <x:c r="A579" s="115" t="str">
        <x:v>EXT-MONDE-T012-V24</x:v>
      </x:c>
      <x:c r="B579" s="115" t="str">
        <x:v>EXT-MONDE-T012</x:v>
      </x:c>
      <x:c r="C579" s="115" t="str">
        <x:v>Offshore</x:v>
      </x:c>
      <x:c r="D579" s="115" t="str">
        <x:v>Station scientifique marine</x:v>
      </x:c>
      <x:c r="E579" s="115" t="n">
        <x:v>24</x:v>
      </x:c>
      <x:c r="F579" s="115" t="str">
        <x:v>Inspection physique</x:v>
      </x:c>
      <x:c r="G579" s="115" t="str">
        <x:v>1 niveaux ; 34 pièces ; 260 segments de mur ; 0 transitions. Inspection physique ; architecture complète encore ouverte.</x:v>
      </x:c>
      <x:c r="H579" s="115" t="str">
        <x:v>L 384 ; l 320 ; hauteur 26 m ; choix de composition auteur ; dimensions réelles à documenter</x:v>
      </x:c>
      <x:c r="I579" s="115" t="str">
        <x:v>À équilibrer</x:v>
      </x:c>
      <x:c r="J579" s="115" t="str">
        <x:v>Non</x:v>
      </x:c>
      <x:c r="K579" s="115" t="str">
        <x:v>Pièces décrites, murs, portes, niveaux et mobilier inspectables à l’échelle. Volumes réservés, raccord au seed, butin, rencontres et services de campagne restent à terminer.</x:v>
      </x:c>
    </x:row>
    <x:row r="580" ht="96" customHeight="1">
      <x:c r="A580" s="115" t="str">
        <x:v>EXT-MONDE-T012-V25</x:v>
      </x:c>
      <x:c r="B580" s="115" t="str">
        <x:v>EXT-MONDE-T012</x:v>
      </x:c>
      <x:c r="C580" s="115" t="str">
        <x:v>Offshore</x:v>
      </x:c>
      <x:c r="D580" s="115" t="str">
        <x:v>Station scientifique marine</x:v>
      </x:c>
      <x:c r="E580" s="115" t="n">
        <x:v>25</x:v>
      </x:c>
      <x:c r="F580" s="115" t="str">
        <x:v>Inspection physique</x:v>
      </x:c>
      <x:c r="G580" s="115" t="str">
        <x:v>1 niveaux ; 34 pièces ; 260 segments de mur ; 0 transitions. Inspection physique ; architecture complète encore ouverte.</x:v>
      </x:c>
      <x:c r="H580" s="115" t="str">
        <x:v>L 384 ; l 320 ; hauteur 26 m ; choix de composition auteur ; dimensions réelles à documenter</x:v>
      </x:c>
      <x:c r="I580" s="115" t="str">
        <x:v>À équilibrer</x:v>
      </x:c>
      <x:c r="J580" s="115" t="str">
        <x:v>Non</x:v>
      </x:c>
      <x:c r="K580" s="115" t="str">
        <x:v>Pièces décrites, murs, portes, niveaux et mobilier inspectables à l’échelle. Volumes réservés, raccord au seed, butin, rencontres et services de campagne restent à terminer.</x:v>
      </x:c>
    </x:row>
    <x:row r="581" ht="96" customHeight="1">
      <x:c r="A581" s="115" t="str">
        <x:v>EXT-MONDE-T012-V26</x:v>
      </x:c>
      <x:c r="B581" s="115" t="str">
        <x:v>EXT-MONDE-T012</x:v>
      </x:c>
      <x:c r="C581" s="115" t="str">
        <x:v>Offshore</x:v>
      </x:c>
      <x:c r="D581" s="115" t="str">
        <x:v>Station scientifique marine</x:v>
      </x:c>
      <x:c r="E581" s="115" t="n">
        <x:v>26</x:v>
      </x:c>
      <x:c r="F581" s="115" t="str">
        <x:v>Inspection physique</x:v>
      </x:c>
      <x:c r="G581" s="115" t="str">
        <x:v>1 niveaux ; 34 pièces ; 260 segments de mur ; 0 transitions. Inspection physique ; architecture complète encore ouverte.</x:v>
      </x:c>
      <x:c r="H581" s="115" t="str">
        <x:v>L 384 ; l 320 ; hauteur 26 m ; choix de composition auteur ; dimensions réelles à documenter</x:v>
      </x:c>
      <x:c r="I581" s="115" t="str">
        <x:v>À équilibrer</x:v>
      </x:c>
      <x:c r="J581" s="115" t="str">
        <x:v>Non</x:v>
      </x:c>
      <x:c r="K581" s="115" t="str">
        <x:v>Pièces décrites, murs, portes, niveaux et mobilier inspectables à l’échelle. Volumes réservés, raccord au seed, butin, rencontres et services de campagne restent à terminer.</x:v>
      </x:c>
    </x:row>
    <x:row r="582" ht="96" customHeight="1">
      <x:c r="A582" s="115" t="str">
        <x:v>EXT-MONDE-T012-V27</x:v>
      </x:c>
      <x:c r="B582" s="115" t="str">
        <x:v>EXT-MONDE-T012</x:v>
      </x:c>
      <x:c r="C582" s="115" t="str">
        <x:v>Offshore</x:v>
      </x:c>
      <x:c r="D582" s="115" t="str">
        <x:v>Station scientifique marine</x:v>
      </x:c>
      <x:c r="E582" s="115" t="n">
        <x:v>27</x:v>
      </x:c>
      <x:c r="F582" s="115" t="str">
        <x:v>Inspection physique</x:v>
      </x:c>
      <x:c r="G582" s="115" t="str">
        <x:v>1 niveaux ; 34 pièces ; 260 segments de mur ; 0 transitions. Inspection physique ; architecture complète encore ouverte.</x:v>
      </x:c>
      <x:c r="H582" s="115" t="str">
        <x:v>L 384 ; l 320 ; hauteur 26 m ; choix de composition auteur ; dimensions réelles à documenter</x:v>
      </x:c>
      <x:c r="I582" s="115" t="str">
        <x:v>À équilibrer</x:v>
      </x:c>
      <x:c r="J582" s="115" t="str">
        <x:v>Non</x:v>
      </x:c>
      <x:c r="K582" s="115" t="str">
        <x:v>Pièces décrites, murs, portes, niveaux et mobilier inspectables à l’échelle. Volumes réservés, raccord au seed, butin, rencontres et services de campagne restent à terminer.</x:v>
      </x:c>
    </x:row>
    <x:row r="583" ht="96" customHeight="1">
      <x:c r="A583" s="115" t="str">
        <x:v>EXT-MONDE-T012-V28</x:v>
      </x:c>
      <x:c r="B583" s="115" t="str">
        <x:v>EXT-MONDE-T012</x:v>
      </x:c>
      <x:c r="C583" s="115" t="str">
        <x:v>Offshore</x:v>
      </x:c>
      <x:c r="D583" s="115" t="str">
        <x:v>Station scientifique marine</x:v>
      </x:c>
      <x:c r="E583" s="115" t="n">
        <x:v>28</x:v>
      </x:c>
      <x:c r="F583" s="115" t="str">
        <x:v>Inspection physique</x:v>
      </x:c>
      <x:c r="G583" s="115" t="str">
        <x:v>1 niveaux ; 34 pièces ; 260 segments de mur ; 0 transitions. Inspection physique ; architecture complète encore ouverte.</x:v>
      </x:c>
      <x:c r="H583" s="115" t="str">
        <x:v>L 384 ; l 320 ; hauteur 26 m ; choix de composition auteur ; dimensions réelles à documenter</x:v>
      </x:c>
      <x:c r="I583" s="115" t="str">
        <x:v>À équilibrer</x:v>
      </x:c>
      <x:c r="J583" s="115" t="str">
        <x:v>Non</x:v>
      </x:c>
      <x:c r="K583" s="115" t="str">
        <x:v>Pièces décrites, murs, portes, niveaux et mobilier inspectables à l’échelle. Volumes réservés, raccord au seed, butin, rencontres et services de campagne restent à terminer.</x:v>
      </x:c>
    </x:row>
    <x:row r="584" ht="96" customHeight="1">
      <x:c r="A584" s="115" t="str">
        <x:v>EXT-MONDE-T012-V29</x:v>
      </x:c>
      <x:c r="B584" s="115" t="str">
        <x:v>EXT-MONDE-T012</x:v>
      </x:c>
      <x:c r="C584" s="115" t="str">
        <x:v>Offshore</x:v>
      </x:c>
      <x:c r="D584" s="115" t="str">
        <x:v>Station scientifique marine</x:v>
      </x:c>
      <x:c r="E584" s="115" t="n">
        <x:v>29</x:v>
      </x:c>
      <x:c r="F584" s="115" t="str">
        <x:v>Inspection physique</x:v>
      </x:c>
      <x:c r="G584" s="115" t="str">
        <x:v>1 niveaux ; 34 pièces ; 260 segments de mur ; 0 transitions. Inspection physique ; architecture complète encore ouverte.</x:v>
      </x:c>
      <x:c r="H584" s="115" t="str">
        <x:v>L 384 ; l 320 ; hauteur 26 m ; choix de composition auteur ; dimensions réelles à documenter</x:v>
      </x:c>
      <x:c r="I584" s="115" t="str">
        <x:v>À équilibrer</x:v>
      </x:c>
      <x:c r="J584" s="115" t="str">
        <x:v>Non</x:v>
      </x:c>
      <x:c r="K584" s="115" t="str">
        <x:v>Pièces décrites, murs, portes, niveaux et mobilier inspectables à l’échelle. Volumes réservés, raccord au seed, butin, rencontres et services de campagne restent à terminer.</x:v>
      </x:c>
    </x:row>
    <x:row r="585" ht="96" customHeight="1">
      <x:c r="A585" s="115" t="str">
        <x:v>EXT-MONDE-T012-V30</x:v>
      </x:c>
      <x:c r="B585" s="115" t="str">
        <x:v>EXT-MONDE-T012</x:v>
      </x:c>
      <x:c r="C585" s="115" t="str">
        <x:v>Offshore</x:v>
      </x:c>
      <x:c r="D585" s="115" t="str">
        <x:v>Station scientifique marine</x:v>
      </x:c>
      <x:c r="E585" s="115" t="n">
        <x:v>30</x:v>
      </x:c>
      <x:c r="F585" s="115" t="str">
        <x:v>Inspection physique</x:v>
      </x:c>
      <x:c r="G585" s="115" t="str">
        <x:v>1 niveaux ; 34 pièces ; 260 segments de mur ; 0 transitions. Inspection physique ; architecture complète encore ouverte.</x:v>
      </x:c>
      <x:c r="H585" s="115" t="str">
        <x:v>L 384 ; l 320 ; hauteur 26 m ; choix de composition auteur ; dimensions réelles à documenter</x:v>
      </x:c>
      <x:c r="I585" s="115" t="str">
        <x:v>À équilibrer</x:v>
      </x:c>
      <x:c r="J585" s="115" t="str">
        <x:v>Non</x:v>
      </x:c>
      <x:c r="K585" s="115" t="str">
        <x:v>Pièces décrites, murs, portes, niveaux et mobilier inspectables à l’échelle. Volumes réservés, raccord au seed, butin, rencontres et services de campagne restent à terminer.</x:v>
      </x:c>
    </x:row>
    <x:row r="586" ht="96" customHeight="1">
      <x:c r="A586" s="115" t="str">
        <x:v>EXT-MONDE-T012-V31</x:v>
      </x:c>
      <x:c r="B586" s="115" t="str">
        <x:v>EXT-MONDE-T012</x:v>
      </x:c>
      <x:c r="C586" s="115" t="str">
        <x:v>Offshore</x:v>
      </x:c>
      <x:c r="D586" s="115" t="str">
        <x:v>Station scientifique marine</x:v>
      </x:c>
      <x:c r="E586" s="115" t="n">
        <x:v>31</x:v>
      </x:c>
      <x:c r="F586" s="115" t="str">
        <x:v>Inspection physique</x:v>
      </x:c>
      <x:c r="G586" s="115" t="str">
        <x:v>1 niveaux ; 34 pièces ; 260 segments de mur ; 0 transitions. Inspection physique ; architecture complète encore ouverte.</x:v>
      </x:c>
      <x:c r="H586" s="115" t="str">
        <x:v>L 398 ; l 332 ; hauteur 26 m ; choix de composition auteur ; dimensions réelles à documenter</x:v>
      </x:c>
      <x:c r="I586" s="115" t="str">
        <x:v>À équilibrer</x:v>
      </x:c>
      <x:c r="J586" s="115" t="str">
        <x:v>Non</x:v>
      </x:c>
      <x:c r="K586" s="115" t="str">
        <x:v>Pièces décrites, murs, portes, niveaux et mobilier inspectables à l’échelle. Volumes réservés, raccord au seed, butin, rencontres et services de campagne restent à terminer.</x:v>
      </x:c>
    </x:row>
    <x:row r="587" ht="96" customHeight="1">
      <x:c r="A587" s="115" t="str">
        <x:v>EXT-MONDE-T012-V32</x:v>
      </x:c>
      <x:c r="B587" s="115" t="str">
        <x:v>EXT-MONDE-T012</x:v>
      </x:c>
      <x:c r="C587" s="115" t="str">
        <x:v>Offshore</x:v>
      </x:c>
      <x:c r="D587" s="115" t="str">
        <x:v>Station scientifique marine</x:v>
      </x:c>
      <x:c r="E587" s="115" t="n">
        <x:v>32</x:v>
      </x:c>
      <x:c r="F587" s="115" t="str">
        <x:v>Inspection physique</x:v>
      </x:c>
      <x:c r="G587" s="115" t="str">
        <x:v>1 niveaux ; 34 pièces ; 260 segments de mur ; 0 transitions. Inspection physique ; architecture complète encore ouverte.</x:v>
      </x:c>
      <x:c r="H587" s="115" t="str">
        <x:v>L 398 ; l 332 ; hauteur 26 m ; choix de composition auteur ; dimensions réelles à documenter</x:v>
      </x:c>
      <x:c r="I587" s="115" t="str">
        <x:v>À équilibrer</x:v>
      </x:c>
      <x:c r="J587" s="115" t="str">
        <x:v>Non</x:v>
      </x:c>
      <x:c r="K587" s="115" t="str">
        <x:v>Pièces décrites, murs, portes, niveaux et mobilier inspectables à l’échelle. Volumes réservés, raccord au seed, butin, rencontres et services de campagne restent à terminer.</x:v>
      </x:c>
    </x:row>
    <x:row r="588" ht="96" customHeight="1">
      <x:c r="A588" s="115" t="str">
        <x:v>EXT-MONDE-T012-V33</x:v>
      </x:c>
      <x:c r="B588" s="115" t="str">
        <x:v>EXT-MONDE-T012</x:v>
      </x:c>
      <x:c r="C588" s="115" t="str">
        <x:v>Offshore</x:v>
      </x:c>
      <x:c r="D588" s="115" t="str">
        <x:v>Station scientifique marine</x:v>
      </x:c>
      <x:c r="E588" s="115" t="n">
        <x:v>33</x:v>
      </x:c>
      <x:c r="F588" s="115" t="str">
        <x:v>Inspection physique</x:v>
      </x:c>
      <x:c r="G588" s="115" t="str">
        <x:v>1 niveaux ; 34 pièces ; 260 segments de mur ; 0 transitions. Inspection physique ; architecture complète encore ouverte.</x:v>
      </x:c>
      <x:c r="H588" s="115" t="str">
        <x:v>L 398 ; l 332 ; hauteur 26 m ; choix de composition auteur ; dimensions réelles à documenter</x:v>
      </x:c>
      <x:c r="I588" s="115" t="str">
        <x:v>À équilibrer</x:v>
      </x:c>
      <x:c r="J588" s="115" t="str">
        <x:v>Non</x:v>
      </x:c>
      <x:c r="K588" s="115" t="str">
        <x:v>Pièces décrites, murs, portes, niveaux et mobilier inspectables à l’échelle. Volumes réservés, raccord au seed, butin, rencontres et services de campagne restent à terminer.</x:v>
      </x:c>
    </x:row>
    <x:row r="589" ht="96" customHeight="1">
      <x:c r="A589" s="115" t="str">
        <x:v>EXT-MONDE-T012-V34</x:v>
      </x:c>
      <x:c r="B589" s="115" t="str">
        <x:v>EXT-MONDE-T012</x:v>
      </x:c>
      <x:c r="C589" s="115" t="str">
        <x:v>Offshore</x:v>
      </x:c>
      <x:c r="D589" s="115" t="str">
        <x:v>Station scientifique marine</x:v>
      </x:c>
      <x:c r="E589" s="115" t="n">
        <x:v>34</x:v>
      </x:c>
      <x:c r="F589" s="115" t="str">
        <x:v>Inspection physique</x:v>
      </x:c>
      <x:c r="G589" s="115" t="str">
        <x:v>1 niveaux ; 34 pièces ; 260 segments de mur ; 0 transitions. Inspection physique ; architecture complète encore ouverte.</x:v>
      </x:c>
      <x:c r="H589" s="115" t="str">
        <x:v>L 398 ; l 332 ; hauteur 26 m ; choix de composition auteur ; dimensions réelles à documenter</x:v>
      </x:c>
      <x:c r="I589" s="115" t="str">
        <x:v>À équilibrer</x:v>
      </x:c>
      <x:c r="J589" s="115" t="str">
        <x:v>Non</x:v>
      </x:c>
      <x:c r="K589" s="115" t="str">
        <x:v>Pièces décrites, murs, portes, niveaux et mobilier inspectables à l’échelle. Volumes réservés, raccord au seed, butin, rencontres et services de campagne restent à terminer.</x:v>
      </x:c>
    </x:row>
    <x:row r="590" ht="96" customHeight="1">
      <x:c r="A590" s="115" t="str">
        <x:v>EXT-MONDE-T012-V35</x:v>
      </x:c>
      <x:c r="B590" s="115" t="str">
        <x:v>EXT-MONDE-T012</x:v>
      </x:c>
      <x:c r="C590" s="115" t="str">
        <x:v>Offshore</x:v>
      </x:c>
      <x:c r="D590" s="115" t="str">
        <x:v>Station scientifique marine</x:v>
      </x:c>
      <x:c r="E590" s="115" t="n">
        <x:v>35</x:v>
      </x:c>
      <x:c r="F590" s="115" t="str">
        <x:v>Inspection physique</x:v>
      </x:c>
      <x:c r="G590" s="115" t="str">
        <x:v>1 niveaux ; 34 pièces ; 260 segments de mur ; 0 transitions. Inspection physique ; architecture complète encore ouverte.</x:v>
      </x:c>
      <x:c r="H590" s="115" t="str">
        <x:v>L 398 ; l 332 ; hauteur 26 m ; choix de composition auteur ; dimensions réelles à documenter</x:v>
      </x:c>
      <x:c r="I590" s="115" t="str">
        <x:v>À équilibrer</x:v>
      </x:c>
      <x:c r="J590" s="115" t="str">
        <x:v>Non</x:v>
      </x:c>
      <x:c r="K590" s="115" t="str">
        <x:v>Pièces décrites, murs, portes, niveaux et mobilier inspectables à l’échelle. Volumes réservés, raccord au seed, butin, rencontres et services de campagne restent à terminer.</x:v>
      </x:c>
    </x:row>
    <x:row r="591" ht="96" customHeight="1">
      <x:c r="A591" s="115" t="str">
        <x:v>EXT-MONDE-T012-V36</x:v>
      </x:c>
      <x:c r="B591" s="115" t="str">
        <x:v>EXT-MONDE-T012</x:v>
      </x:c>
      <x:c r="C591" s="115" t="str">
        <x:v>Offshore</x:v>
      </x:c>
      <x:c r="D591" s="115" t="str">
        <x:v>Station scientifique marine</x:v>
      </x:c>
      <x:c r="E591" s="115" t="n">
        <x:v>36</x:v>
      </x:c>
      <x:c r="F591" s="115" t="str">
        <x:v>Inspection physique</x:v>
      </x:c>
      <x:c r="G591" s="115" t="str">
        <x:v>1 niveaux ; 34 pièces ; 260 segments de mur ; 0 transitions. Inspection physique ; architecture complète encore ouverte.</x:v>
      </x:c>
      <x:c r="H591" s="115" t="str">
        <x:v>L 398 ; l 332 ; hauteur 26 m ; choix de composition auteur ; dimensions réelles à documenter</x:v>
      </x:c>
      <x:c r="I591" s="115" t="str">
        <x:v>À équilibrer</x:v>
      </x:c>
      <x:c r="J591" s="115" t="str">
        <x:v>Non</x:v>
      </x:c>
      <x:c r="K591" s="115" t="str">
        <x:v>Pièces décrites, murs, portes, niveaux et mobilier inspectables à l’échelle. Volumes réservés, raccord au seed, butin, rencontres et services de campagne restent à terminer.</x:v>
      </x:c>
    </x:row>
    <x:row r="592" ht="96" customHeight="1">
      <x:c r="A592" s="115" t="str">
        <x:v>EXT-MONDE-T012-V37</x:v>
      </x:c>
      <x:c r="B592" s="115" t="str">
        <x:v>EXT-MONDE-T012</x:v>
      </x:c>
      <x:c r="C592" s="115" t="str">
        <x:v>Offshore</x:v>
      </x:c>
      <x:c r="D592" s="115" t="str">
        <x:v>Station scientifique marine</x:v>
      </x:c>
      <x:c r="E592" s="115" t="n">
        <x:v>37</x:v>
      </x:c>
      <x:c r="F592" s="115" t="str">
        <x:v>Inspection physique</x:v>
      </x:c>
      <x:c r="G592" s="115" t="str">
        <x:v>1 niveaux ; 34 pièces ; 260 segments de mur ; 0 transitions. Inspection physique ; architecture complète encore ouverte.</x:v>
      </x:c>
      <x:c r="H592" s="115" t="str">
        <x:v>L 398 ; l 332 ; hauteur 26 m ; choix de composition auteur ; dimensions réelles à documenter</x:v>
      </x:c>
      <x:c r="I592" s="115" t="str">
        <x:v>À équilibrer</x:v>
      </x:c>
      <x:c r="J592" s="115" t="str">
        <x:v>Non</x:v>
      </x:c>
      <x:c r="K592" s="115" t="str">
        <x:v>Pièces décrites, murs, portes, niveaux et mobilier inspectables à l’échelle. Volumes réservés, raccord au seed, butin, rencontres et services de campagne restent à terminer.</x:v>
      </x:c>
    </x:row>
    <x:row r="593" ht="96" customHeight="1">
      <x:c r="A593" s="115" t="str">
        <x:v>EXT-MONDE-T012-V38</x:v>
      </x:c>
      <x:c r="B593" s="115" t="str">
        <x:v>EXT-MONDE-T012</x:v>
      </x:c>
      <x:c r="C593" s="115" t="str">
        <x:v>Offshore</x:v>
      </x:c>
      <x:c r="D593" s="115" t="str">
        <x:v>Station scientifique marine</x:v>
      </x:c>
      <x:c r="E593" s="115" t="n">
        <x:v>38</x:v>
      </x:c>
      <x:c r="F593" s="115" t="str">
        <x:v>Inspection physique</x:v>
      </x:c>
      <x:c r="G593" s="115" t="str">
        <x:v>1 niveaux ; 34 pièces ; 260 segments de mur ; 0 transitions. Inspection physique ; architecture complète encore ouverte.</x:v>
      </x:c>
      <x:c r="H593" s="115" t="str">
        <x:v>L 398 ; l 332 ; hauteur 26 m ; choix de composition auteur ; dimensions réelles à documenter</x:v>
      </x:c>
      <x:c r="I593" s="115" t="str">
        <x:v>À équilibrer</x:v>
      </x:c>
      <x:c r="J593" s="115" t="str">
        <x:v>Non</x:v>
      </x:c>
      <x:c r="K593" s="115" t="str">
        <x:v>Pièces décrites, murs, portes, niveaux et mobilier inspectables à l’échelle. Volumes réservés, raccord au seed, butin, rencontres et services de campagne restent à terminer.</x:v>
      </x:c>
    </x:row>
    <x:row r="594" ht="96" customHeight="1">
      <x:c r="A594" s="115" t="str">
        <x:v>EXT-MONDE-T012-V39</x:v>
      </x:c>
      <x:c r="B594" s="115" t="str">
        <x:v>EXT-MONDE-T012</x:v>
      </x:c>
      <x:c r="C594" s="115" t="str">
        <x:v>Offshore</x:v>
      </x:c>
      <x:c r="D594" s="115" t="str">
        <x:v>Station scientifique marine</x:v>
      </x:c>
      <x:c r="E594" s="115" t="n">
        <x:v>39</x:v>
      </x:c>
      <x:c r="F594" s="115" t="str">
        <x:v>Inspection physique</x:v>
      </x:c>
      <x:c r="G594" s="115" t="str">
        <x:v>1 niveaux ; 34 pièces ; 260 segments de mur ; 0 transitions. Inspection physique ; architecture complète encore ouverte.</x:v>
      </x:c>
      <x:c r="H594" s="115" t="str">
        <x:v>L 398 ; l 332 ; hauteur 26 m ; choix de composition auteur ; dimensions réelles à documenter</x:v>
      </x:c>
      <x:c r="I594" s="115" t="str">
        <x:v>À équilibrer</x:v>
      </x:c>
      <x:c r="J594" s="115" t="str">
        <x:v>Non</x:v>
      </x:c>
      <x:c r="K594" s="115" t="str">
        <x:v>Pièces décrites, murs, portes, niveaux et mobilier inspectables à l’échelle. Volumes réservés, raccord au seed, butin, rencontres et services de campagne restent à terminer.</x:v>
      </x:c>
    </x:row>
    <x:row r="595" ht="96" customHeight="1">
      <x:c r="A595" s="115" t="str">
        <x:v>EXT-MONDE-T012-V40</x:v>
      </x:c>
      <x:c r="B595" s="115" t="str">
        <x:v>EXT-MONDE-T012</x:v>
      </x:c>
      <x:c r="C595" s="115" t="str">
        <x:v>Offshore</x:v>
      </x:c>
      <x:c r="D595" s="115" t="str">
        <x:v>Station scientifique marine</x:v>
      </x:c>
      <x:c r="E595" s="115" t="n">
        <x:v>40</x:v>
      </x:c>
      <x:c r="F595" s="115" t="str">
        <x:v>Inspection physique</x:v>
      </x:c>
      <x:c r="G595" s="115" t="str">
        <x:v>1 niveaux ; 34 pièces ; 260 segments de mur ; 0 transitions. Inspection physique ; architecture complète encore ouverte.</x:v>
      </x:c>
      <x:c r="H595" s="115" t="str">
        <x:v>L 398 ; l 332 ; hauteur 26 m ; choix de composition auteur ; dimensions réelles à documenter</x:v>
      </x:c>
      <x:c r="I595" s="115" t="str">
        <x:v>À équilibrer</x:v>
      </x:c>
      <x:c r="J595" s="115" t="str">
        <x:v>Non</x:v>
      </x:c>
      <x:c r="K595" s="115" t="str">
        <x:v>Pièces décrites, murs, portes, niveaux et mobilier inspectables à l’échelle. Volumes réservés, raccord au seed, butin, rencontres et services de campagne restent à terminer.</x:v>
      </x:c>
    </x:row>
    <x:row r="596" ht="96" customHeight="1">
      <x:c r="A596" s="115" t="str">
        <x:v>EXT-MONDE-T012-V41</x:v>
      </x:c>
      <x:c r="B596" s="115" t="str">
        <x:v>EXT-MONDE-T012</x:v>
      </x:c>
      <x:c r="C596" s="115" t="str">
        <x:v>Offshore</x:v>
      </x:c>
      <x:c r="D596" s="115" t="str">
        <x:v>Station scientifique marine</x:v>
      </x:c>
      <x:c r="E596" s="115" t="n">
        <x:v>41</x:v>
      </x:c>
      <x:c r="F596" s="115" t="str">
        <x:v>Inspection physique</x:v>
      </x:c>
      <x:c r="G596" s="115" t="str">
        <x:v>1 niveaux ; 34 pièces ; 260 segments de mur ; 0 transitions. Inspection physique ; architecture complète encore ouverte.</x:v>
      </x:c>
      <x:c r="H596" s="115" t="str">
        <x:v>L 412 ; l 344 ; hauteur 26 m ; choix de composition auteur ; dimensions réelles à documenter</x:v>
      </x:c>
      <x:c r="I596" s="115" t="str">
        <x:v>À équilibrer</x:v>
      </x:c>
      <x:c r="J596" s="115" t="str">
        <x:v>Non</x:v>
      </x:c>
      <x:c r="K596" s="115" t="str">
        <x:v>Pièces décrites, murs, portes, niveaux et mobilier inspectables à l’échelle. Volumes réservés, raccord au seed, butin, rencontres et services de campagne restent à terminer.</x:v>
      </x:c>
    </x:row>
    <x:row r="597" ht="96" customHeight="1">
      <x:c r="A597" s="115" t="str">
        <x:v>EXT-MONDE-T012-V42</x:v>
      </x:c>
      <x:c r="B597" s="115" t="str">
        <x:v>EXT-MONDE-T012</x:v>
      </x:c>
      <x:c r="C597" s="115" t="str">
        <x:v>Offshore</x:v>
      </x:c>
      <x:c r="D597" s="115" t="str">
        <x:v>Station scientifique marine</x:v>
      </x:c>
      <x:c r="E597" s="115" t="n">
        <x:v>42</x:v>
      </x:c>
      <x:c r="F597" s="115" t="str">
        <x:v>Inspection physique</x:v>
      </x:c>
      <x:c r="G597" s="115" t="str">
        <x:v>1 niveaux ; 34 pièces ; 260 segments de mur ; 0 transitions. Inspection physique ; architecture complète encore ouverte.</x:v>
      </x:c>
      <x:c r="H597" s="115" t="str">
        <x:v>L 412 ; l 344 ; hauteur 26 m ; choix de composition auteur ; dimensions réelles à documenter</x:v>
      </x:c>
      <x:c r="I597" s="115" t="str">
        <x:v>À équilibrer</x:v>
      </x:c>
      <x:c r="J597" s="115" t="str">
        <x:v>Non</x:v>
      </x:c>
      <x:c r="K597" s="115" t="str">
        <x:v>Pièces décrites, murs, portes, niveaux et mobilier inspectables à l’échelle. Volumes réservés, raccord au seed, butin, rencontres et services de campagne restent à terminer.</x:v>
      </x:c>
    </x:row>
    <x:row r="598" ht="96" customHeight="1">
      <x:c r="A598" s="115" t="str">
        <x:v>EXT-MONDE-T012-V43</x:v>
      </x:c>
      <x:c r="B598" s="115" t="str">
        <x:v>EXT-MONDE-T012</x:v>
      </x:c>
      <x:c r="C598" s="115" t="str">
        <x:v>Offshore</x:v>
      </x:c>
      <x:c r="D598" s="115" t="str">
        <x:v>Station scientifique marine</x:v>
      </x:c>
      <x:c r="E598" s="115" t="n">
        <x:v>43</x:v>
      </x:c>
      <x:c r="F598" s="115" t="str">
        <x:v>Inspection physique</x:v>
      </x:c>
      <x:c r="G598" s="115" t="str">
        <x:v>1 niveaux ; 34 pièces ; 260 segments de mur ; 0 transitions. Inspection physique ; architecture complète encore ouverte.</x:v>
      </x:c>
      <x:c r="H598" s="115" t="str">
        <x:v>L 412 ; l 344 ; hauteur 26 m ; choix de composition auteur ; dimensions réelles à documenter</x:v>
      </x:c>
      <x:c r="I598" s="115" t="str">
        <x:v>À équilibrer</x:v>
      </x:c>
      <x:c r="J598" s="115" t="str">
        <x:v>Non</x:v>
      </x:c>
      <x:c r="K598" s="115" t="str">
        <x:v>Pièces décrites, murs, portes, niveaux et mobilier inspectables à l’échelle. Volumes réservés, raccord au seed, butin, rencontres et services de campagne restent à terminer.</x:v>
      </x:c>
    </x:row>
    <x:row r="599" ht="96" customHeight="1">
      <x:c r="A599" s="115" t="str">
        <x:v>EXT-MONDE-T012-V44</x:v>
      </x:c>
      <x:c r="B599" s="115" t="str">
        <x:v>EXT-MONDE-T012</x:v>
      </x:c>
      <x:c r="C599" s="115" t="str">
        <x:v>Offshore</x:v>
      </x:c>
      <x:c r="D599" s="115" t="str">
        <x:v>Station scientifique marine</x:v>
      </x:c>
      <x:c r="E599" s="115" t="n">
        <x:v>44</x:v>
      </x:c>
      <x:c r="F599" s="115" t="str">
        <x:v>Inspection physique</x:v>
      </x:c>
      <x:c r="G599" s="115" t="str">
        <x:v>1 niveaux ; 34 pièces ; 260 segments de mur ; 0 transitions. Inspection physique ; architecture complète encore ouverte.</x:v>
      </x:c>
      <x:c r="H599" s="115" t="str">
        <x:v>L 412 ; l 344 ; hauteur 26 m ; choix de composition auteur ; dimensions réelles à documenter</x:v>
      </x:c>
      <x:c r="I599" s="115" t="str">
        <x:v>À équilibrer</x:v>
      </x:c>
      <x:c r="J599" s="115" t="str">
        <x:v>Non</x:v>
      </x:c>
      <x:c r="K599" s="115" t="str">
        <x:v>Pièces décrites, murs, portes, niveaux et mobilier inspectables à l’échelle. Volumes réservés, raccord au seed, butin, rencontres et services de campagne restent à terminer.</x:v>
      </x:c>
    </x:row>
    <x:row r="600" ht="96" customHeight="1">
      <x:c r="A600" s="115" t="str">
        <x:v>EXT-MONDE-T012-V45</x:v>
      </x:c>
      <x:c r="B600" s="115" t="str">
        <x:v>EXT-MONDE-T012</x:v>
      </x:c>
      <x:c r="C600" s="115" t="str">
        <x:v>Offshore</x:v>
      </x:c>
      <x:c r="D600" s="115" t="str">
        <x:v>Station scientifique marine</x:v>
      </x:c>
      <x:c r="E600" s="115" t="n">
        <x:v>45</x:v>
      </x:c>
      <x:c r="F600" s="115" t="str">
        <x:v>Inspection physique</x:v>
      </x:c>
      <x:c r="G600" s="115" t="str">
        <x:v>1 niveaux ; 34 pièces ; 260 segments de mur ; 0 transitions. Inspection physique ; architecture complète encore ouverte.</x:v>
      </x:c>
      <x:c r="H600" s="115" t="str">
        <x:v>L 412 ; l 344 ; hauteur 26 m ; choix de composition auteur ; dimensions réelles à documenter</x:v>
      </x:c>
      <x:c r="I600" s="115" t="str">
        <x:v>À équilibrer</x:v>
      </x:c>
      <x:c r="J600" s="115" t="str">
        <x:v>Non</x:v>
      </x:c>
      <x:c r="K600" s="115" t="str">
        <x:v>Pièces décrites, murs, portes, niveaux et mobilier inspectables à l’échelle. Volumes réservés, raccord au seed, butin, rencontres et services de campagne restent à terminer.</x:v>
      </x:c>
    </x:row>
    <x:row r="601" ht="96" customHeight="1">
      <x:c r="A601" s="115" t="str">
        <x:v>EXT-MONDE-T012-V46</x:v>
      </x:c>
      <x:c r="B601" s="115" t="str">
        <x:v>EXT-MONDE-T012</x:v>
      </x:c>
      <x:c r="C601" s="115" t="str">
        <x:v>Offshore</x:v>
      </x:c>
      <x:c r="D601" s="115" t="str">
        <x:v>Station scientifique marine</x:v>
      </x:c>
      <x:c r="E601" s="115" t="n">
        <x:v>46</x:v>
      </x:c>
      <x:c r="F601" s="115" t="str">
        <x:v>Inspection physique</x:v>
      </x:c>
      <x:c r="G601" s="115" t="str">
        <x:v>1 niveaux ; 34 pièces ; 260 segments de mur ; 0 transitions. Inspection physique ; architecture complète encore ouverte.</x:v>
      </x:c>
      <x:c r="H601" s="115" t="str">
        <x:v>L 412 ; l 344 ; hauteur 26 m ; choix de composition auteur ; dimensions réelles à documenter</x:v>
      </x:c>
      <x:c r="I601" s="115" t="str">
        <x:v>À équilibrer</x:v>
      </x:c>
      <x:c r="J601" s="115" t="str">
        <x:v>Non</x:v>
      </x:c>
      <x:c r="K601" s="115" t="str">
        <x:v>Pièces décrites, murs, portes, niveaux et mobilier inspectables à l’échelle. Volumes réservés, raccord au seed, butin, rencontres et services de campagne restent à terminer.</x:v>
      </x:c>
    </x:row>
    <x:row r="602" ht="96" customHeight="1">
      <x:c r="A602" s="115" t="str">
        <x:v>EXT-MONDE-T012-V47</x:v>
      </x:c>
      <x:c r="B602" s="115" t="str">
        <x:v>EXT-MONDE-T012</x:v>
      </x:c>
      <x:c r="C602" s="115" t="str">
        <x:v>Offshore</x:v>
      </x:c>
      <x:c r="D602" s="115" t="str">
        <x:v>Station scientifique marine</x:v>
      </x:c>
      <x:c r="E602" s="115" t="n">
        <x:v>47</x:v>
      </x:c>
      <x:c r="F602" s="115" t="str">
        <x:v>Inspection physique</x:v>
      </x:c>
      <x:c r="G602" s="115" t="str">
        <x:v>1 niveaux ; 34 pièces ; 260 segments de mur ; 0 transitions. Inspection physique ; architecture complète encore ouverte.</x:v>
      </x:c>
      <x:c r="H602" s="115" t="str">
        <x:v>L 412 ; l 344 ; hauteur 26 m ; choix de composition auteur ; dimensions réelles à documenter</x:v>
      </x:c>
      <x:c r="I602" s="115" t="str">
        <x:v>À équilibrer</x:v>
      </x:c>
      <x:c r="J602" s="115" t="str">
        <x:v>Non</x:v>
      </x:c>
      <x:c r="K602" s="115" t="str">
        <x:v>Pièces décrites, murs, portes, niveaux et mobilier inspectables à l’échelle. Volumes réservés, raccord au seed, butin, rencontres et services de campagne restent à terminer.</x:v>
      </x:c>
    </x:row>
    <x:row r="603" ht="96" customHeight="1">
      <x:c r="A603" s="115" t="str">
        <x:v>EXT-MONDE-T012-V48</x:v>
      </x:c>
      <x:c r="B603" s="115" t="str">
        <x:v>EXT-MONDE-T012</x:v>
      </x:c>
      <x:c r="C603" s="115" t="str">
        <x:v>Offshore</x:v>
      </x:c>
      <x:c r="D603" s="115" t="str">
        <x:v>Station scientifique marine</x:v>
      </x:c>
      <x:c r="E603" s="115" t="n">
        <x:v>48</x:v>
      </x:c>
      <x:c r="F603" s="115" t="str">
        <x:v>Inspection physique</x:v>
      </x:c>
      <x:c r="G603" s="115" t="str">
        <x:v>1 niveaux ; 34 pièces ; 260 segments de mur ; 0 transitions. Inspection physique ; architecture complète encore ouverte.</x:v>
      </x:c>
      <x:c r="H603" s="115" t="str">
        <x:v>L 412 ; l 344 ; hauteur 26 m ; choix de composition auteur ; dimensions réelles à documenter</x:v>
      </x:c>
      <x:c r="I603" s="115" t="str">
        <x:v>À équilibrer</x:v>
      </x:c>
      <x:c r="J603" s="115" t="str">
        <x:v>Non</x:v>
      </x:c>
      <x:c r="K603" s="115" t="str">
        <x:v>Pièces décrites, murs, portes, niveaux et mobilier inspectables à l’échelle. Volumes réservés, raccord au seed, butin, rencontres et services de campagne restent à terminer.</x:v>
      </x:c>
    </x:row>
    <x:row r="604" ht="96" customHeight="1">
      <x:c r="A604" s="115" t="str">
        <x:v>EXT-MONDE-T012-V49</x:v>
      </x:c>
      <x:c r="B604" s="115" t="str">
        <x:v>EXT-MONDE-T012</x:v>
      </x:c>
      <x:c r="C604" s="115" t="str">
        <x:v>Offshore</x:v>
      </x:c>
      <x:c r="D604" s="115" t="str">
        <x:v>Station scientifique marine</x:v>
      </x:c>
      <x:c r="E604" s="115" t="n">
        <x:v>49</x:v>
      </x:c>
      <x:c r="F604" s="115" t="str">
        <x:v>Inspection physique</x:v>
      </x:c>
      <x:c r="G604" s="115" t="str">
        <x:v>1 niveaux ; 34 pièces ; 260 segments de mur ; 0 transitions. Inspection physique ; architecture complète encore ouverte.</x:v>
      </x:c>
      <x:c r="H604" s="115" t="str">
        <x:v>L 412 ; l 344 ; hauteur 26 m ; choix de composition auteur ; dimensions réelles à documenter</x:v>
      </x:c>
      <x:c r="I604" s="115" t="str">
        <x:v>À équilibrer</x:v>
      </x:c>
      <x:c r="J604" s="115" t="str">
        <x:v>Non</x:v>
      </x:c>
      <x:c r="K604" s="115" t="str">
        <x:v>Pièces décrites, murs, portes, niveaux et mobilier inspectables à l’échelle. Volumes réservés, raccord au seed, butin, rencontres et services de campagne restent à terminer.</x:v>
      </x:c>
    </x:row>
    <x:row r="605" ht="96" customHeight="1">
      <x:c r="A605" s="115" t="str">
        <x:v>EXT-MONDE-T012-V50</x:v>
      </x:c>
      <x:c r="B605" s="115" t="str">
        <x:v>EXT-MONDE-T012</x:v>
      </x:c>
      <x:c r="C605" s="115" t="str">
        <x:v>Offshore</x:v>
      </x:c>
      <x:c r="D605" s="115" t="str">
        <x:v>Station scientifique marine</x:v>
      </x:c>
      <x:c r="E605" s="115" t="n">
        <x:v>50</x:v>
      </x:c>
      <x:c r="F605" s="115" t="str">
        <x:v>Inspection physique</x:v>
      </x:c>
      <x:c r="G605" s="115" t="str">
        <x:v>1 niveaux ; 34 pièces ; 260 segments de mur ; 0 transitions. Inspection physique ; architecture complète encore ouverte.</x:v>
      </x:c>
      <x:c r="H605" s="115" t="str">
        <x:v>L 412 ; l 344 ; hauteur 26 m ; choix de composition auteur ; dimensions réelles à documenter</x:v>
      </x:c>
      <x:c r="I605" s="115" t="str">
        <x:v>À équilibrer</x:v>
      </x:c>
      <x:c r="J605" s="115" t="str">
        <x:v>Non</x:v>
      </x:c>
      <x:c r="K605" s="115" t="str">
        <x:v>Pièces décrites, murs, portes, niveaux et mobilier inspectables à l’échelle. Volumes réservés, raccord au seed, butin, rencontres et services de campagne restent à terminer.</x:v>
      </x:c>
    </x:row>
    <x:row r="606" ht="96" customHeight="1">
      <x:c r="A606" s="115" t="str">
        <x:v>EXT-MONDE-T013-V01</x:v>
      </x:c>
      <x:c r="B606" s="115" t="str">
        <x:v>EXT-MONDE-T013</x:v>
      </x:c>
      <x:c r="C606" s="115" t="str">
        <x:v>Ports</x:v>
      </x:c>
      <x:c r="D606" s="115" t="str">
        <x:v>Port de pêche</x:v>
      </x:c>
      <x:c r="E606" s="115" t="n">
        <x:v>1</x:v>
      </x:c>
      <x:c r="F606" s="115" t="str">
        <x:v>Inspection physique</x:v>
      </x:c>
      <x:c r="G606" s="115" t="str">
        <x:v>1 niveaux ; 32 pièces ; 248 segments de mur ; 0 transitions. Inspection physique ; architecture complète encore ouverte.</x:v>
      </x:c>
      <x:c r="H606" s="115" t="str">
        <x:v>L 344 ; l 444 ; hauteur 10 m ; choix de composition auteur ; dimensions réelles à documenter</x:v>
      </x:c>
      <x:c r="I606" s="115" t="str">
        <x:v>À équilibrer</x:v>
      </x:c>
      <x:c r="J606" s="115" t="str">
        <x:v>Non</x:v>
      </x:c>
      <x:c r="K606" s="115" t="str">
        <x:v>Pièces décrites, murs, portes, niveaux et mobilier inspectables à l’échelle. Volumes réservés, raccord au seed, butin, rencontres et services de campagne restent à terminer.</x:v>
      </x:c>
    </x:row>
    <x:row r="607" ht="96" customHeight="1">
      <x:c r="A607" s="115" t="str">
        <x:v>EXT-MONDE-T013-V02</x:v>
      </x:c>
      <x:c r="B607" s="115" t="str">
        <x:v>EXT-MONDE-T013</x:v>
      </x:c>
      <x:c r="C607" s="115" t="str">
        <x:v>Ports</x:v>
      </x:c>
      <x:c r="D607" s="115" t="str">
        <x:v>Port de pêche</x:v>
      </x:c>
      <x:c r="E607" s="115" t="n">
        <x:v>2</x:v>
      </x:c>
      <x:c r="F607" s="115" t="str">
        <x:v>Inspection physique</x:v>
      </x:c>
      <x:c r="G607" s="115" t="str">
        <x:v>1 niveaux ; 32 pièces ; 248 segments de mur ; 0 transitions. Inspection physique ; architecture complète encore ouverte.</x:v>
      </x:c>
      <x:c r="H607" s="115" t="str">
        <x:v>L 344 ; l 444 ; hauteur 10 m ; choix de composition auteur ; dimensions réelles à documenter</x:v>
      </x:c>
      <x:c r="I607" s="115" t="str">
        <x:v>À équilibrer</x:v>
      </x:c>
      <x:c r="J607" s="115" t="str">
        <x:v>Non</x:v>
      </x:c>
      <x:c r="K607" s="115" t="str">
        <x:v>Pièces décrites, murs, portes, niveaux et mobilier inspectables à l’échelle. Volumes réservés, raccord au seed, butin, rencontres et services de campagne restent à terminer.</x:v>
      </x:c>
    </x:row>
    <x:row r="608" ht="96" customHeight="1">
      <x:c r="A608" s="115" t="str">
        <x:v>EXT-MONDE-T013-V03</x:v>
      </x:c>
      <x:c r="B608" s="115" t="str">
        <x:v>EXT-MONDE-T013</x:v>
      </x:c>
      <x:c r="C608" s="115" t="str">
        <x:v>Ports</x:v>
      </x:c>
      <x:c r="D608" s="115" t="str">
        <x:v>Port de pêche</x:v>
      </x:c>
      <x:c r="E608" s="115" t="n">
        <x:v>3</x:v>
      </x:c>
      <x:c r="F608" s="115" t="str">
        <x:v>Inspection physique</x:v>
      </x:c>
      <x:c r="G608" s="115" t="str">
        <x:v>1 niveaux ; 32 pièces ; 248 segments de mur ; 0 transitions. Inspection physique ; architecture complète encore ouverte.</x:v>
      </x:c>
      <x:c r="H608" s="115" t="str">
        <x:v>L 344 ; l 444 ; hauteur 10 m ; choix de composition auteur ; dimensions réelles à documenter</x:v>
      </x:c>
      <x:c r="I608" s="115" t="str">
        <x:v>À équilibrer</x:v>
      </x:c>
      <x:c r="J608" s="115" t="str">
        <x:v>Non</x:v>
      </x:c>
      <x:c r="K608" s="115" t="str">
        <x:v>Pièces décrites, murs, portes, niveaux et mobilier inspectables à l’échelle. Volumes réservés, raccord au seed, butin, rencontres et services de campagne restent à terminer.</x:v>
      </x:c>
    </x:row>
    <x:row r="609" ht="96" customHeight="1">
      <x:c r="A609" s="115" t="str">
        <x:v>EXT-MONDE-T013-V04</x:v>
      </x:c>
      <x:c r="B609" s="115" t="str">
        <x:v>EXT-MONDE-T013</x:v>
      </x:c>
      <x:c r="C609" s="115" t="str">
        <x:v>Ports</x:v>
      </x:c>
      <x:c r="D609" s="115" t="str">
        <x:v>Port de pêche</x:v>
      </x:c>
      <x:c r="E609" s="115" t="n">
        <x:v>4</x:v>
      </x:c>
      <x:c r="F609" s="115" t="str">
        <x:v>Inspection physique</x:v>
      </x:c>
      <x:c r="G609" s="115" t="str">
        <x:v>1 niveaux ; 32 pièces ; 248 segments de mur ; 0 transitions. Inspection physique ; architecture complète encore ouverte.</x:v>
      </x:c>
      <x:c r="H609" s="115" t="str">
        <x:v>L 344 ; l 444 ; hauteur 10 m ; choix de composition auteur ; dimensions réelles à documenter</x:v>
      </x:c>
      <x:c r="I609" s="115" t="str">
        <x:v>À équilibrer</x:v>
      </x:c>
      <x:c r="J609" s="115" t="str">
        <x:v>Non</x:v>
      </x:c>
      <x:c r="K609" s="115" t="str">
        <x:v>Pièces décrites, murs, portes, niveaux et mobilier inspectables à l’échelle. Volumes réservés, raccord au seed, butin, rencontres et services de campagne restent à terminer.</x:v>
      </x:c>
    </x:row>
    <x:row r="610" ht="96" customHeight="1">
      <x:c r="A610" s="115" t="str">
        <x:v>EXT-MONDE-T013-V05</x:v>
      </x:c>
      <x:c r="B610" s="115" t="str">
        <x:v>EXT-MONDE-T013</x:v>
      </x:c>
      <x:c r="C610" s="115" t="str">
        <x:v>Ports</x:v>
      </x:c>
      <x:c r="D610" s="115" t="str">
        <x:v>Port de pêche</x:v>
      </x:c>
      <x:c r="E610" s="115" t="n">
        <x:v>5</x:v>
      </x:c>
      <x:c r="F610" s="115" t="str">
        <x:v>Inspection physique</x:v>
      </x:c>
      <x:c r="G610" s="115" t="str">
        <x:v>1 niveaux ; 32 pièces ; 248 segments de mur ; 0 transitions. Inspection physique ; architecture complète encore ouverte.</x:v>
      </x:c>
      <x:c r="H610" s="115" t="str">
        <x:v>L 344 ; l 444 ; hauteur 10 m ; choix de composition auteur ; dimensions réelles à documenter</x:v>
      </x:c>
      <x:c r="I610" s="115" t="str">
        <x:v>À équilibrer</x:v>
      </x:c>
      <x:c r="J610" s="115" t="str">
        <x:v>Non</x:v>
      </x:c>
      <x:c r="K610" s="115" t="str">
        <x:v>Pièces décrites, murs, portes, niveaux et mobilier inspectables à l’échelle. Volumes réservés, raccord au seed, butin, rencontres et services de campagne restent à terminer.</x:v>
      </x:c>
    </x:row>
    <x:row r="611" ht="96" customHeight="1">
      <x:c r="A611" s="115" t="str">
        <x:v>EXT-MONDE-T013-V06</x:v>
      </x:c>
      <x:c r="B611" s="115" t="str">
        <x:v>EXT-MONDE-T013</x:v>
      </x:c>
      <x:c r="C611" s="115" t="str">
        <x:v>Ports</x:v>
      </x:c>
      <x:c r="D611" s="115" t="str">
        <x:v>Port de pêche</x:v>
      </x:c>
      <x:c r="E611" s="115" t="n">
        <x:v>6</x:v>
      </x:c>
      <x:c r="F611" s="115" t="str">
        <x:v>Inspection physique</x:v>
      </x:c>
      <x:c r="G611" s="115" t="str">
        <x:v>1 niveaux ; 32 pièces ; 248 segments de mur ; 0 transitions. Inspection physique ; architecture complète encore ouverte.</x:v>
      </x:c>
      <x:c r="H611" s="115" t="str">
        <x:v>L 344 ; l 444 ; hauteur 10 m ; choix de composition auteur ; dimensions réelles à documenter</x:v>
      </x:c>
      <x:c r="I611" s="115" t="str">
        <x:v>À équilibrer</x:v>
      </x:c>
      <x:c r="J611" s="115" t="str">
        <x:v>Non</x:v>
      </x:c>
      <x:c r="K611" s="115" t="str">
        <x:v>Pièces décrites, murs, portes, niveaux et mobilier inspectables à l’échelle. Volumes réservés, raccord au seed, butin, rencontres et services de campagne restent à terminer.</x:v>
      </x:c>
    </x:row>
    <x:row r="612" ht="96" customHeight="1">
      <x:c r="A612" s="115" t="str">
        <x:v>EXT-MONDE-T013-V07</x:v>
      </x:c>
      <x:c r="B612" s="115" t="str">
        <x:v>EXT-MONDE-T013</x:v>
      </x:c>
      <x:c r="C612" s="115" t="str">
        <x:v>Ports</x:v>
      </x:c>
      <x:c r="D612" s="115" t="str">
        <x:v>Port de pêche</x:v>
      </x:c>
      <x:c r="E612" s="115" t="n">
        <x:v>7</x:v>
      </x:c>
      <x:c r="F612" s="115" t="str">
        <x:v>Inspection physique</x:v>
      </x:c>
      <x:c r="G612" s="115" t="str">
        <x:v>1 niveaux ; 32 pièces ; 248 segments de mur ; 0 transitions. Inspection physique ; architecture complète encore ouverte.</x:v>
      </x:c>
      <x:c r="H612" s="115" t="str">
        <x:v>L 344 ; l 444 ; hauteur 10 m ; choix de composition auteur ; dimensions réelles à documenter</x:v>
      </x:c>
      <x:c r="I612" s="115" t="str">
        <x:v>À équilibrer</x:v>
      </x:c>
      <x:c r="J612" s="115" t="str">
        <x:v>Non</x:v>
      </x:c>
      <x:c r="K612" s="115" t="str">
        <x:v>Pièces décrites, murs, portes, niveaux et mobilier inspectables à l’échelle. Volumes réservés, raccord au seed, butin, rencontres et services de campagne restent à terminer.</x:v>
      </x:c>
    </x:row>
    <x:row r="613" ht="96" customHeight="1">
      <x:c r="A613" s="115" t="str">
        <x:v>EXT-MONDE-T013-V08</x:v>
      </x:c>
      <x:c r="B613" s="115" t="str">
        <x:v>EXT-MONDE-T013</x:v>
      </x:c>
      <x:c r="C613" s="115" t="str">
        <x:v>Ports</x:v>
      </x:c>
      <x:c r="D613" s="115" t="str">
        <x:v>Port de pêche</x:v>
      </x:c>
      <x:c r="E613" s="115" t="n">
        <x:v>8</x:v>
      </x:c>
      <x:c r="F613" s="115" t="str">
        <x:v>Inspection physique</x:v>
      </x:c>
      <x:c r="G613" s="115" t="str">
        <x:v>1 niveaux ; 32 pièces ; 248 segments de mur ; 0 transitions. Inspection physique ; architecture complète encore ouverte.</x:v>
      </x:c>
      <x:c r="H613" s="115" t="str">
        <x:v>L 344 ; l 444 ; hauteur 10 m ; choix de composition auteur ; dimensions réelles à documenter</x:v>
      </x:c>
      <x:c r="I613" s="115" t="str">
        <x:v>À équilibrer</x:v>
      </x:c>
      <x:c r="J613" s="115" t="str">
        <x:v>Non</x:v>
      </x:c>
      <x:c r="K613" s="115" t="str">
        <x:v>Pièces décrites, murs, portes, niveaux et mobilier inspectables à l’échelle. Volumes réservés, raccord au seed, butin, rencontres et services de campagne restent à terminer.</x:v>
      </x:c>
    </x:row>
    <x:row r="614" ht="96" customHeight="1">
      <x:c r="A614" s="115" t="str">
        <x:v>EXT-MONDE-T013-V09</x:v>
      </x:c>
      <x:c r="B614" s="115" t="str">
        <x:v>EXT-MONDE-T013</x:v>
      </x:c>
      <x:c r="C614" s="115" t="str">
        <x:v>Ports</x:v>
      </x:c>
      <x:c r="D614" s="115" t="str">
        <x:v>Port de pêche</x:v>
      </x:c>
      <x:c r="E614" s="115" t="n">
        <x:v>9</x:v>
      </x:c>
      <x:c r="F614" s="115" t="str">
        <x:v>Inspection physique</x:v>
      </x:c>
      <x:c r="G614" s="115" t="str">
        <x:v>1 niveaux ; 32 pièces ; 248 segments de mur ; 0 transitions. Inspection physique ; architecture complète encore ouverte.</x:v>
      </x:c>
      <x:c r="H614" s="115" t="str">
        <x:v>L 344 ; l 444 ; hauteur 10 m ; choix de composition auteur ; dimensions réelles à documenter</x:v>
      </x:c>
      <x:c r="I614" s="115" t="str">
        <x:v>À équilibrer</x:v>
      </x:c>
      <x:c r="J614" s="115" t="str">
        <x:v>Non</x:v>
      </x:c>
      <x:c r="K614" s="115" t="str">
        <x:v>Pièces décrites, murs, portes, niveaux et mobilier inspectables à l’échelle. Volumes réservés, raccord au seed, butin, rencontres et services de campagne restent à terminer.</x:v>
      </x:c>
    </x:row>
    <x:row r="615" ht="96" customHeight="1">
      <x:c r="A615" s="115" t="str">
        <x:v>EXT-MONDE-T013-V10</x:v>
      </x:c>
      <x:c r="B615" s="115" t="str">
        <x:v>EXT-MONDE-T013</x:v>
      </x:c>
      <x:c r="C615" s="115" t="str">
        <x:v>Ports</x:v>
      </x:c>
      <x:c r="D615" s="115" t="str">
        <x:v>Port de pêche</x:v>
      </x:c>
      <x:c r="E615" s="115" t="n">
        <x:v>10</x:v>
      </x:c>
      <x:c r="F615" s="115" t="str">
        <x:v>Inspection physique</x:v>
      </x:c>
      <x:c r="G615" s="115" t="str">
        <x:v>1 niveaux ; 32 pièces ; 248 segments de mur ; 0 transitions. Inspection physique ; architecture complète encore ouverte.</x:v>
      </x:c>
      <x:c r="H615" s="115" t="str">
        <x:v>L 344 ; l 444 ; hauteur 10 m ; choix de composition auteur ; dimensions réelles à documenter</x:v>
      </x:c>
      <x:c r="I615" s="115" t="str">
        <x:v>À équilibrer</x:v>
      </x:c>
      <x:c r="J615" s="115" t="str">
        <x:v>Non</x:v>
      </x:c>
      <x:c r="K615" s="115" t="str">
        <x:v>Pièces décrites, murs, portes, niveaux et mobilier inspectables à l’échelle. Volumes réservés, raccord au seed, butin, rencontres et services de campagne restent à terminer.</x:v>
      </x:c>
    </x:row>
    <x:row r="616" ht="96" customHeight="1">
      <x:c r="A616" s="115" t="str">
        <x:v>EXT-MONDE-T013-V11</x:v>
      </x:c>
      <x:c r="B616" s="115" t="str">
        <x:v>EXT-MONDE-T013</x:v>
      </x:c>
      <x:c r="C616" s="115" t="str">
        <x:v>Ports</x:v>
      </x:c>
      <x:c r="D616" s="115" t="str">
        <x:v>Port de pêche</x:v>
      </x:c>
      <x:c r="E616" s="115" t="n">
        <x:v>11</x:v>
      </x:c>
      <x:c r="F616" s="115" t="str">
        <x:v>Inspection physique</x:v>
      </x:c>
      <x:c r="G616" s="115" t="str">
        <x:v>1 niveaux ; 32 pièces ; 248 segments de mur ; 0 transitions. Inspection physique ; architecture complète encore ouverte.</x:v>
      </x:c>
      <x:c r="H616" s="115" t="str">
        <x:v>L 358 ; l 456 ; hauteur 10 m ; choix de composition auteur ; dimensions réelles à documenter</x:v>
      </x:c>
      <x:c r="I616" s="115" t="str">
        <x:v>À équilibrer</x:v>
      </x:c>
      <x:c r="J616" s="115" t="str">
        <x:v>Non</x:v>
      </x:c>
      <x:c r="K616" s="115" t="str">
        <x:v>Pièces décrites, murs, portes, niveaux et mobilier inspectables à l’échelle. Volumes réservés, raccord au seed, butin, rencontres et services de campagne restent à terminer.</x:v>
      </x:c>
    </x:row>
    <x:row r="617" ht="96" customHeight="1">
      <x:c r="A617" s="115" t="str">
        <x:v>EXT-MONDE-T013-V12</x:v>
      </x:c>
      <x:c r="B617" s="115" t="str">
        <x:v>EXT-MONDE-T013</x:v>
      </x:c>
      <x:c r="C617" s="115" t="str">
        <x:v>Ports</x:v>
      </x:c>
      <x:c r="D617" s="115" t="str">
        <x:v>Port de pêche</x:v>
      </x:c>
      <x:c r="E617" s="115" t="n">
        <x:v>12</x:v>
      </x:c>
      <x:c r="F617" s="115" t="str">
        <x:v>Inspection physique</x:v>
      </x:c>
      <x:c r="G617" s="115" t="str">
        <x:v>1 niveaux ; 32 pièces ; 248 segments de mur ; 0 transitions. Inspection physique ; architecture complète encore ouverte.</x:v>
      </x:c>
      <x:c r="H617" s="115" t="str">
        <x:v>L 358 ; l 456 ; hauteur 10 m ; choix de composition auteur ; dimensions réelles à documenter</x:v>
      </x:c>
      <x:c r="I617" s="115" t="str">
        <x:v>À équilibrer</x:v>
      </x:c>
      <x:c r="J617" s="115" t="str">
        <x:v>Non</x:v>
      </x:c>
      <x:c r="K617" s="115" t="str">
        <x:v>Pièces décrites, murs, portes, niveaux et mobilier inspectables à l’échelle. Volumes réservés, raccord au seed, butin, rencontres et services de campagne restent à terminer.</x:v>
      </x:c>
    </x:row>
    <x:row r="618" ht="96" customHeight="1">
      <x:c r="A618" s="115" t="str">
        <x:v>EXT-MONDE-T013-V13</x:v>
      </x:c>
      <x:c r="B618" s="115" t="str">
        <x:v>EXT-MONDE-T013</x:v>
      </x:c>
      <x:c r="C618" s="115" t="str">
        <x:v>Ports</x:v>
      </x:c>
      <x:c r="D618" s="115" t="str">
        <x:v>Port de pêche</x:v>
      </x:c>
      <x:c r="E618" s="115" t="n">
        <x:v>13</x:v>
      </x:c>
      <x:c r="F618" s="115" t="str">
        <x:v>Inspection physique</x:v>
      </x:c>
      <x:c r="G618" s="115" t="str">
        <x:v>1 niveaux ; 32 pièces ; 248 segments de mur ; 0 transitions. Inspection physique ; architecture complète encore ouverte.</x:v>
      </x:c>
      <x:c r="H618" s="115" t="str">
        <x:v>L 358 ; l 456 ; hauteur 10 m ; choix de composition auteur ; dimensions réelles à documenter</x:v>
      </x:c>
      <x:c r="I618" s="115" t="str">
        <x:v>À équilibrer</x:v>
      </x:c>
      <x:c r="J618" s="115" t="str">
        <x:v>Non</x:v>
      </x:c>
      <x:c r="K618" s="115" t="str">
        <x:v>Pièces décrites, murs, portes, niveaux et mobilier inspectables à l’échelle. Volumes réservés, raccord au seed, butin, rencontres et services de campagne restent à terminer.</x:v>
      </x:c>
    </x:row>
    <x:row r="619" ht="96" customHeight="1">
      <x:c r="A619" s="115" t="str">
        <x:v>EXT-MONDE-T013-V14</x:v>
      </x:c>
      <x:c r="B619" s="115" t="str">
        <x:v>EXT-MONDE-T013</x:v>
      </x:c>
      <x:c r="C619" s="115" t="str">
        <x:v>Ports</x:v>
      </x:c>
      <x:c r="D619" s="115" t="str">
        <x:v>Port de pêche</x:v>
      </x:c>
      <x:c r="E619" s="115" t="n">
        <x:v>14</x:v>
      </x:c>
      <x:c r="F619" s="115" t="str">
        <x:v>Inspection physique</x:v>
      </x:c>
      <x:c r="G619" s="115" t="str">
        <x:v>1 niveaux ; 32 pièces ; 248 segments de mur ; 0 transitions. Inspection physique ; architecture complète encore ouverte.</x:v>
      </x:c>
      <x:c r="H619" s="115" t="str">
        <x:v>L 358 ; l 456 ; hauteur 10 m ; choix de composition auteur ; dimensions réelles à documenter</x:v>
      </x:c>
      <x:c r="I619" s="115" t="str">
        <x:v>À équilibrer</x:v>
      </x:c>
      <x:c r="J619" s="115" t="str">
        <x:v>Non</x:v>
      </x:c>
      <x:c r="K619" s="115" t="str">
        <x:v>Pièces décrites, murs, portes, niveaux et mobilier inspectables à l’échelle. Volumes réservés, raccord au seed, butin, rencontres et services de campagne restent à terminer.</x:v>
      </x:c>
    </x:row>
    <x:row r="620" ht="96" customHeight="1">
      <x:c r="A620" s="115" t="str">
        <x:v>EXT-MONDE-T013-V15</x:v>
      </x:c>
      <x:c r="B620" s="115" t="str">
        <x:v>EXT-MONDE-T013</x:v>
      </x:c>
      <x:c r="C620" s="115" t="str">
        <x:v>Ports</x:v>
      </x:c>
      <x:c r="D620" s="115" t="str">
        <x:v>Port de pêche</x:v>
      </x:c>
      <x:c r="E620" s="115" t="n">
        <x:v>15</x:v>
      </x:c>
      <x:c r="F620" s="115" t="str">
        <x:v>Inspection physique</x:v>
      </x:c>
      <x:c r="G620" s="115" t="str">
        <x:v>1 niveaux ; 32 pièces ; 248 segments de mur ; 0 transitions. Inspection physique ; architecture complète encore ouverte.</x:v>
      </x:c>
      <x:c r="H620" s="115" t="str">
        <x:v>L 358 ; l 456 ; hauteur 10 m ; choix de composition auteur ; dimensions réelles à documenter</x:v>
      </x:c>
      <x:c r="I620" s="115" t="str">
        <x:v>À équilibrer</x:v>
      </x:c>
      <x:c r="J620" s="115" t="str">
        <x:v>Non</x:v>
      </x:c>
      <x:c r="K620" s="115" t="str">
        <x:v>Pièces décrites, murs, portes, niveaux et mobilier inspectables à l’échelle. Volumes réservés, raccord au seed, butin, rencontres et services de campagne restent à terminer.</x:v>
      </x:c>
    </x:row>
    <x:row r="621" ht="96" customHeight="1">
      <x:c r="A621" s="115" t="str">
        <x:v>EXT-MONDE-T013-V16</x:v>
      </x:c>
      <x:c r="B621" s="115" t="str">
        <x:v>EXT-MONDE-T013</x:v>
      </x:c>
      <x:c r="C621" s="115" t="str">
        <x:v>Ports</x:v>
      </x:c>
      <x:c r="D621" s="115" t="str">
        <x:v>Port de pêche</x:v>
      </x:c>
      <x:c r="E621" s="115" t="n">
        <x:v>16</x:v>
      </x:c>
      <x:c r="F621" s="115" t="str">
        <x:v>Inspection physique</x:v>
      </x:c>
      <x:c r="G621" s="115" t="str">
        <x:v>1 niveaux ; 32 pièces ; 248 segments de mur ; 0 transitions. Inspection physique ; architecture complète encore ouverte.</x:v>
      </x:c>
      <x:c r="H621" s="115" t="str">
        <x:v>L 358 ; l 456 ; hauteur 10 m ; choix de composition auteur ; dimensions réelles à documenter</x:v>
      </x:c>
      <x:c r="I621" s="115" t="str">
        <x:v>À équilibrer</x:v>
      </x:c>
      <x:c r="J621" s="115" t="str">
        <x:v>Non</x:v>
      </x:c>
      <x:c r="K621" s="115" t="str">
        <x:v>Pièces décrites, murs, portes, niveaux et mobilier inspectables à l’échelle. Volumes réservés, raccord au seed, butin, rencontres et services de campagne restent à terminer.</x:v>
      </x:c>
    </x:row>
    <x:row r="622" ht="96" customHeight="1">
      <x:c r="A622" s="115" t="str">
        <x:v>EXT-MONDE-T013-V17</x:v>
      </x:c>
      <x:c r="B622" s="115" t="str">
        <x:v>EXT-MONDE-T013</x:v>
      </x:c>
      <x:c r="C622" s="115" t="str">
        <x:v>Ports</x:v>
      </x:c>
      <x:c r="D622" s="115" t="str">
        <x:v>Port de pêche</x:v>
      </x:c>
      <x:c r="E622" s="115" t="n">
        <x:v>17</x:v>
      </x:c>
      <x:c r="F622" s="115" t="str">
        <x:v>Inspection physique</x:v>
      </x:c>
      <x:c r="G622" s="115" t="str">
        <x:v>1 niveaux ; 32 pièces ; 248 segments de mur ; 0 transitions. Inspection physique ; architecture complète encore ouverte.</x:v>
      </x:c>
      <x:c r="H622" s="115" t="str">
        <x:v>L 358 ; l 456 ; hauteur 10 m ; choix de composition auteur ; dimensions réelles à documenter</x:v>
      </x:c>
      <x:c r="I622" s="115" t="str">
        <x:v>À équilibrer</x:v>
      </x:c>
      <x:c r="J622" s="115" t="str">
        <x:v>Non</x:v>
      </x:c>
      <x:c r="K622" s="115" t="str">
        <x:v>Pièces décrites, murs, portes, niveaux et mobilier inspectables à l’échelle. Volumes réservés, raccord au seed, butin, rencontres et services de campagne restent à terminer.</x:v>
      </x:c>
    </x:row>
    <x:row r="623" ht="96" customHeight="1">
      <x:c r="A623" s="115" t="str">
        <x:v>EXT-MONDE-T013-V18</x:v>
      </x:c>
      <x:c r="B623" s="115" t="str">
        <x:v>EXT-MONDE-T013</x:v>
      </x:c>
      <x:c r="C623" s="115" t="str">
        <x:v>Ports</x:v>
      </x:c>
      <x:c r="D623" s="115" t="str">
        <x:v>Port de pêche</x:v>
      </x:c>
      <x:c r="E623" s="115" t="n">
        <x:v>18</x:v>
      </x:c>
      <x:c r="F623" s="115" t="str">
        <x:v>Inspection physique</x:v>
      </x:c>
      <x:c r="G623" s="115" t="str">
        <x:v>1 niveaux ; 32 pièces ; 248 segments de mur ; 0 transitions. Inspection physique ; architecture complète encore ouverte.</x:v>
      </x:c>
      <x:c r="H623" s="115" t="str">
        <x:v>L 358 ; l 456 ; hauteur 10 m ; choix de composition auteur ; dimensions réelles à documenter</x:v>
      </x:c>
      <x:c r="I623" s="115" t="str">
        <x:v>À équilibrer</x:v>
      </x:c>
      <x:c r="J623" s="115" t="str">
        <x:v>Non</x:v>
      </x:c>
      <x:c r="K623" s="115" t="str">
        <x:v>Pièces décrites, murs, portes, niveaux et mobilier inspectables à l’échelle. Volumes réservés, raccord au seed, butin, rencontres et services de campagne restent à terminer.</x:v>
      </x:c>
    </x:row>
    <x:row r="624" ht="96" customHeight="1">
      <x:c r="A624" s="115" t="str">
        <x:v>EXT-MONDE-T013-V19</x:v>
      </x:c>
      <x:c r="B624" s="115" t="str">
        <x:v>EXT-MONDE-T013</x:v>
      </x:c>
      <x:c r="C624" s="115" t="str">
        <x:v>Ports</x:v>
      </x:c>
      <x:c r="D624" s="115" t="str">
        <x:v>Port de pêche</x:v>
      </x:c>
      <x:c r="E624" s="115" t="n">
        <x:v>19</x:v>
      </x:c>
      <x:c r="F624" s="115" t="str">
        <x:v>Inspection physique</x:v>
      </x:c>
      <x:c r="G624" s="115" t="str">
        <x:v>1 niveaux ; 32 pièces ; 248 segments de mur ; 0 transitions. Inspection physique ; architecture complète encore ouverte.</x:v>
      </x:c>
      <x:c r="H624" s="115" t="str">
        <x:v>L 358 ; l 456 ; hauteur 10 m ; choix de composition auteur ; dimensions réelles à documenter</x:v>
      </x:c>
      <x:c r="I624" s="115" t="str">
        <x:v>À équilibrer</x:v>
      </x:c>
      <x:c r="J624" s="115" t="str">
        <x:v>Non</x:v>
      </x:c>
      <x:c r="K624" s="115" t="str">
        <x:v>Pièces décrites, murs, portes, niveaux et mobilier inspectables à l’échelle. Volumes réservés, raccord au seed, butin, rencontres et services de campagne restent à terminer.</x:v>
      </x:c>
    </x:row>
    <x:row r="625" ht="96" customHeight="1">
      <x:c r="A625" s="115" t="str">
        <x:v>EXT-MONDE-T013-V20</x:v>
      </x:c>
      <x:c r="B625" s="115" t="str">
        <x:v>EXT-MONDE-T013</x:v>
      </x:c>
      <x:c r="C625" s="115" t="str">
        <x:v>Ports</x:v>
      </x:c>
      <x:c r="D625" s="115" t="str">
        <x:v>Port de pêche</x:v>
      </x:c>
      <x:c r="E625" s="115" t="n">
        <x:v>20</x:v>
      </x:c>
      <x:c r="F625" s="115" t="str">
        <x:v>Inspection physique</x:v>
      </x:c>
      <x:c r="G625" s="115" t="str">
        <x:v>1 niveaux ; 32 pièces ; 248 segments de mur ; 0 transitions. Inspection physique ; architecture complète encore ouverte.</x:v>
      </x:c>
      <x:c r="H625" s="115" t="str">
        <x:v>L 358 ; l 456 ; hauteur 10 m ; choix de composition auteur ; dimensions réelles à documenter</x:v>
      </x:c>
      <x:c r="I625" s="115" t="str">
        <x:v>À équilibrer</x:v>
      </x:c>
      <x:c r="J625" s="115" t="str">
        <x:v>Non</x:v>
      </x:c>
      <x:c r="K625" s="115" t="str">
        <x:v>Pièces décrites, murs, portes, niveaux et mobilier inspectables à l’échelle. Volumes réservés, raccord au seed, butin, rencontres et services de campagne restent à terminer.</x:v>
      </x:c>
    </x:row>
    <x:row r="626" ht="96" customHeight="1">
      <x:c r="A626" s="115" t="str">
        <x:v>EXT-MONDE-T013-V21</x:v>
      </x:c>
      <x:c r="B626" s="115" t="str">
        <x:v>EXT-MONDE-T013</x:v>
      </x:c>
      <x:c r="C626" s="115" t="str">
        <x:v>Ports</x:v>
      </x:c>
      <x:c r="D626" s="115" t="str">
        <x:v>Port de pêche</x:v>
      </x:c>
      <x:c r="E626" s="115" t="n">
        <x:v>21</x:v>
      </x:c>
      <x:c r="F626" s="115" t="str">
        <x:v>Inspection physique</x:v>
      </x:c>
      <x:c r="G626" s="115" t="str">
        <x:v>1 niveaux ; 32 pièces ; 248 segments de mur ; 0 transitions. Inspection physique ; architecture complète encore ouverte.</x:v>
      </x:c>
      <x:c r="H626" s="115" t="str">
        <x:v>L 372 ; l 468 ; hauteur 10 m ; choix de composition auteur ; dimensions réelles à documenter</x:v>
      </x:c>
      <x:c r="I626" s="115" t="str">
        <x:v>À équilibrer</x:v>
      </x:c>
      <x:c r="J626" s="115" t="str">
        <x:v>Non</x:v>
      </x:c>
      <x:c r="K626" s="115" t="str">
        <x:v>Pièces décrites, murs, portes, niveaux et mobilier inspectables à l’échelle. Volumes réservés, raccord au seed, butin, rencontres et services de campagne restent à terminer.</x:v>
      </x:c>
    </x:row>
    <x:row r="627" ht="96" customHeight="1">
      <x:c r="A627" s="115" t="str">
        <x:v>EXT-MONDE-T013-V22</x:v>
      </x:c>
      <x:c r="B627" s="115" t="str">
        <x:v>EXT-MONDE-T013</x:v>
      </x:c>
      <x:c r="C627" s="115" t="str">
        <x:v>Ports</x:v>
      </x:c>
      <x:c r="D627" s="115" t="str">
        <x:v>Port de pêche</x:v>
      </x:c>
      <x:c r="E627" s="115" t="n">
        <x:v>22</x:v>
      </x:c>
      <x:c r="F627" s="115" t="str">
        <x:v>Inspection physique</x:v>
      </x:c>
      <x:c r="G627" s="115" t="str">
        <x:v>1 niveaux ; 32 pièces ; 248 segments de mur ; 0 transitions. Inspection physique ; architecture complète encore ouverte.</x:v>
      </x:c>
      <x:c r="H627" s="115" t="str">
        <x:v>L 372 ; l 468 ; hauteur 10 m ; choix de composition auteur ; dimensions réelles à documenter</x:v>
      </x:c>
      <x:c r="I627" s="115" t="str">
        <x:v>À équilibrer</x:v>
      </x:c>
      <x:c r="J627" s="115" t="str">
        <x:v>Non</x:v>
      </x:c>
      <x:c r="K627" s="115" t="str">
        <x:v>Pièces décrites, murs, portes, niveaux et mobilier inspectables à l’échelle. Volumes réservés, raccord au seed, butin, rencontres et services de campagne restent à terminer.</x:v>
      </x:c>
    </x:row>
    <x:row r="628" ht="96" customHeight="1">
      <x:c r="A628" s="115" t="str">
        <x:v>EXT-MONDE-T013-V23</x:v>
      </x:c>
      <x:c r="B628" s="115" t="str">
        <x:v>EXT-MONDE-T013</x:v>
      </x:c>
      <x:c r="C628" s="115" t="str">
        <x:v>Ports</x:v>
      </x:c>
      <x:c r="D628" s="115" t="str">
        <x:v>Port de pêche</x:v>
      </x:c>
      <x:c r="E628" s="115" t="n">
        <x:v>23</x:v>
      </x:c>
      <x:c r="F628" s="115" t="str">
        <x:v>Inspection physique</x:v>
      </x:c>
      <x:c r="G628" s="115" t="str">
        <x:v>1 niveaux ; 32 pièces ; 248 segments de mur ; 0 transitions. Inspection physique ; architecture complète encore ouverte.</x:v>
      </x:c>
      <x:c r="H628" s="115" t="str">
        <x:v>L 372 ; l 468 ; hauteur 10 m ; choix de composition auteur ; dimensions réelles à documenter</x:v>
      </x:c>
      <x:c r="I628" s="115" t="str">
        <x:v>À équilibrer</x:v>
      </x:c>
      <x:c r="J628" s="115" t="str">
        <x:v>Non</x:v>
      </x:c>
      <x:c r="K628" s="115" t="str">
        <x:v>Pièces décrites, murs, portes, niveaux et mobilier inspectables à l’échelle. Volumes réservés, raccord au seed, butin, rencontres et services de campagne restent à terminer.</x:v>
      </x:c>
    </x:row>
    <x:row r="629" ht="96" customHeight="1">
      <x:c r="A629" s="115" t="str">
        <x:v>EXT-MONDE-T013-V24</x:v>
      </x:c>
      <x:c r="B629" s="115" t="str">
        <x:v>EXT-MONDE-T013</x:v>
      </x:c>
      <x:c r="C629" s="115" t="str">
        <x:v>Ports</x:v>
      </x:c>
      <x:c r="D629" s="115" t="str">
        <x:v>Port de pêche</x:v>
      </x:c>
      <x:c r="E629" s="115" t="n">
        <x:v>24</x:v>
      </x:c>
      <x:c r="F629" s="115" t="str">
        <x:v>Inspection physique</x:v>
      </x:c>
      <x:c r="G629" s="115" t="str">
        <x:v>1 niveaux ; 32 pièces ; 248 segments de mur ; 0 transitions. Inspection physique ; architecture complète encore ouverte.</x:v>
      </x:c>
      <x:c r="H629" s="115" t="str">
        <x:v>L 372 ; l 468 ; hauteur 10 m ; choix de composition auteur ; dimensions réelles à documenter</x:v>
      </x:c>
      <x:c r="I629" s="115" t="str">
        <x:v>À équilibrer</x:v>
      </x:c>
      <x:c r="J629" s="115" t="str">
        <x:v>Non</x:v>
      </x:c>
      <x:c r="K629" s="115" t="str">
        <x:v>Pièces décrites, murs, portes, niveaux et mobilier inspectables à l’échelle. Volumes réservés, raccord au seed, butin, rencontres et services de campagne restent à terminer.</x:v>
      </x:c>
    </x:row>
    <x:row r="630" ht="96" customHeight="1">
      <x:c r="A630" s="115" t="str">
        <x:v>EXT-MONDE-T013-V25</x:v>
      </x:c>
      <x:c r="B630" s="115" t="str">
        <x:v>EXT-MONDE-T013</x:v>
      </x:c>
      <x:c r="C630" s="115" t="str">
        <x:v>Ports</x:v>
      </x:c>
      <x:c r="D630" s="115" t="str">
        <x:v>Port de pêche</x:v>
      </x:c>
      <x:c r="E630" s="115" t="n">
        <x:v>25</x:v>
      </x:c>
      <x:c r="F630" s="115" t="str">
        <x:v>Inspection physique</x:v>
      </x:c>
      <x:c r="G630" s="115" t="str">
        <x:v>1 niveaux ; 32 pièces ; 248 segments de mur ; 0 transitions. Inspection physique ; architecture complète encore ouverte.</x:v>
      </x:c>
      <x:c r="H630" s="115" t="str">
        <x:v>L 372 ; l 468 ; hauteur 10 m ; choix de composition auteur ; dimensions réelles à documenter</x:v>
      </x:c>
      <x:c r="I630" s="115" t="str">
        <x:v>À équilibrer</x:v>
      </x:c>
      <x:c r="J630" s="115" t="str">
        <x:v>Non</x:v>
      </x:c>
      <x:c r="K630" s="115" t="str">
        <x:v>Pièces décrites, murs, portes, niveaux et mobilier inspectables à l’échelle. Volumes réservés, raccord au seed, butin, rencontres et services de campagne restent à terminer.</x:v>
      </x:c>
    </x:row>
    <x:row r="631" ht="96" customHeight="1">
      <x:c r="A631" s="115" t="str">
        <x:v>EXT-MONDE-T013-V26</x:v>
      </x:c>
      <x:c r="B631" s="115" t="str">
        <x:v>EXT-MONDE-T013</x:v>
      </x:c>
      <x:c r="C631" s="115" t="str">
        <x:v>Ports</x:v>
      </x:c>
      <x:c r="D631" s="115" t="str">
        <x:v>Port de pêche</x:v>
      </x:c>
      <x:c r="E631" s="115" t="n">
        <x:v>26</x:v>
      </x:c>
      <x:c r="F631" s="115" t="str">
        <x:v>Inspection physique</x:v>
      </x:c>
      <x:c r="G631" s="115" t="str">
        <x:v>1 niveaux ; 32 pièces ; 248 segments de mur ; 0 transitions. Inspection physique ; architecture complète encore ouverte.</x:v>
      </x:c>
      <x:c r="H631" s="115" t="str">
        <x:v>L 372 ; l 468 ; hauteur 10 m ; choix de composition auteur ; dimensions réelles à documenter</x:v>
      </x:c>
      <x:c r="I631" s="115" t="str">
        <x:v>À équilibrer</x:v>
      </x:c>
      <x:c r="J631" s="115" t="str">
        <x:v>Non</x:v>
      </x:c>
      <x:c r="K631" s="115" t="str">
        <x:v>Pièces décrites, murs, portes, niveaux et mobilier inspectables à l’échelle. Volumes réservés, raccord au seed, butin, rencontres et services de campagne restent à terminer.</x:v>
      </x:c>
    </x:row>
    <x:row r="632" ht="96" customHeight="1">
      <x:c r="A632" s="115" t="str">
        <x:v>EXT-MONDE-T013-V27</x:v>
      </x:c>
      <x:c r="B632" s="115" t="str">
        <x:v>EXT-MONDE-T013</x:v>
      </x:c>
      <x:c r="C632" s="115" t="str">
        <x:v>Ports</x:v>
      </x:c>
      <x:c r="D632" s="115" t="str">
        <x:v>Port de pêche</x:v>
      </x:c>
      <x:c r="E632" s="115" t="n">
        <x:v>27</x:v>
      </x:c>
      <x:c r="F632" s="115" t="str">
        <x:v>Inspection physique</x:v>
      </x:c>
      <x:c r="G632" s="115" t="str">
        <x:v>1 niveaux ; 32 pièces ; 248 segments de mur ; 0 transitions. Inspection physique ; architecture complète encore ouverte.</x:v>
      </x:c>
      <x:c r="H632" s="115" t="str">
        <x:v>L 372 ; l 468 ; hauteur 10 m ; choix de composition auteur ; dimensions réelles à documenter</x:v>
      </x:c>
      <x:c r="I632" s="115" t="str">
        <x:v>À équilibrer</x:v>
      </x:c>
      <x:c r="J632" s="115" t="str">
        <x:v>Non</x:v>
      </x:c>
      <x:c r="K632" s="115" t="str">
        <x:v>Pièces décrites, murs, portes, niveaux et mobilier inspectables à l’échelle. Volumes réservés, raccord au seed, butin, rencontres et services de campagne restent à terminer.</x:v>
      </x:c>
    </x:row>
    <x:row r="633" ht="96" customHeight="1">
      <x:c r="A633" s="115" t="str">
        <x:v>EXT-MONDE-T013-V28</x:v>
      </x:c>
      <x:c r="B633" s="115" t="str">
        <x:v>EXT-MONDE-T013</x:v>
      </x:c>
      <x:c r="C633" s="115" t="str">
        <x:v>Ports</x:v>
      </x:c>
      <x:c r="D633" s="115" t="str">
        <x:v>Port de pêche</x:v>
      </x:c>
      <x:c r="E633" s="115" t="n">
        <x:v>28</x:v>
      </x:c>
      <x:c r="F633" s="115" t="str">
        <x:v>Inspection physique</x:v>
      </x:c>
      <x:c r="G633" s="115" t="str">
        <x:v>1 niveaux ; 32 pièces ; 248 segments de mur ; 0 transitions. Inspection physique ; architecture complète encore ouverte.</x:v>
      </x:c>
      <x:c r="H633" s="115" t="str">
        <x:v>L 372 ; l 468 ; hauteur 10 m ; choix de composition auteur ; dimensions réelles à documenter</x:v>
      </x:c>
      <x:c r="I633" s="115" t="str">
        <x:v>À équilibrer</x:v>
      </x:c>
      <x:c r="J633" s="115" t="str">
        <x:v>Non</x:v>
      </x:c>
      <x:c r="K633" s="115" t="str">
        <x:v>Pièces décrites, murs, portes, niveaux et mobilier inspectables à l’échelle. Volumes réservés, raccord au seed, butin, rencontres et services de campagne restent à terminer.</x:v>
      </x:c>
    </x:row>
    <x:row r="634" ht="96" customHeight="1">
      <x:c r="A634" s="115" t="str">
        <x:v>EXT-MONDE-T013-V29</x:v>
      </x:c>
      <x:c r="B634" s="115" t="str">
        <x:v>EXT-MONDE-T013</x:v>
      </x:c>
      <x:c r="C634" s="115" t="str">
        <x:v>Ports</x:v>
      </x:c>
      <x:c r="D634" s="115" t="str">
        <x:v>Port de pêche</x:v>
      </x:c>
      <x:c r="E634" s="115" t="n">
        <x:v>29</x:v>
      </x:c>
      <x:c r="F634" s="115" t="str">
        <x:v>Inspection physique</x:v>
      </x:c>
      <x:c r="G634" s="115" t="str">
        <x:v>1 niveaux ; 32 pièces ; 248 segments de mur ; 0 transitions. Inspection physique ; architecture complète encore ouverte.</x:v>
      </x:c>
      <x:c r="H634" s="115" t="str">
        <x:v>L 372 ; l 468 ; hauteur 10 m ; choix de composition auteur ; dimensions réelles à documenter</x:v>
      </x:c>
      <x:c r="I634" s="115" t="str">
        <x:v>À équilibrer</x:v>
      </x:c>
      <x:c r="J634" s="115" t="str">
        <x:v>Non</x:v>
      </x:c>
      <x:c r="K634" s="115" t="str">
        <x:v>Pièces décrites, murs, portes, niveaux et mobilier inspectables à l’échelle. Volumes réservés, raccord au seed, butin, rencontres et services de campagne restent à terminer.</x:v>
      </x:c>
    </x:row>
    <x:row r="635" ht="96" customHeight="1">
      <x:c r="A635" s="115" t="str">
        <x:v>EXT-MONDE-T013-V30</x:v>
      </x:c>
      <x:c r="B635" s="115" t="str">
        <x:v>EXT-MONDE-T013</x:v>
      </x:c>
      <x:c r="C635" s="115" t="str">
        <x:v>Ports</x:v>
      </x:c>
      <x:c r="D635" s="115" t="str">
        <x:v>Port de pêche</x:v>
      </x:c>
      <x:c r="E635" s="115" t="n">
        <x:v>30</x:v>
      </x:c>
      <x:c r="F635" s="115" t="str">
        <x:v>Inspection physique</x:v>
      </x:c>
      <x:c r="G635" s="115" t="str">
        <x:v>1 niveaux ; 32 pièces ; 248 segments de mur ; 0 transitions. Inspection physique ; architecture complète encore ouverte.</x:v>
      </x:c>
      <x:c r="H635" s="115" t="str">
        <x:v>L 372 ; l 468 ; hauteur 10 m ; choix de composition auteur ; dimensions réelles à documenter</x:v>
      </x:c>
      <x:c r="I635" s="115" t="str">
        <x:v>À équilibrer</x:v>
      </x:c>
      <x:c r="J635" s="115" t="str">
        <x:v>Non</x:v>
      </x:c>
      <x:c r="K635" s="115" t="str">
        <x:v>Pièces décrites, murs, portes, niveaux et mobilier inspectables à l’échelle. Volumes réservés, raccord au seed, butin, rencontres et services de campagne restent à terminer.</x:v>
      </x:c>
    </x:row>
    <x:row r="636" ht="96" customHeight="1">
      <x:c r="A636" s="115" t="str">
        <x:v>EXT-MONDE-T013-V31</x:v>
      </x:c>
      <x:c r="B636" s="115" t="str">
        <x:v>EXT-MONDE-T013</x:v>
      </x:c>
      <x:c r="C636" s="115" t="str">
        <x:v>Ports</x:v>
      </x:c>
      <x:c r="D636" s="115" t="str">
        <x:v>Port de pêche</x:v>
      </x:c>
      <x:c r="E636" s="115" t="n">
        <x:v>31</x:v>
      </x:c>
      <x:c r="F636" s="115" t="str">
        <x:v>Inspection physique</x:v>
      </x:c>
      <x:c r="G636" s="115" t="str">
        <x:v>1 niveaux ; 32 pièces ; 248 segments de mur ; 0 transitions. Inspection physique ; architecture complète encore ouverte.</x:v>
      </x:c>
      <x:c r="H636" s="115" t="str">
        <x:v>L 386 ; l 480 ; hauteur 10 m ; choix de composition auteur ; dimensions réelles à documenter</x:v>
      </x:c>
      <x:c r="I636" s="115" t="str">
        <x:v>À équilibrer</x:v>
      </x:c>
      <x:c r="J636" s="115" t="str">
        <x:v>Non</x:v>
      </x:c>
      <x:c r="K636" s="115" t="str">
        <x:v>Pièces décrites, murs, portes, niveaux et mobilier inspectables à l’échelle. Volumes réservés, raccord au seed, butin, rencontres et services de campagne restent à terminer.</x:v>
      </x:c>
    </x:row>
    <x:row r="637" ht="96" customHeight="1">
      <x:c r="A637" s="115" t="str">
        <x:v>EXT-MONDE-T013-V32</x:v>
      </x:c>
      <x:c r="B637" s="115" t="str">
        <x:v>EXT-MONDE-T013</x:v>
      </x:c>
      <x:c r="C637" s="115" t="str">
        <x:v>Ports</x:v>
      </x:c>
      <x:c r="D637" s="115" t="str">
        <x:v>Port de pêche</x:v>
      </x:c>
      <x:c r="E637" s="115" t="n">
        <x:v>32</x:v>
      </x:c>
      <x:c r="F637" s="115" t="str">
        <x:v>Inspection physique</x:v>
      </x:c>
      <x:c r="G637" s="115" t="str">
        <x:v>1 niveaux ; 32 pièces ; 248 segments de mur ; 0 transitions. Inspection physique ; architecture complète encore ouverte.</x:v>
      </x:c>
      <x:c r="H637" s="115" t="str">
        <x:v>L 386 ; l 480 ; hauteur 10 m ; choix de composition auteur ; dimensions réelles à documenter</x:v>
      </x:c>
      <x:c r="I637" s="115" t="str">
        <x:v>À équilibrer</x:v>
      </x:c>
      <x:c r="J637" s="115" t="str">
        <x:v>Non</x:v>
      </x:c>
      <x:c r="K637" s="115" t="str">
        <x:v>Pièces décrites, murs, portes, niveaux et mobilier inspectables à l’échelle. Volumes réservés, raccord au seed, butin, rencontres et services de campagne restent à terminer.</x:v>
      </x:c>
    </x:row>
    <x:row r="638" ht="96" customHeight="1">
      <x:c r="A638" s="115" t="str">
        <x:v>EXT-MONDE-T013-V33</x:v>
      </x:c>
      <x:c r="B638" s="115" t="str">
        <x:v>EXT-MONDE-T013</x:v>
      </x:c>
      <x:c r="C638" s="115" t="str">
        <x:v>Ports</x:v>
      </x:c>
      <x:c r="D638" s="115" t="str">
        <x:v>Port de pêche</x:v>
      </x:c>
      <x:c r="E638" s="115" t="n">
        <x:v>33</x:v>
      </x:c>
      <x:c r="F638" s="115" t="str">
        <x:v>Inspection physique</x:v>
      </x:c>
      <x:c r="G638" s="115" t="str">
        <x:v>1 niveaux ; 32 pièces ; 248 segments de mur ; 0 transitions. Inspection physique ; architecture complète encore ouverte.</x:v>
      </x:c>
      <x:c r="H638" s="115" t="str">
        <x:v>L 386 ; l 480 ; hauteur 10 m ; choix de composition auteur ; dimensions réelles à documenter</x:v>
      </x:c>
      <x:c r="I638" s="115" t="str">
        <x:v>À équilibrer</x:v>
      </x:c>
      <x:c r="J638" s="115" t="str">
        <x:v>Non</x:v>
      </x:c>
      <x:c r="K638" s="115" t="str">
        <x:v>Pièces décrites, murs, portes, niveaux et mobilier inspectables à l’échelle. Volumes réservés, raccord au seed, butin, rencontres et services de campagne restent à terminer.</x:v>
      </x:c>
    </x:row>
    <x:row r="639" ht="96" customHeight="1">
      <x:c r="A639" s="115" t="str">
        <x:v>EXT-MONDE-T013-V34</x:v>
      </x:c>
      <x:c r="B639" s="115" t="str">
        <x:v>EXT-MONDE-T013</x:v>
      </x:c>
      <x:c r="C639" s="115" t="str">
        <x:v>Ports</x:v>
      </x:c>
      <x:c r="D639" s="115" t="str">
        <x:v>Port de pêche</x:v>
      </x:c>
      <x:c r="E639" s="115" t="n">
        <x:v>34</x:v>
      </x:c>
      <x:c r="F639" s="115" t="str">
        <x:v>Inspection physique</x:v>
      </x:c>
      <x:c r="G639" s="115" t="str">
        <x:v>1 niveaux ; 32 pièces ; 248 segments de mur ; 0 transitions. Inspection physique ; architecture complète encore ouverte.</x:v>
      </x:c>
      <x:c r="H639" s="115" t="str">
        <x:v>L 386 ; l 480 ; hauteur 10 m ; choix de composition auteur ; dimensions réelles à documenter</x:v>
      </x:c>
      <x:c r="I639" s="115" t="str">
        <x:v>À équilibrer</x:v>
      </x:c>
      <x:c r="J639" s="115" t="str">
        <x:v>Non</x:v>
      </x:c>
      <x:c r="K639" s="115" t="str">
        <x:v>Pièces décrites, murs, portes, niveaux et mobilier inspectables à l’échelle. Volumes réservés, raccord au seed, butin, rencontres et services de campagne restent à terminer.</x:v>
      </x:c>
    </x:row>
    <x:row r="640" ht="96" customHeight="1">
      <x:c r="A640" s="115" t="str">
        <x:v>EXT-MONDE-T013-V35</x:v>
      </x:c>
      <x:c r="B640" s="115" t="str">
        <x:v>EXT-MONDE-T013</x:v>
      </x:c>
      <x:c r="C640" s="115" t="str">
        <x:v>Ports</x:v>
      </x:c>
      <x:c r="D640" s="115" t="str">
        <x:v>Port de pêche</x:v>
      </x:c>
      <x:c r="E640" s="115" t="n">
        <x:v>35</x:v>
      </x:c>
      <x:c r="F640" s="115" t="str">
        <x:v>Inspection physique</x:v>
      </x:c>
      <x:c r="G640" s="115" t="str">
        <x:v>1 niveaux ; 32 pièces ; 248 segments de mur ; 0 transitions. Inspection physique ; architecture complète encore ouverte.</x:v>
      </x:c>
      <x:c r="H640" s="115" t="str">
        <x:v>L 386 ; l 480 ; hauteur 10 m ; choix de composition auteur ; dimensions réelles à documenter</x:v>
      </x:c>
      <x:c r="I640" s="115" t="str">
        <x:v>À équilibrer</x:v>
      </x:c>
      <x:c r="J640" s="115" t="str">
        <x:v>Non</x:v>
      </x:c>
      <x:c r="K640" s="115" t="str">
        <x:v>Pièces décrites, murs, portes, niveaux et mobilier inspectables à l’échelle. Volumes réservés, raccord au seed, butin, rencontres et services de campagne restent à terminer.</x:v>
      </x:c>
    </x:row>
    <x:row r="641" ht="96" customHeight="1">
      <x:c r="A641" s="115" t="str">
        <x:v>EXT-MONDE-T013-V36</x:v>
      </x:c>
      <x:c r="B641" s="115" t="str">
        <x:v>EXT-MONDE-T013</x:v>
      </x:c>
      <x:c r="C641" s="115" t="str">
        <x:v>Ports</x:v>
      </x:c>
      <x:c r="D641" s="115" t="str">
        <x:v>Port de pêche</x:v>
      </x:c>
      <x:c r="E641" s="115" t="n">
        <x:v>36</x:v>
      </x:c>
      <x:c r="F641" s="115" t="str">
        <x:v>Inspection physique</x:v>
      </x:c>
      <x:c r="G641" s="115" t="str">
        <x:v>1 niveaux ; 32 pièces ; 248 segments de mur ; 0 transitions. Inspection physique ; architecture complète encore ouverte.</x:v>
      </x:c>
      <x:c r="H641" s="115" t="str">
        <x:v>L 386 ; l 480 ; hauteur 10 m ; choix de composition auteur ; dimensions réelles à documenter</x:v>
      </x:c>
      <x:c r="I641" s="115" t="str">
        <x:v>À équilibrer</x:v>
      </x:c>
      <x:c r="J641" s="115" t="str">
        <x:v>Non</x:v>
      </x:c>
      <x:c r="K641" s="115" t="str">
        <x:v>Pièces décrites, murs, portes, niveaux et mobilier inspectables à l’échelle. Volumes réservés, raccord au seed, butin, rencontres et services de campagne restent à terminer.</x:v>
      </x:c>
    </x:row>
    <x:row r="642" ht="96" customHeight="1">
      <x:c r="A642" s="115" t="str">
        <x:v>EXT-MONDE-T013-V37</x:v>
      </x:c>
      <x:c r="B642" s="115" t="str">
        <x:v>EXT-MONDE-T013</x:v>
      </x:c>
      <x:c r="C642" s="115" t="str">
        <x:v>Ports</x:v>
      </x:c>
      <x:c r="D642" s="115" t="str">
        <x:v>Port de pêche</x:v>
      </x:c>
      <x:c r="E642" s="115" t="n">
        <x:v>37</x:v>
      </x:c>
      <x:c r="F642" s="115" t="str">
        <x:v>Inspection physique</x:v>
      </x:c>
      <x:c r="G642" s="115" t="str">
        <x:v>1 niveaux ; 32 pièces ; 248 segments de mur ; 0 transitions. Inspection physique ; architecture complète encore ouverte.</x:v>
      </x:c>
      <x:c r="H642" s="115" t="str">
        <x:v>L 386 ; l 480 ; hauteur 10 m ; choix de composition auteur ; dimensions réelles à documenter</x:v>
      </x:c>
      <x:c r="I642" s="115" t="str">
        <x:v>À équilibrer</x:v>
      </x:c>
      <x:c r="J642" s="115" t="str">
        <x:v>Non</x:v>
      </x:c>
      <x:c r="K642" s="115" t="str">
        <x:v>Pièces décrites, murs, portes, niveaux et mobilier inspectables à l’échelle. Volumes réservés, raccord au seed, butin, rencontres et services de campagne restent à terminer.</x:v>
      </x:c>
    </x:row>
    <x:row r="643" ht="96" customHeight="1">
      <x:c r="A643" s="115" t="str">
        <x:v>EXT-MONDE-T013-V38</x:v>
      </x:c>
      <x:c r="B643" s="115" t="str">
        <x:v>EXT-MONDE-T013</x:v>
      </x:c>
      <x:c r="C643" s="115" t="str">
        <x:v>Ports</x:v>
      </x:c>
      <x:c r="D643" s="115" t="str">
        <x:v>Port de pêche</x:v>
      </x:c>
      <x:c r="E643" s="115" t="n">
        <x:v>38</x:v>
      </x:c>
      <x:c r="F643" s="115" t="str">
        <x:v>Inspection physique</x:v>
      </x:c>
      <x:c r="G643" s="115" t="str">
        <x:v>1 niveaux ; 32 pièces ; 248 segments de mur ; 0 transitions. Inspection physique ; architecture complète encore ouverte.</x:v>
      </x:c>
      <x:c r="H643" s="115" t="str">
        <x:v>L 386 ; l 480 ; hauteur 10 m ; choix de composition auteur ; dimensions réelles à documenter</x:v>
      </x:c>
      <x:c r="I643" s="115" t="str">
        <x:v>À équilibrer</x:v>
      </x:c>
      <x:c r="J643" s="115" t="str">
        <x:v>Non</x:v>
      </x:c>
      <x:c r="K643" s="115" t="str">
        <x:v>Pièces décrites, murs, portes, niveaux et mobilier inspectables à l’échelle. Volumes réservés, raccord au seed, butin, rencontres et services de campagne restent à terminer.</x:v>
      </x:c>
    </x:row>
    <x:row r="644" ht="96" customHeight="1">
      <x:c r="A644" s="115" t="str">
        <x:v>EXT-MONDE-T013-V39</x:v>
      </x:c>
      <x:c r="B644" s="115" t="str">
        <x:v>EXT-MONDE-T013</x:v>
      </x:c>
      <x:c r="C644" s="115" t="str">
        <x:v>Ports</x:v>
      </x:c>
      <x:c r="D644" s="115" t="str">
        <x:v>Port de pêche</x:v>
      </x:c>
      <x:c r="E644" s="115" t="n">
        <x:v>39</x:v>
      </x:c>
      <x:c r="F644" s="115" t="str">
        <x:v>Inspection physique</x:v>
      </x:c>
      <x:c r="G644" s="115" t="str">
        <x:v>1 niveaux ; 32 pièces ; 248 segments de mur ; 0 transitions. Inspection physique ; architecture complète encore ouverte.</x:v>
      </x:c>
      <x:c r="H644" s="115" t="str">
        <x:v>L 386 ; l 480 ; hauteur 10 m ; choix de composition auteur ; dimensions réelles à documenter</x:v>
      </x:c>
      <x:c r="I644" s="115" t="str">
        <x:v>À équilibrer</x:v>
      </x:c>
      <x:c r="J644" s="115" t="str">
        <x:v>Non</x:v>
      </x:c>
      <x:c r="K644" s="115" t="str">
        <x:v>Pièces décrites, murs, portes, niveaux et mobilier inspectables à l’échelle. Volumes réservés, raccord au seed, butin, rencontres et services de campagne restent à terminer.</x:v>
      </x:c>
    </x:row>
    <x:row r="645" ht="96" customHeight="1">
      <x:c r="A645" s="115" t="str">
        <x:v>EXT-MONDE-T013-V40</x:v>
      </x:c>
      <x:c r="B645" s="115" t="str">
        <x:v>EXT-MONDE-T013</x:v>
      </x:c>
      <x:c r="C645" s="115" t="str">
        <x:v>Ports</x:v>
      </x:c>
      <x:c r="D645" s="115" t="str">
        <x:v>Port de pêche</x:v>
      </x:c>
      <x:c r="E645" s="115" t="n">
        <x:v>40</x:v>
      </x:c>
      <x:c r="F645" s="115" t="str">
        <x:v>Inspection physique</x:v>
      </x:c>
      <x:c r="G645" s="115" t="str">
        <x:v>1 niveaux ; 32 pièces ; 248 segments de mur ; 0 transitions. Inspection physique ; architecture complète encore ouverte.</x:v>
      </x:c>
      <x:c r="H645" s="115" t="str">
        <x:v>L 386 ; l 480 ; hauteur 10 m ; choix de composition auteur ; dimensions réelles à documenter</x:v>
      </x:c>
      <x:c r="I645" s="115" t="str">
        <x:v>À équilibrer</x:v>
      </x:c>
      <x:c r="J645" s="115" t="str">
        <x:v>Non</x:v>
      </x:c>
      <x:c r="K645" s="115" t="str">
        <x:v>Pièces décrites, murs, portes, niveaux et mobilier inspectables à l’échelle. Volumes réservés, raccord au seed, butin, rencontres et services de campagne restent à terminer.</x:v>
      </x:c>
    </x:row>
    <x:row r="646" ht="96" customHeight="1">
      <x:c r="A646" s="115" t="str">
        <x:v>EXT-MONDE-T013-V41</x:v>
      </x:c>
      <x:c r="B646" s="115" t="str">
        <x:v>EXT-MONDE-T013</x:v>
      </x:c>
      <x:c r="C646" s="115" t="str">
        <x:v>Ports</x:v>
      </x:c>
      <x:c r="D646" s="115" t="str">
        <x:v>Port de pêche</x:v>
      </x:c>
      <x:c r="E646" s="115" t="n">
        <x:v>41</x:v>
      </x:c>
      <x:c r="F646" s="115" t="str">
        <x:v>Inspection physique</x:v>
      </x:c>
      <x:c r="G646" s="115" t="str">
        <x:v>1 niveaux ; 32 pièces ; 248 segments de mur ; 0 transitions. Inspection physique ; architecture complète encore ouverte.</x:v>
      </x:c>
      <x:c r="H646" s="115" t="str">
        <x:v>L 400 ; l 492 ; hauteur 10 m ; choix de composition auteur ; dimensions réelles à documenter</x:v>
      </x:c>
      <x:c r="I646" s="115" t="str">
        <x:v>À équilibrer</x:v>
      </x:c>
      <x:c r="J646" s="115" t="str">
        <x:v>Non</x:v>
      </x:c>
      <x:c r="K646" s="115" t="str">
        <x:v>Pièces décrites, murs, portes, niveaux et mobilier inspectables à l’échelle. Volumes réservés, raccord au seed, butin, rencontres et services de campagne restent à terminer.</x:v>
      </x:c>
    </x:row>
    <x:row r="647" ht="96" customHeight="1">
      <x:c r="A647" s="115" t="str">
        <x:v>EXT-MONDE-T013-V42</x:v>
      </x:c>
      <x:c r="B647" s="115" t="str">
        <x:v>EXT-MONDE-T013</x:v>
      </x:c>
      <x:c r="C647" s="115" t="str">
        <x:v>Ports</x:v>
      </x:c>
      <x:c r="D647" s="115" t="str">
        <x:v>Port de pêche</x:v>
      </x:c>
      <x:c r="E647" s="115" t="n">
        <x:v>42</x:v>
      </x:c>
      <x:c r="F647" s="115" t="str">
        <x:v>Inspection physique</x:v>
      </x:c>
      <x:c r="G647" s="115" t="str">
        <x:v>1 niveaux ; 32 pièces ; 248 segments de mur ; 0 transitions. Inspection physique ; architecture complète encore ouverte.</x:v>
      </x:c>
      <x:c r="H647" s="115" t="str">
        <x:v>L 400 ; l 492 ; hauteur 10 m ; choix de composition auteur ; dimensions réelles à documenter</x:v>
      </x:c>
      <x:c r="I647" s="115" t="str">
        <x:v>À équilibrer</x:v>
      </x:c>
      <x:c r="J647" s="115" t="str">
        <x:v>Non</x:v>
      </x:c>
      <x:c r="K647" s="115" t="str">
        <x:v>Pièces décrites, murs, portes, niveaux et mobilier inspectables à l’échelle. Volumes réservés, raccord au seed, butin, rencontres et services de campagne restent à terminer.</x:v>
      </x:c>
    </x:row>
    <x:row r="648" ht="96" customHeight="1">
      <x:c r="A648" s="115" t="str">
        <x:v>EXT-MONDE-T013-V43</x:v>
      </x:c>
      <x:c r="B648" s="115" t="str">
        <x:v>EXT-MONDE-T013</x:v>
      </x:c>
      <x:c r="C648" s="115" t="str">
        <x:v>Ports</x:v>
      </x:c>
      <x:c r="D648" s="115" t="str">
        <x:v>Port de pêche</x:v>
      </x:c>
      <x:c r="E648" s="115" t="n">
        <x:v>43</x:v>
      </x:c>
      <x:c r="F648" s="115" t="str">
        <x:v>Inspection physique</x:v>
      </x:c>
      <x:c r="G648" s="115" t="str">
        <x:v>1 niveaux ; 32 pièces ; 248 segments de mur ; 0 transitions. Inspection physique ; architecture complète encore ouverte.</x:v>
      </x:c>
      <x:c r="H648" s="115" t="str">
        <x:v>L 400 ; l 492 ; hauteur 10 m ; choix de composition auteur ; dimensions réelles à documenter</x:v>
      </x:c>
      <x:c r="I648" s="115" t="str">
        <x:v>À équilibrer</x:v>
      </x:c>
      <x:c r="J648" s="115" t="str">
        <x:v>Non</x:v>
      </x:c>
      <x:c r="K648" s="115" t="str">
        <x:v>Pièces décrites, murs, portes, niveaux et mobilier inspectables à l’échelle. Volumes réservés, raccord au seed, butin, rencontres et services de campagne restent à terminer.</x:v>
      </x:c>
    </x:row>
    <x:row r="649" ht="96" customHeight="1">
      <x:c r="A649" s="115" t="str">
        <x:v>EXT-MONDE-T013-V44</x:v>
      </x:c>
      <x:c r="B649" s="115" t="str">
        <x:v>EXT-MONDE-T013</x:v>
      </x:c>
      <x:c r="C649" s="115" t="str">
        <x:v>Ports</x:v>
      </x:c>
      <x:c r="D649" s="115" t="str">
        <x:v>Port de pêche</x:v>
      </x:c>
      <x:c r="E649" s="115" t="n">
        <x:v>44</x:v>
      </x:c>
      <x:c r="F649" s="115" t="str">
        <x:v>Inspection physique</x:v>
      </x:c>
      <x:c r="G649" s="115" t="str">
        <x:v>1 niveaux ; 32 pièces ; 248 segments de mur ; 0 transitions. Inspection physique ; architecture complète encore ouverte.</x:v>
      </x:c>
      <x:c r="H649" s="115" t="str">
        <x:v>L 400 ; l 492 ; hauteur 10 m ; choix de composition auteur ; dimensions réelles à documenter</x:v>
      </x:c>
      <x:c r="I649" s="115" t="str">
        <x:v>À équilibrer</x:v>
      </x:c>
      <x:c r="J649" s="115" t="str">
        <x:v>Non</x:v>
      </x:c>
      <x:c r="K649" s="115" t="str">
        <x:v>Pièces décrites, murs, portes, niveaux et mobilier inspectables à l’échelle. Volumes réservés, raccord au seed, butin, rencontres et services de campagne restent à terminer.</x:v>
      </x:c>
    </x:row>
    <x:row r="650" ht="96" customHeight="1">
      <x:c r="A650" s="115" t="str">
        <x:v>EXT-MONDE-T013-V45</x:v>
      </x:c>
      <x:c r="B650" s="115" t="str">
        <x:v>EXT-MONDE-T013</x:v>
      </x:c>
      <x:c r="C650" s="115" t="str">
        <x:v>Ports</x:v>
      </x:c>
      <x:c r="D650" s="115" t="str">
        <x:v>Port de pêche</x:v>
      </x:c>
      <x:c r="E650" s="115" t="n">
        <x:v>45</x:v>
      </x:c>
      <x:c r="F650" s="115" t="str">
        <x:v>Inspection physique</x:v>
      </x:c>
      <x:c r="G650" s="115" t="str">
        <x:v>1 niveaux ; 32 pièces ; 248 segments de mur ; 0 transitions. Inspection physique ; architecture complète encore ouverte.</x:v>
      </x:c>
      <x:c r="H650" s="115" t="str">
        <x:v>L 400 ; l 492 ; hauteur 10 m ; choix de composition auteur ; dimensions réelles à documenter</x:v>
      </x:c>
      <x:c r="I650" s="115" t="str">
        <x:v>À équilibrer</x:v>
      </x:c>
      <x:c r="J650" s="115" t="str">
        <x:v>Non</x:v>
      </x:c>
      <x:c r="K650" s="115" t="str">
        <x:v>Pièces décrites, murs, portes, niveaux et mobilier inspectables à l’échelle. Volumes réservés, raccord au seed, butin, rencontres et services de campagne restent à terminer.</x:v>
      </x:c>
    </x:row>
    <x:row r="651" ht="96" customHeight="1">
      <x:c r="A651" s="115" t="str">
        <x:v>EXT-MONDE-T013-V46</x:v>
      </x:c>
      <x:c r="B651" s="115" t="str">
        <x:v>EXT-MONDE-T013</x:v>
      </x:c>
      <x:c r="C651" s="115" t="str">
        <x:v>Ports</x:v>
      </x:c>
      <x:c r="D651" s="115" t="str">
        <x:v>Port de pêche</x:v>
      </x:c>
      <x:c r="E651" s="115" t="n">
        <x:v>46</x:v>
      </x:c>
      <x:c r="F651" s="115" t="str">
        <x:v>Inspection physique</x:v>
      </x:c>
      <x:c r="G651" s="115" t="str">
        <x:v>1 niveaux ; 32 pièces ; 248 segments de mur ; 0 transitions. Inspection physique ; architecture complète encore ouverte.</x:v>
      </x:c>
      <x:c r="H651" s="115" t="str">
        <x:v>L 400 ; l 492 ; hauteur 10 m ; choix de composition auteur ; dimensions réelles à documenter</x:v>
      </x:c>
      <x:c r="I651" s="115" t="str">
        <x:v>À équilibrer</x:v>
      </x:c>
      <x:c r="J651" s="115" t="str">
        <x:v>Non</x:v>
      </x:c>
      <x:c r="K651" s="115" t="str">
        <x:v>Pièces décrites, murs, portes, niveaux et mobilier inspectables à l’échelle. Volumes réservés, raccord au seed, butin, rencontres et services de campagne restent à terminer.</x:v>
      </x:c>
    </x:row>
    <x:row r="652" ht="96" customHeight="1">
      <x:c r="A652" s="115" t="str">
        <x:v>EXT-MONDE-T013-V47</x:v>
      </x:c>
      <x:c r="B652" s="115" t="str">
        <x:v>EXT-MONDE-T013</x:v>
      </x:c>
      <x:c r="C652" s="115" t="str">
        <x:v>Ports</x:v>
      </x:c>
      <x:c r="D652" s="115" t="str">
        <x:v>Port de pêche</x:v>
      </x:c>
      <x:c r="E652" s="115" t="n">
        <x:v>47</x:v>
      </x:c>
      <x:c r="F652" s="115" t="str">
        <x:v>Inspection physique</x:v>
      </x:c>
      <x:c r="G652" s="115" t="str">
        <x:v>1 niveaux ; 32 pièces ; 248 segments de mur ; 0 transitions. Inspection physique ; architecture complète encore ouverte.</x:v>
      </x:c>
      <x:c r="H652" s="115" t="str">
        <x:v>L 400 ; l 492 ; hauteur 10 m ; choix de composition auteur ; dimensions réelles à documenter</x:v>
      </x:c>
      <x:c r="I652" s="115" t="str">
        <x:v>À équilibrer</x:v>
      </x:c>
      <x:c r="J652" s="115" t="str">
        <x:v>Non</x:v>
      </x:c>
      <x:c r="K652" s="115" t="str">
        <x:v>Pièces décrites, murs, portes, niveaux et mobilier inspectables à l’échelle. Volumes réservés, raccord au seed, butin, rencontres et services de campagne restent à terminer.</x:v>
      </x:c>
    </x:row>
    <x:row r="653" ht="96" customHeight="1">
      <x:c r="A653" s="115" t="str">
        <x:v>EXT-MONDE-T013-V48</x:v>
      </x:c>
      <x:c r="B653" s="115" t="str">
        <x:v>EXT-MONDE-T013</x:v>
      </x:c>
      <x:c r="C653" s="115" t="str">
        <x:v>Ports</x:v>
      </x:c>
      <x:c r="D653" s="115" t="str">
        <x:v>Port de pêche</x:v>
      </x:c>
      <x:c r="E653" s="115" t="n">
        <x:v>48</x:v>
      </x:c>
      <x:c r="F653" s="115" t="str">
        <x:v>Inspection physique</x:v>
      </x:c>
      <x:c r="G653" s="115" t="str">
        <x:v>1 niveaux ; 32 pièces ; 248 segments de mur ; 0 transitions. Inspection physique ; architecture complète encore ouverte.</x:v>
      </x:c>
      <x:c r="H653" s="115" t="str">
        <x:v>L 400 ; l 492 ; hauteur 10 m ; choix de composition auteur ; dimensions réelles à documenter</x:v>
      </x:c>
      <x:c r="I653" s="115" t="str">
        <x:v>À équilibrer</x:v>
      </x:c>
      <x:c r="J653" s="115" t="str">
        <x:v>Non</x:v>
      </x:c>
      <x:c r="K653" s="115" t="str">
        <x:v>Pièces décrites, murs, portes, niveaux et mobilier inspectables à l’échelle. Volumes réservés, raccord au seed, butin, rencontres et services de campagne restent à terminer.</x:v>
      </x:c>
    </x:row>
    <x:row r="654" ht="96" customHeight="1">
      <x:c r="A654" s="115" t="str">
        <x:v>EXT-MONDE-T013-V49</x:v>
      </x:c>
      <x:c r="B654" s="115" t="str">
        <x:v>EXT-MONDE-T013</x:v>
      </x:c>
      <x:c r="C654" s="115" t="str">
        <x:v>Ports</x:v>
      </x:c>
      <x:c r="D654" s="115" t="str">
        <x:v>Port de pêche</x:v>
      </x:c>
      <x:c r="E654" s="115" t="n">
        <x:v>49</x:v>
      </x:c>
      <x:c r="F654" s="115" t="str">
        <x:v>Inspection physique</x:v>
      </x:c>
      <x:c r="G654" s="115" t="str">
        <x:v>1 niveaux ; 32 pièces ; 248 segments de mur ; 0 transitions. Inspection physique ; architecture complète encore ouverte.</x:v>
      </x:c>
      <x:c r="H654" s="115" t="str">
        <x:v>L 400 ; l 492 ; hauteur 10 m ; choix de composition auteur ; dimensions réelles à documenter</x:v>
      </x:c>
      <x:c r="I654" s="115" t="str">
        <x:v>À équilibrer</x:v>
      </x:c>
      <x:c r="J654" s="115" t="str">
        <x:v>Non</x:v>
      </x:c>
      <x:c r="K654" s="115" t="str">
        <x:v>Pièces décrites, murs, portes, niveaux et mobilier inspectables à l’échelle. Volumes réservés, raccord au seed, butin, rencontres et services de campagne restent à terminer.</x:v>
      </x:c>
    </x:row>
    <x:row r="655" ht="96" customHeight="1">
      <x:c r="A655" s="115" t="str">
        <x:v>EXT-MONDE-T013-V50</x:v>
      </x:c>
      <x:c r="B655" s="115" t="str">
        <x:v>EXT-MONDE-T013</x:v>
      </x:c>
      <x:c r="C655" s="115" t="str">
        <x:v>Ports</x:v>
      </x:c>
      <x:c r="D655" s="115" t="str">
        <x:v>Port de pêche</x:v>
      </x:c>
      <x:c r="E655" s="115" t="n">
        <x:v>50</x:v>
      </x:c>
      <x:c r="F655" s="115" t="str">
        <x:v>Inspection physique</x:v>
      </x:c>
      <x:c r="G655" s="115" t="str">
        <x:v>1 niveaux ; 32 pièces ; 248 segments de mur ; 0 transitions. Inspection physique ; architecture complète encore ouverte.</x:v>
      </x:c>
      <x:c r="H655" s="115" t="str">
        <x:v>L 400 ; l 492 ; hauteur 10 m ; choix de composition auteur ; dimensions réelles à documenter</x:v>
      </x:c>
      <x:c r="I655" s="115" t="str">
        <x:v>À équilibrer</x:v>
      </x:c>
      <x:c r="J655" s="115" t="str">
        <x:v>Non</x:v>
      </x:c>
      <x:c r="K655" s="115" t="str">
        <x:v>Pièces décrites, murs, portes, niveaux et mobilier inspectables à l’échelle. Volumes réservés, raccord au seed, butin, rencontres et services de campagne restent à terminer.</x:v>
      </x:c>
    </x:row>
    <x:row r="656" ht="96" customHeight="1">
      <x:c r="A656" s="115" t="str">
        <x:v>EXT-MONDE-T014-V01</x:v>
      </x:c>
      <x:c r="B656" s="115" t="str">
        <x:v>EXT-MONDE-T014</x:v>
      </x:c>
      <x:c r="C656" s="115" t="str">
        <x:v>Ports</x:v>
      </x:c>
      <x:c r="D656" s="115" t="str">
        <x:v>Marina</x:v>
      </x:c>
      <x:c r="E656" s="115" t="n">
        <x:v>1</x:v>
      </x:c>
      <x:c r="F656" s="115" t="str">
        <x:v>Inspection physique</x:v>
      </x:c>
      <x:c r="G656" s="115" t="str">
        <x:v>1 niveaux ; 32 pièces ; 248 segments de mur ; 0 transitions. Inspection physique ; architecture complète encore ouverte.</x:v>
      </x:c>
      <x:c r="H656" s="115" t="str">
        <x:v>L 324 ; l 424 ; hauteur 10 m ; choix de composition auteur ; dimensions réelles à documenter</x:v>
      </x:c>
      <x:c r="I656" s="115" t="str">
        <x:v>À équilibrer</x:v>
      </x:c>
      <x:c r="J656" s="115" t="str">
        <x:v>Non</x:v>
      </x:c>
      <x:c r="K656" s="115" t="str">
        <x:v>Pièces décrites, murs, portes, niveaux et mobilier inspectables à l’échelle. Volumes réservés, raccord au seed, butin, rencontres et services de campagne restent à terminer.</x:v>
      </x:c>
    </x:row>
    <x:row r="657" ht="96" customHeight="1">
      <x:c r="A657" s="115" t="str">
        <x:v>EXT-MONDE-T014-V02</x:v>
      </x:c>
      <x:c r="B657" s="115" t="str">
        <x:v>EXT-MONDE-T014</x:v>
      </x:c>
      <x:c r="C657" s="115" t="str">
        <x:v>Ports</x:v>
      </x:c>
      <x:c r="D657" s="115" t="str">
        <x:v>Marina</x:v>
      </x:c>
      <x:c r="E657" s="115" t="n">
        <x:v>2</x:v>
      </x:c>
      <x:c r="F657" s="115" t="str">
        <x:v>Inspection physique</x:v>
      </x:c>
      <x:c r="G657" s="115" t="str">
        <x:v>1 niveaux ; 32 pièces ; 248 segments de mur ; 0 transitions. Inspection physique ; architecture complète encore ouverte.</x:v>
      </x:c>
      <x:c r="H657" s="115" t="str">
        <x:v>L 324 ; l 424 ; hauteur 10 m ; choix de composition auteur ; dimensions réelles à documenter</x:v>
      </x:c>
      <x:c r="I657" s="115" t="str">
        <x:v>À équilibrer</x:v>
      </x:c>
      <x:c r="J657" s="115" t="str">
        <x:v>Non</x:v>
      </x:c>
      <x:c r="K657" s="115" t="str">
        <x:v>Pièces décrites, murs, portes, niveaux et mobilier inspectables à l’échelle. Volumes réservés, raccord au seed, butin, rencontres et services de campagne restent à terminer.</x:v>
      </x:c>
    </x:row>
    <x:row r="658" ht="96" customHeight="1">
      <x:c r="A658" s="115" t="str">
        <x:v>EXT-MONDE-T014-V03</x:v>
      </x:c>
      <x:c r="B658" s="115" t="str">
        <x:v>EXT-MONDE-T014</x:v>
      </x:c>
      <x:c r="C658" s="115" t="str">
        <x:v>Ports</x:v>
      </x:c>
      <x:c r="D658" s="115" t="str">
        <x:v>Marina</x:v>
      </x:c>
      <x:c r="E658" s="115" t="n">
        <x:v>3</x:v>
      </x:c>
      <x:c r="F658" s="115" t="str">
        <x:v>Inspection physique</x:v>
      </x:c>
      <x:c r="G658" s="115" t="str">
        <x:v>1 niveaux ; 32 pièces ; 248 segments de mur ; 0 transitions. Inspection physique ; architecture complète encore ouverte.</x:v>
      </x:c>
      <x:c r="H658" s="115" t="str">
        <x:v>L 324 ; l 424 ; hauteur 10 m ; choix de composition auteur ; dimensions réelles à documenter</x:v>
      </x:c>
      <x:c r="I658" s="115" t="str">
        <x:v>À équilibrer</x:v>
      </x:c>
      <x:c r="J658" s="115" t="str">
        <x:v>Non</x:v>
      </x:c>
      <x:c r="K658" s="115" t="str">
        <x:v>Pièces décrites, murs, portes, niveaux et mobilier inspectables à l’échelle. Volumes réservés, raccord au seed, butin, rencontres et services de campagne restent à terminer.</x:v>
      </x:c>
    </x:row>
    <x:row r="659" ht="96" customHeight="1">
      <x:c r="A659" s="115" t="str">
        <x:v>EXT-MONDE-T014-V04</x:v>
      </x:c>
      <x:c r="B659" s="115" t="str">
        <x:v>EXT-MONDE-T014</x:v>
      </x:c>
      <x:c r="C659" s="115" t="str">
        <x:v>Ports</x:v>
      </x:c>
      <x:c r="D659" s="115" t="str">
        <x:v>Marina</x:v>
      </x:c>
      <x:c r="E659" s="115" t="n">
        <x:v>4</x:v>
      </x:c>
      <x:c r="F659" s="115" t="str">
        <x:v>Inspection physique</x:v>
      </x:c>
      <x:c r="G659" s="115" t="str">
        <x:v>1 niveaux ; 32 pièces ; 248 segments de mur ; 0 transitions. Inspection physique ; architecture complète encore ouverte.</x:v>
      </x:c>
      <x:c r="H659" s="115" t="str">
        <x:v>L 324 ; l 424 ; hauteur 10 m ; choix de composition auteur ; dimensions réelles à documenter</x:v>
      </x:c>
      <x:c r="I659" s="115" t="str">
        <x:v>À équilibrer</x:v>
      </x:c>
      <x:c r="J659" s="115" t="str">
        <x:v>Non</x:v>
      </x:c>
      <x:c r="K659" s="115" t="str">
        <x:v>Pièces décrites, murs, portes, niveaux et mobilier inspectables à l’échelle. Volumes réservés, raccord au seed, butin, rencontres et services de campagne restent à terminer.</x:v>
      </x:c>
    </x:row>
    <x:row r="660" ht="96" customHeight="1">
      <x:c r="A660" s="115" t="str">
        <x:v>EXT-MONDE-T014-V05</x:v>
      </x:c>
      <x:c r="B660" s="115" t="str">
        <x:v>EXT-MONDE-T014</x:v>
      </x:c>
      <x:c r="C660" s="115" t="str">
        <x:v>Ports</x:v>
      </x:c>
      <x:c r="D660" s="115" t="str">
        <x:v>Marina</x:v>
      </x:c>
      <x:c r="E660" s="115" t="n">
        <x:v>5</x:v>
      </x:c>
      <x:c r="F660" s="115" t="str">
        <x:v>Inspection physique</x:v>
      </x:c>
      <x:c r="G660" s="115" t="str">
        <x:v>1 niveaux ; 32 pièces ; 248 segments de mur ; 0 transitions. Inspection physique ; architecture complète encore ouverte.</x:v>
      </x:c>
      <x:c r="H660" s="115" t="str">
        <x:v>L 324 ; l 424 ; hauteur 10 m ; choix de composition auteur ; dimensions réelles à documenter</x:v>
      </x:c>
      <x:c r="I660" s="115" t="str">
        <x:v>À équilibrer</x:v>
      </x:c>
      <x:c r="J660" s="115" t="str">
        <x:v>Non</x:v>
      </x:c>
      <x:c r="K660" s="115" t="str">
        <x:v>Pièces décrites, murs, portes, niveaux et mobilier inspectables à l’échelle. Volumes réservés, raccord au seed, butin, rencontres et services de campagne restent à terminer.</x:v>
      </x:c>
    </x:row>
    <x:row r="661" ht="96" customHeight="1">
      <x:c r="A661" s="115" t="str">
        <x:v>EXT-MONDE-T014-V06</x:v>
      </x:c>
      <x:c r="B661" s="115" t="str">
        <x:v>EXT-MONDE-T014</x:v>
      </x:c>
      <x:c r="C661" s="115" t="str">
        <x:v>Ports</x:v>
      </x:c>
      <x:c r="D661" s="115" t="str">
        <x:v>Marina</x:v>
      </x:c>
      <x:c r="E661" s="115" t="n">
        <x:v>6</x:v>
      </x:c>
      <x:c r="F661" s="115" t="str">
        <x:v>Inspection physique</x:v>
      </x:c>
      <x:c r="G661" s="115" t="str">
        <x:v>1 niveaux ; 32 pièces ; 248 segments de mur ; 0 transitions. Inspection physique ; architecture complète encore ouverte.</x:v>
      </x:c>
      <x:c r="H661" s="115" t="str">
        <x:v>L 324 ; l 424 ; hauteur 10 m ; choix de composition auteur ; dimensions réelles à documenter</x:v>
      </x:c>
      <x:c r="I661" s="115" t="str">
        <x:v>À équilibrer</x:v>
      </x:c>
      <x:c r="J661" s="115" t="str">
        <x:v>Non</x:v>
      </x:c>
      <x:c r="K661" s="115" t="str">
        <x:v>Pièces décrites, murs, portes, niveaux et mobilier inspectables à l’échelle. Volumes réservés, raccord au seed, butin, rencontres et services de campagne restent à terminer.</x:v>
      </x:c>
    </x:row>
    <x:row r="662" ht="96" customHeight="1">
      <x:c r="A662" s="115" t="str">
        <x:v>EXT-MONDE-T014-V07</x:v>
      </x:c>
      <x:c r="B662" s="115" t="str">
        <x:v>EXT-MONDE-T014</x:v>
      </x:c>
      <x:c r="C662" s="115" t="str">
        <x:v>Ports</x:v>
      </x:c>
      <x:c r="D662" s="115" t="str">
        <x:v>Marina</x:v>
      </x:c>
      <x:c r="E662" s="115" t="n">
        <x:v>7</x:v>
      </x:c>
      <x:c r="F662" s="115" t="str">
        <x:v>Inspection physique</x:v>
      </x:c>
      <x:c r="G662" s="115" t="str">
        <x:v>1 niveaux ; 32 pièces ; 248 segments de mur ; 0 transitions. Inspection physique ; architecture complète encore ouverte.</x:v>
      </x:c>
      <x:c r="H662" s="115" t="str">
        <x:v>L 324 ; l 424 ; hauteur 10 m ; choix de composition auteur ; dimensions réelles à documenter</x:v>
      </x:c>
      <x:c r="I662" s="115" t="str">
        <x:v>À équilibrer</x:v>
      </x:c>
      <x:c r="J662" s="115" t="str">
        <x:v>Non</x:v>
      </x:c>
      <x:c r="K662" s="115" t="str">
        <x:v>Pièces décrites, murs, portes, niveaux et mobilier inspectables à l’échelle. Volumes réservés, raccord au seed, butin, rencontres et services de campagne restent à terminer.</x:v>
      </x:c>
    </x:row>
    <x:row r="663" ht="96" customHeight="1">
      <x:c r="A663" s="115" t="str">
        <x:v>EXT-MONDE-T014-V08</x:v>
      </x:c>
      <x:c r="B663" s="115" t="str">
        <x:v>EXT-MONDE-T014</x:v>
      </x:c>
      <x:c r="C663" s="115" t="str">
        <x:v>Ports</x:v>
      </x:c>
      <x:c r="D663" s="115" t="str">
        <x:v>Marina</x:v>
      </x:c>
      <x:c r="E663" s="115" t="n">
        <x:v>8</x:v>
      </x:c>
      <x:c r="F663" s="115" t="str">
        <x:v>Inspection physique</x:v>
      </x:c>
      <x:c r="G663" s="115" t="str">
        <x:v>1 niveaux ; 32 pièces ; 248 segments de mur ; 0 transitions. Inspection physique ; architecture complète encore ouverte.</x:v>
      </x:c>
      <x:c r="H663" s="115" t="str">
        <x:v>L 324 ; l 424 ; hauteur 10 m ; choix de composition auteur ; dimensions réelles à documenter</x:v>
      </x:c>
      <x:c r="I663" s="115" t="str">
        <x:v>À équilibrer</x:v>
      </x:c>
      <x:c r="J663" s="115" t="str">
        <x:v>Non</x:v>
      </x:c>
      <x:c r="K663" s="115" t="str">
        <x:v>Pièces décrites, murs, portes, niveaux et mobilier inspectables à l’échelle. Volumes réservés, raccord au seed, butin, rencontres et services de campagne restent à terminer.</x:v>
      </x:c>
    </x:row>
    <x:row r="664" ht="96" customHeight="1">
      <x:c r="A664" s="115" t="str">
        <x:v>EXT-MONDE-T014-V09</x:v>
      </x:c>
      <x:c r="B664" s="115" t="str">
        <x:v>EXT-MONDE-T014</x:v>
      </x:c>
      <x:c r="C664" s="115" t="str">
        <x:v>Ports</x:v>
      </x:c>
      <x:c r="D664" s="115" t="str">
        <x:v>Marina</x:v>
      </x:c>
      <x:c r="E664" s="115" t="n">
        <x:v>9</x:v>
      </x:c>
      <x:c r="F664" s="115" t="str">
        <x:v>Inspection physique</x:v>
      </x:c>
      <x:c r="G664" s="115" t="str">
        <x:v>1 niveaux ; 32 pièces ; 248 segments de mur ; 0 transitions. Inspection physique ; architecture complète encore ouverte.</x:v>
      </x:c>
      <x:c r="H664" s="115" t="str">
        <x:v>L 324 ; l 424 ; hauteur 10 m ; choix de composition auteur ; dimensions réelles à documenter</x:v>
      </x:c>
      <x:c r="I664" s="115" t="str">
        <x:v>À équilibrer</x:v>
      </x:c>
      <x:c r="J664" s="115" t="str">
        <x:v>Non</x:v>
      </x:c>
      <x:c r="K664" s="115" t="str">
        <x:v>Pièces décrites, murs, portes, niveaux et mobilier inspectables à l’échelle. Volumes réservés, raccord au seed, butin, rencontres et services de campagne restent à terminer.</x:v>
      </x:c>
    </x:row>
    <x:row r="665" ht="96" customHeight="1">
      <x:c r="A665" s="115" t="str">
        <x:v>EXT-MONDE-T014-V10</x:v>
      </x:c>
      <x:c r="B665" s="115" t="str">
        <x:v>EXT-MONDE-T014</x:v>
      </x:c>
      <x:c r="C665" s="115" t="str">
        <x:v>Ports</x:v>
      </x:c>
      <x:c r="D665" s="115" t="str">
        <x:v>Marina</x:v>
      </x:c>
      <x:c r="E665" s="115" t="n">
        <x:v>10</x:v>
      </x:c>
      <x:c r="F665" s="115" t="str">
        <x:v>Inspection physique</x:v>
      </x:c>
      <x:c r="G665" s="115" t="str">
        <x:v>1 niveaux ; 32 pièces ; 248 segments de mur ; 0 transitions. Inspection physique ; architecture complète encore ouverte.</x:v>
      </x:c>
      <x:c r="H665" s="115" t="str">
        <x:v>L 324 ; l 424 ; hauteur 10 m ; choix de composition auteur ; dimensions réelles à documenter</x:v>
      </x:c>
      <x:c r="I665" s="115" t="str">
        <x:v>À équilibrer</x:v>
      </x:c>
      <x:c r="J665" s="115" t="str">
        <x:v>Non</x:v>
      </x:c>
      <x:c r="K665" s="115" t="str">
        <x:v>Pièces décrites, murs, portes, niveaux et mobilier inspectables à l’échelle. Volumes réservés, raccord au seed, butin, rencontres et services de campagne restent à terminer.</x:v>
      </x:c>
    </x:row>
    <x:row r="666" ht="96" customHeight="1">
      <x:c r="A666" s="115" t="str">
        <x:v>EXT-MONDE-T014-V11</x:v>
      </x:c>
      <x:c r="B666" s="115" t="str">
        <x:v>EXT-MONDE-T014</x:v>
      </x:c>
      <x:c r="C666" s="115" t="str">
        <x:v>Ports</x:v>
      </x:c>
      <x:c r="D666" s="115" t="str">
        <x:v>Marina</x:v>
      </x:c>
      <x:c r="E666" s="115" t="n">
        <x:v>11</x:v>
      </x:c>
      <x:c r="F666" s="115" t="str">
        <x:v>Inspection physique</x:v>
      </x:c>
      <x:c r="G666" s="115" t="str">
        <x:v>1 niveaux ; 32 pièces ; 248 segments de mur ; 0 transitions. Inspection physique ; architecture complète encore ouverte.</x:v>
      </x:c>
      <x:c r="H666" s="115" t="str">
        <x:v>L 338 ; l 436 ; hauteur 10 m ; choix de composition auteur ; dimensions réelles à documenter</x:v>
      </x:c>
      <x:c r="I666" s="115" t="str">
        <x:v>À équilibrer</x:v>
      </x:c>
      <x:c r="J666" s="115" t="str">
        <x:v>Non</x:v>
      </x:c>
      <x:c r="K666" s="115" t="str">
        <x:v>Pièces décrites, murs, portes, niveaux et mobilier inspectables à l’échelle. Volumes réservés, raccord au seed, butin, rencontres et services de campagne restent à terminer.</x:v>
      </x:c>
    </x:row>
    <x:row r="667" ht="96" customHeight="1">
      <x:c r="A667" s="115" t="str">
        <x:v>EXT-MONDE-T014-V12</x:v>
      </x:c>
      <x:c r="B667" s="115" t="str">
        <x:v>EXT-MONDE-T014</x:v>
      </x:c>
      <x:c r="C667" s="115" t="str">
        <x:v>Ports</x:v>
      </x:c>
      <x:c r="D667" s="115" t="str">
        <x:v>Marina</x:v>
      </x:c>
      <x:c r="E667" s="115" t="n">
        <x:v>12</x:v>
      </x:c>
      <x:c r="F667" s="115" t="str">
        <x:v>Inspection physique</x:v>
      </x:c>
      <x:c r="G667" s="115" t="str">
        <x:v>1 niveaux ; 32 pièces ; 248 segments de mur ; 0 transitions. Inspection physique ; architecture complète encore ouverte.</x:v>
      </x:c>
      <x:c r="H667" s="115" t="str">
        <x:v>L 338 ; l 436 ; hauteur 10 m ; choix de composition auteur ; dimensions réelles à documenter</x:v>
      </x:c>
      <x:c r="I667" s="115" t="str">
        <x:v>À équilibrer</x:v>
      </x:c>
      <x:c r="J667" s="115" t="str">
        <x:v>Non</x:v>
      </x:c>
      <x:c r="K667" s="115" t="str">
        <x:v>Pièces décrites, murs, portes, niveaux et mobilier inspectables à l’échelle. Volumes réservés, raccord au seed, butin, rencontres et services de campagne restent à terminer.</x:v>
      </x:c>
    </x:row>
    <x:row r="668" ht="96" customHeight="1">
      <x:c r="A668" s="115" t="str">
        <x:v>EXT-MONDE-T014-V13</x:v>
      </x:c>
      <x:c r="B668" s="115" t="str">
        <x:v>EXT-MONDE-T014</x:v>
      </x:c>
      <x:c r="C668" s="115" t="str">
        <x:v>Ports</x:v>
      </x:c>
      <x:c r="D668" s="115" t="str">
        <x:v>Marina</x:v>
      </x:c>
      <x:c r="E668" s="115" t="n">
        <x:v>13</x:v>
      </x:c>
      <x:c r="F668" s="115" t="str">
        <x:v>Inspection physique</x:v>
      </x:c>
      <x:c r="G668" s="115" t="str">
        <x:v>1 niveaux ; 32 pièces ; 248 segments de mur ; 0 transitions. Inspection physique ; architecture complète encore ouverte.</x:v>
      </x:c>
      <x:c r="H668" s="115" t="str">
        <x:v>L 338 ; l 436 ; hauteur 10 m ; choix de composition auteur ; dimensions réelles à documenter</x:v>
      </x:c>
      <x:c r="I668" s="115" t="str">
        <x:v>À équilibrer</x:v>
      </x:c>
      <x:c r="J668" s="115" t="str">
        <x:v>Non</x:v>
      </x:c>
      <x:c r="K668" s="115" t="str">
        <x:v>Pièces décrites, murs, portes, niveaux et mobilier inspectables à l’échelle. Volumes réservés, raccord au seed, butin, rencontres et services de campagne restent à terminer.</x:v>
      </x:c>
    </x:row>
    <x:row r="669" ht="96" customHeight="1">
      <x:c r="A669" s="115" t="str">
        <x:v>EXT-MONDE-T014-V14</x:v>
      </x:c>
      <x:c r="B669" s="115" t="str">
        <x:v>EXT-MONDE-T014</x:v>
      </x:c>
      <x:c r="C669" s="115" t="str">
        <x:v>Ports</x:v>
      </x:c>
      <x:c r="D669" s="115" t="str">
        <x:v>Marina</x:v>
      </x:c>
      <x:c r="E669" s="115" t="n">
        <x:v>14</x:v>
      </x:c>
      <x:c r="F669" s="115" t="str">
        <x:v>Inspection physique</x:v>
      </x:c>
      <x:c r="G669" s="115" t="str">
        <x:v>1 niveaux ; 32 pièces ; 248 segments de mur ; 0 transitions. Inspection physique ; architecture complète encore ouverte.</x:v>
      </x:c>
      <x:c r="H669" s="115" t="str">
        <x:v>L 338 ; l 436 ; hauteur 10 m ; choix de composition auteur ; dimensions réelles à documenter</x:v>
      </x:c>
      <x:c r="I669" s="115" t="str">
        <x:v>À équilibrer</x:v>
      </x:c>
      <x:c r="J669" s="115" t="str">
        <x:v>Non</x:v>
      </x:c>
      <x:c r="K669" s="115" t="str">
        <x:v>Pièces décrites, murs, portes, niveaux et mobilier inspectables à l’échelle. Volumes réservés, raccord au seed, butin, rencontres et services de campagne restent à terminer.</x:v>
      </x:c>
    </x:row>
    <x:row r="670" ht="96" customHeight="1">
      <x:c r="A670" s="115" t="str">
        <x:v>EXT-MONDE-T014-V15</x:v>
      </x:c>
      <x:c r="B670" s="115" t="str">
        <x:v>EXT-MONDE-T014</x:v>
      </x:c>
      <x:c r="C670" s="115" t="str">
        <x:v>Ports</x:v>
      </x:c>
      <x:c r="D670" s="115" t="str">
        <x:v>Marina</x:v>
      </x:c>
      <x:c r="E670" s="115" t="n">
        <x:v>15</x:v>
      </x:c>
      <x:c r="F670" s="115" t="str">
        <x:v>Inspection physique</x:v>
      </x:c>
      <x:c r="G670" s="115" t="str">
        <x:v>1 niveaux ; 32 pièces ; 248 segments de mur ; 0 transitions. Inspection physique ; architecture complète encore ouverte.</x:v>
      </x:c>
      <x:c r="H670" s="115" t="str">
        <x:v>L 338 ; l 436 ; hauteur 10 m ; choix de composition auteur ; dimensions réelles à documenter</x:v>
      </x:c>
      <x:c r="I670" s="115" t="str">
        <x:v>À équilibrer</x:v>
      </x:c>
      <x:c r="J670" s="115" t="str">
        <x:v>Non</x:v>
      </x:c>
      <x:c r="K670" s="115" t="str">
        <x:v>Pièces décrites, murs, portes, niveaux et mobilier inspectables à l’échelle. Volumes réservés, raccord au seed, butin, rencontres et services de campagne restent à terminer.</x:v>
      </x:c>
    </x:row>
    <x:row r="671" ht="96" customHeight="1">
      <x:c r="A671" s="115" t="str">
        <x:v>EXT-MONDE-T014-V16</x:v>
      </x:c>
      <x:c r="B671" s="115" t="str">
        <x:v>EXT-MONDE-T014</x:v>
      </x:c>
      <x:c r="C671" s="115" t="str">
        <x:v>Ports</x:v>
      </x:c>
      <x:c r="D671" s="115" t="str">
        <x:v>Marina</x:v>
      </x:c>
      <x:c r="E671" s="115" t="n">
        <x:v>16</x:v>
      </x:c>
      <x:c r="F671" s="115" t="str">
        <x:v>Inspection physique</x:v>
      </x:c>
      <x:c r="G671" s="115" t="str">
        <x:v>1 niveaux ; 32 pièces ; 248 segments de mur ; 0 transitions. Inspection physique ; architecture complète encore ouverte.</x:v>
      </x:c>
      <x:c r="H671" s="115" t="str">
        <x:v>L 338 ; l 436 ; hauteur 10 m ; choix de composition auteur ; dimensions réelles à documenter</x:v>
      </x:c>
      <x:c r="I671" s="115" t="str">
        <x:v>À équilibrer</x:v>
      </x:c>
      <x:c r="J671" s="115" t="str">
        <x:v>Non</x:v>
      </x:c>
      <x:c r="K671" s="115" t="str">
        <x:v>Pièces décrites, murs, portes, niveaux et mobilier inspectables à l’échelle. Volumes réservés, raccord au seed, butin, rencontres et services de campagne restent à terminer.</x:v>
      </x:c>
    </x:row>
    <x:row r="672" ht="96" customHeight="1">
      <x:c r="A672" s="115" t="str">
        <x:v>EXT-MONDE-T014-V17</x:v>
      </x:c>
      <x:c r="B672" s="115" t="str">
        <x:v>EXT-MONDE-T014</x:v>
      </x:c>
      <x:c r="C672" s="115" t="str">
        <x:v>Ports</x:v>
      </x:c>
      <x:c r="D672" s="115" t="str">
        <x:v>Marina</x:v>
      </x:c>
      <x:c r="E672" s="115" t="n">
        <x:v>17</x:v>
      </x:c>
      <x:c r="F672" s="115" t="str">
        <x:v>Inspection physique</x:v>
      </x:c>
      <x:c r="G672" s="115" t="str">
        <x:v>1 niveaux ; 32 pièces ; 248 segments de mur ; 0 transitions. Inspection physique ; architecture complète encore ouverte.</x:v>
      </x:c>
      <x:c r="H672" s="115" t="str">
        <x:v>L 338 ; l 436 ; hauteur 10 m ; choix de composition auteur ; dimensions réelles à documenter</x:v>
      </x:c>
      <x:c r="I672" s="115" t="str">
        <x:v>À équilibrer</x:v>
      </x:c>
      <x:c r="J672" s="115" t="str">
        <x:v>Non</x:v>
      </x:c>
      <x:c r="K672" s="115" t="str">
        <x:v>Pièces décrites, murs, portes, niveaux et mobilier inspectables à l’échelle. Volumes réservés, raccord au seed, butin, rencontres et services de campagne restent à terminer.</x:v>
      </x:c>
    </x:row>
    <x:row r="673" ht="96" customHeight="1">
      <x:c r="A673" s="115" t="str">
        <x:v>EXT-MONDE-T014-V18</x:v>
      </x:c>
      <x:c r="B673" s="115" t="str">
        <x:v>EXT-MONDE-T014</x:v>
      </x:c>
      <x:c r="C673" s="115" t="str">
        <x:v>Ports</x:v>
      </x:c>
      <x:c r="D673" s="115" t="str">
        <x:v>Marina</x:v>
      </x:c>
      <x:c r="E673" s="115" t="n">
        <x:v>18</x:v>
      </x:c>
      <x:c r="F673" s="115" t="str">
        <x:v>Inspection physique</x:v>
      </x:c>
      <x:c r="G673" s="115" t="str">
        <x:v>1 niveaux ; 32 pièces ; 248 segments de mur ; 0 transitions. Inspection physique ; architecture complète encore ouverte.</x:v>
      </x:c>
      <x:c r="H673" s="115" t="str">
        <x:v>L 338 ; l 436 ; hauteur 10 m ; choix de composition auteur ; dimensions réelles à documenter</x:v>
      </x:c>
      <x:c r="I673" s="115" t="str">
        <x:v>À équilibrer</x:v>
      </x:c>
      <x:c r="J673" s="115" t="str">
        <x:v>Non</x:v>
      </x:c>
      <x:c r="K673" s="115" t="str">
        <x:v>Pièces décrites, murs, portes, niveaux et mobilier inspectables à l’échelle. Volumes réservés, raccord au seed, butin, rencontres et services de campagne restent à terminer.</x:v>
      </x:c>
    </x:row>
    <x:row r="674" ht="96" customHeight="1">
      <x:c r="A674" s="115" t="str">
        <x:v>EXT-MONDE-T014-V19</x:v>
      </x:c>
      <x:c r="B674" s="115" t="str">
        <x:v>EXT-MONDE-T014</x:v>
      </x:c>
      <x:c r="C674" s="115" t="str">
        <x:v>Ports</x:v>
      </x:c>
      <x:c r="D674" s="115" t="str">
        <x:v>Marina</x:v>
      </x:c>
      <x:c r="E674" s="115" t="n">
        <x:v>19</x:v>
      </x:c>
      <x:c r="F674" s="115" t="str">
        <x:v>Inspection physique</x:v>
      </x:c>
      <x:c r="G674" s="115" t="str">
        <x:v>1 niveaux ; 32 pièces ; 248 segments de mur ; 0 transitions. Inspection physique ; architecture complète encore ouverte.</x:v>
      </x:c>
      <x:c r="H674" s="115" t="str">
        <x:v>L 338 ; l 436 ; hauteur 10 m ; choix de composition auteur ; dimensions réelles à documenter</x:v>
      </x:c>
      <x:c r="I674" s="115" t="str">
        <x:v>À équilibrer</x:v>
      </x:c>
      <x:c r="J674" s="115" t="str">
        <x:v>Non</x:v>
      </x:c>
      <x:c r="K674" s="115" t="str">
        <x:v>Pièces décrites, murs, portes, niveaux et mobilier inspectables à l’échelle. Volumes réservés, raccord au seed, butin, rencontres et services de campagne restent à terminer.</x:v>
      </x:c>
    </x:row>
    <x:row r="675" ht="96" customHeight="1">
      <x:c r="A675" s="115" t="str">
        <x:v>EXT-MONDE-T014-V20</x:v>
      </x:c>
      <x:c r="B675" s="115" t="str">
        <x:v>EXT-MONDE-T014</x:v>
      </x:c>
      <x:c r="C675" s="115" t="str">
        <x:v>Ports</x:v>
      </x:c>
      <x:c r="D675" s="115" t="str">
        <x:v>Marina</x:v>
      </x:c>
      <x:c r="E675" s="115" t="n">
        <x:v>20</x:v>
      </x:c>
      <x:c r="F675" s="115" t="str">
        <x:v>Inspection physique</x:v>
      </x:c>
      <x:c r="G675" s="115" t="str">
        <x:v>1 niveaux ; 32 pièces ; 248 segments de mur ; 0 transitions. Inspection physique ; architecture complète encore ouverte.</x:v>
      </x:c>
      <x:c r="H675" s="115" t="str">
        <x:v>L 338 ; l 436 ; hauteur 10 m ; choix de composition auteur ; dimensions réelles à documenter</x:v>
      </x:c>
      <x:c r="I675" s="115" t="str">
        <x:v>À équilibrer</x:v>
      </x:c>
      <x:c r="J675" s="115" t="str">
        <x:v>Non</x:v>
      </x:c>
      <x:c r="K675" s="115" t="str">
        <x:v>Pièces décrites, murs, portes, niveaux et mobilier inspectables à l’échelle. Volumes réservés, raccord au seed, butin, rencontres et services de campagne restent à terminer.</x:v>
      </x:c>
    </x:row>
    <x:row r="676" ht="96" customHeight="1">
      <x:c r="A676" s="115" t="str">
        <x:v>EXT-MONDE-T014-V21</x:v>
      </x:c>
      <x:c r="B676" s="115" t="str">
        <x:v>EXT-MONDE-T014</x:v>
      </x:c>
      <x:c r="C676" s="115" t="str">
        <x:v>Ports</x:v>
      </x:c>
      <x:c r="D676" s="115" t="str">
        <x:v>Marina</x:v>
      </x:c>
      <x:c r="E676" s="115" t="n">
        <x:v>21</x:v>
      </x:c>
      <x:c r="F676" s="115" t="str">
        <x:v>Inspection physique</x:v>
      </x:c>
      <x:c r="G676" s="115" t="str">
        <x:v>1 niveaux ; 32 pièces ; 248 segments de mur ; 0 transitions. Inspection physique ; architecture complète encore ouverte.</x:v>
      </x:c>
      <x:c r="H676" s="115" t="str">
        <x:v>L 352 ; l 448 ; hauteur 10 m ; choix de composition auteur ; dimensions réelles à documenter</x:v>
      </x:c>
      <x:c r="I676" s="115" t="str">
        <x:v>À équilibrer</x:v>
      </x:c>
      <x:c r="J676" s="115" t="str">
        <x:v>Non</x:v>
      </x:c>
      <x:c r="K676" s="115" t="str">
        <x:v>Pièces décrites, murs, portes, niveaux et mobilier inspectables à l’échelle. Volumes réservés, raccord au seed, butin, rencontres et services de campagne restent à terminer.</x:v>
      </x:c>
    </x:row>
    <x:row r="677" ht="96" customHeight="1">
      <x:c r="A677" s="115" t="str">
        <x:v>EXT-MONDE-T014-V22</x:v>
      </x:c>
      <x:c r="B677" s="115" t="str">
        <x:v>EXT-MONDE-T014</x:v>
      </x:c>
      <x:c r="C677" s="115" t="str">
        <x:v>Ports</x:v>
      </x:c>
      <x:c r="D677" s="115" t="str">
        <x:v>Marina</x:v>
      </x:c>
      <x:c r="E677" s="115" t="n">
        <x:v>22</x:v>
      </x:c>
      <x:c r="F677" s="115" t="str">
        <x:v>Inspection physique</x:v>
      </x:c>
      <x:c r="G677" s="115" t="str">
        <x:v>1 niveaux ; 32 pièces ; 248 segments de mur ; 0 transitions. Inspection physique ; architecture complète encore ouverte.</x:v>
      </x:c>
      <x:c r="H677" s="115" t="str">
        <x:v>L 352 ; l 448 ; hauteur 10 m ; choix de composition auteur ; dimensions réelles à documenter</x:v>
      </x:c>
      <x:c r="I677" s="115" t="str">
        <x:v>À équilibrer</x:v>
      </x:c>
      <x:c r="J677" s="115" t="str">
        <x:v>Non</x:v>
      </x:c>
      <x:c r="K677" s="115" t="str">
        <x:v>Pièces décrites, murs, portes, niveaux et mobilier inspectables à l’échelle. Volumes réservés, raccord au seed, butin, rencontres et services de campagne restent à terminer.</x:v>
      </x:c>
    </x:row>
    <x:row r="678" ht="96" customHeight="1">
      <x:c r="A678" s="115" t="str">
        <x:v>EXT-MONDE-T014-V23</x:v>
      </x:c>
      <x:c r="B678" s="115" t="str">
        <x:v>EXT-MONDE-T014</x:v>
      </x:c>
      <x:c r="C678" s="115" t="str">
        <x:v>Ports</x:v>
      </x:c>
      <x:c r="D678" s="115" t="str">
        <x:v>Marina</x:v>
      </x:c>
      <x:c r="E678" s="115" t="n">
        <x:v>23</x:v>
      </x:c>
      <x:c r="F678" s="115" t="str">
        <x:v>Inspection physique</x:v>
      </x:c>
      <x:c r="G678" s="115" t="str">
        <x:v>1 niveaux ; 32 pièces ; 248 segments de mur ; 0 transitions. Inspection physique ; architecture complète encore ouverte.</x:v>
      </x:c>
      <x:c r="H678" s="115" t="str">
        <x:v>L 352 ; l 448 ; hauteur 10 m ; choix de composition auteur ; dimensions réelles à documenter</x:v>
      </x:c>
      <x:c r="I678" s="115" t="str">
        <x:v>À équilibrer</x:v>
      </x:c>
      <x:c r="J678" s="115" t="str">
        <x:v>Non</x:v>
      </x:c>
      <x:c r="K678" s="115" t="str">
        <x:v>Pièces décrites, murs, portes, niveaux et mobilier inspectables à l’échelle. Volumes réservés, raccord au seed, butin, rencontres et services de campagne restent à terminer.</x:v>
      </x:c>
    </x:row>
    <x:row r="679" ht="96" customHeight="1">
      <x:c r="A679" s="115" t="str">
        <x:v>EXT-MONDE-T014-V24</x:v>
      </x:c>
      <x:c r="B679" s="115" t="str">
        <x:v>EXT-MONDE-T014</x:v>
      </x:c>
      <x:c r="C679" s="115" t="str">
        <x:v>Ports</x:v>
      </x:c>
      <x:c r="D679" s="115" t="str">
        <x:v>Marina</x:v>
      </x:c>
      <x:c r="E679" s="115" t="n">
        <x:v>24</x:v>
      </x:c>
      <x:c r="F679" s="115" t="str">
        <x:v>Inspection physique</x:v>
      </x:c>
      <x:c r="G679" s="115" t="str">
        <x:v>1 niveaux ; 32 pièces ; 248 segments de mur ; 0 transitions. Inspection physique ; architecture complète encore ouverte.</x:v>
      </x:c>
      <x:c r="H679" s="115" t="str">
        <x:v>L 352 ; l 448 ; hauteur 10 m ; choix de composition auteur ; dimensions réelles à documenter</x:v>
      </x:c>
      <x:c r="I679" s="115" t="str">
        <x:v>À équilibrer</x:v>
      </x:c>
      <x:c r="J679" s="115" t="str">
        <x:v>Non</x:v>
      </x:c>
      <x:c r="K679" s="115" t="str">
        <x:v>Pièces décrites, murs, portes, niveaux et mobilier inspectables à l’échelle. Volumes réservés, raccord au seed, butin, rencontres et services de campagne restent à terminer.</x:v>
      </x:c>
    </x:row>
    <x:row r="680" ht="96" customHeight="1">
      <x:c r="A680" s="115" t="str">
        <x:v>EXT-MONDE-T014-V25</x:v>
      </x:c>
      <x:c r="B680" s="115" t="str">
        <x:v>EXT-MONDE-T014</x:v>
      </x:c>
      <x:c r="C680" s="115" t="str">
        <x:v>Ports</x:v>
      </x:c>
      <x:c r="D680" s="115" t="str">
        <x:v>Marina</x:v>
      </x:c>
      <x:c r="E680" s="115" t="n">
        <x:v>25</x:v>
      </x:c>
      <x:c r="F680" s="115" t="str">
        <x:v>Inspection physique</x:v>
      </x:c>
      <x:c r="G680" s="115" t="str">
        <x:v>1 niveaux ; 32 pièces ; 248 segments de mur ; 0 transitions. Inspection physique ; architecture complète encore ouverte.</x:v>
      </x:c>
      <x:c r="H680" s="115" t="str">
        <x:v>L 352 ; l 448 ; hauteur 10 m ; choix de composition auteur ; dimensions réelles à documenter</x:v>
      </x:c>
      <x:c r="I680" s="115" t="str">
        <x:v>À équilibrer</x:v>
      </x:c>
      <x:c r="J680" s="115" t="str">
        <x:v>Non</x:v>
      </x:c>
      <x:c r="K680" s="115" t="str">
        <x:v>Pièces décrites, murs, portes, niveaux et mobilier inspectables à l’échelle. Volumes réservés, raccord au seed, butin, rencontres et services de campagne restent à terminer.</x:v>
      </x:c>
    </x:row>
    <x:row r="681" ht="96" customHeight="1">
      <x:c r="A681" s="115" t="str">
        <x:v>EXT-MONDE-T014-V26</x:v>
      </x:c>
      <x:c r="B681" s="115" t="str">
        <x:v>EXT-MONDE-T014</x:v>
      </x:c>
      <x:c r="C681" s="115" t="str">
        <x:v>Ports</x:v>
      </x:c>
      <x:c r="D681" s="115" t="str">
        <x:v>Marina</x:v>
      </x:c>
      <x:c r="E681" s="115" t="n">
        <x:v>26</x:v>
      </x:c>
      <x:c r="F681" s="115" t="str">
        <x:v>Inspection physique</x:v>
      </x:c>
      <x:c r="G681" s="115" t="str">
        <x:v>1 niveaux ; 32 pièces ; 248 segments de mur ; 0 transitions. Inspection physique ; architecture complète encore ouverte.</x:v>
      </x:c>
      <x:c r="H681" s="115" t="str">
        <x:v>L 352 ; l 448 ; hauteur 10 m ; choix de composition auteur ; dimensions réelles à documenter</x:v>
      </x:c>
      <x:c r="I681" s="115" t="str">
        <x:v>À équilibrer</x:v>
      </x:c>
      <x:c r="J681" s="115" t="str">
        <x:v>Non</x:v>
      </x:c>
      <x:c r="K681" s="115" t="str">
        <x:v>Pièces décrites, murs, portes, niveaux et mobilier inspectables à l’échelle. Volumes réservés, raccord au seed, butin, rencontres et services de campagne restent à terminer.</x:v>
      </x:c>
    </x:row>
    <x:row r="682" ht="96" customHeight="1">
      <x:c r="A682" s="115" t="str">
        <x:v>EXT-MONDE-T014-V27</x:v>
      </x:c>
      <x:c r="B682" s="115" t="str">
        <x:v>EXT-MONDE-T014</x:v>
      </x:c>
      <x:c r="C682" s="115" t="str">
        <x:v>Ports</x:v>
      </x:c>
      <x:c r="D682" s="115" t="str">
        <x:v>Marina</x:v>
      </x:c>
      <x:c r="E682" s="115" t="n">
        <x:v>27</x:v>
      </x:c>
      <x:c r="F682" s="115" t="str">
        <x:v>Inspection physique</x:v>
      </x:c>
      <x:c r="G682" s="115" t="str">
        <x:v>1 niveaux ; 32 pièces ; 248 segments de mur ; 0 transitions. Inspection physique ; architecture complète encore ouverte.</x:v>
      </x:c>
      <x:c r="H682" s="115" t="str">
        <x:v>L 352 ; l 448 ; hauteur 10 m ; choix de composition auteur ; dimensions réelles à documenter</x:v>
      </x:c>
      <x:c r="I682" s="115" t="str">
        <x:v>À équilibrer</x:v>
      </x:c>
      <x:c r="J682" s="115" t="str">
        <x:v>Non</x:v>
      </x:c>
      <x:c r="K682" s="115" t="str">
        <x:v>Pièces décrites, murs, portes, niveaux et mobilier inspectables à l’échelle. Volumes réservés, raccord au seed, butin, rencontres et services de campagne restent à terminer.</x:v>
      </x:c>
    </x:row>
    <x:row r="683" ht="96" customHeight="1">
      <x:c r="A683" s="115" t="str">
        <x:v>EXT-MONDE-T014-V28</x:v>
      </x:c>
      <x:c r="B683" s="115" t="str">
        <x:v>EXT-MONDE-T014</x:v>
      </x:c>
      <x:c r="C683" s="115" t="str">
        <x:v>Ports</x:v>
      </x:c>
      <x:c r="D683" s="115" t="str">
        <x:v>Marina</x:v>
      </x:c>
      <x:c r="E683" s="115" t="n">
        <x:v>28</x:v>
      </x:c>
      <x:c r="F683" s="115" t="str">
        <x:v>Inspection physique</x:v>
      </x:c>
      <x:c r="G683" s="115" t="str">
        <x:v>1 niveaux ; 32 pièces ; 248 segments de mur ; 0 transitions. Inspection physique ; architecture complète encore ouverte.</x:v>
      </x:c>
      <x:c r="H683" s="115" t="str">
        <x:v>L 352 ; l 448 ; hauteur 10 m ; choix de composition auteur ; dimensions réelles à documenter</x:v>
      </x:c>
      <x:c r="I683" s="115" t="str">
        <x:v>À équilibrer</x:v>
      </x:c>
      <x:c r="J683" s="115" t="str">
        <x:v>Non</x:v>
      </x:c>
      <x:c r="K683" s="115" t="str">
        <x:v>Pièces décrites, murs, portes, niveaux et mobilier inspectables à l’échelle. Volumes réservés, raccord au seed, butin, rencontres et services de campagne restent à terminer.</x:v>
      </x:c>
    </x:row>
    <x:row r="684" ht="96" customHeight="1">
      <x:c r="A684" s="115" t="str">
        <x:v>EXT-MONDE-T014-V29</x:v>
      </x:c>
      <x:c r="B684" s="115" t="str">
        <x:v>EXT-MONDE-T014</x:v>
      </x:c>
      <x:c r="C684" s="115" t="str">
        <x:v>Ports</x:v>
      </x:c>
      <x:c r="D684" s="115" t="str">
        <x:v>Marina</x:v>
      </x:c>
      <x:c r="E684" s="115" t="n">
        <x:v>29</x:v>
      </x:c>
      <x:c r="F684" s="115" t="str">
        <x:v>Inspection physique</x:v>
      </x:c>
      <x:c r="G684" s="115" t="str">
        <x:v>1 niveaux ; 32 pièces ; 248 segments de mur ; 0 transitions. Inspection physique ; architecture complète encore ouverte.</x:v>
      </x:c>
      <x:c r="H684" s="115" t="str">
        <x:v>L 352 ; l 448 ; hauteur 10 m ; choix de composition auteur ; dimensions réelles à documenter</x:v>
      </x:c>
      <x:c r="I684" s="115" t="str">
        <x:v>À équilibrer</x:v>
      </x:c>
      <x:c r="J684" s="115" t="str">
        <x:v>Non</x:v>
      </x:c>
      <x:c r="K684" s="115" t="str">
        <x:v>Pièces décrites, murs, portes, niveaux et mobilier inspectables à l’échelle. Volumes réservés, raccord au seed, butin, rencontres et services de campagne restent à terminer.</x:v>
      </x:c>
    </x:row>
    <x:row r="685" ht="96" customHeight="1">
      <x:c r="A685" s="115" t="str">
        <x:v>EXT-MONDE-T014-V30</x:v>
      </x:c>
      <x:c r="B685" s="115" t="str">
        <x:v>EXT-MONDE-T014</x:v>
      </x:c>
      <x:c r="C685" s="115" t="str">
        <x:v>Ports</x:v>
      </x:c>
      <x:c r="D685" s="115" t="str">
        <x:v>Marina</x:v>
      </x:c>
      <x:c r="E685" s="115" t="n">
        <x:v>30</x:v>
      </x:c>
      <x:c r="F685" s="115" t="str">
        <x:v>Inspection physique</x:v>
      </x:c>
      <x:c r="G685" s="115" t="str">
        <x:v>1 niveaux ; 32 pièces ; 248 segments de mur ; 0 transitions. Inspection physique ; architecture complète encore ouverte.</x:v>
      </x:c>
      <x:c r="H685" s="115" t="str">
        <x:v>L 352 ; l 448 ; hauteur 10 m ; choix de composition auteur ; dimensions réelles à documenter</x:v>
      </x:c>
      <x:c r="I685" s="115" t="str">
        <x:v>À équilibrer</x:v>
      </x:c>
      <x:c r="J685" s="115" t="str">
        <x:v>Non</x:v>
      </x:c>
      <x:c r="K685" s="115" t="str">
        <x:v>Pièces décrites, murs, portes, niveaux et mobilier inspectables à l’échelle. Volumes réservés, raccord au seed, butin, rencontres et services de campagne restent à terminer.</x:v>
      </x:c>
    </x:row>
    <x:row r="686" ht="96" customHeight="1">
      <x:c r="A686" s="115" t="str">
        <x:v>EXT-MONDE-T014-V31</x:v>
      </x:c>
      <x:c r="B686" s="115" t="str">
        <x:v>EXT-MONDE-T014</x:v>
      </x:c>
      <x:c r="C686" s="115" t="str">
        <x:v>Ports</x:v>
      </x:c>
      <x:c r="D686" s="115" t="str">
        <x:v>Marina</x:v>
      </x:c>
      <x:c r="E686" s="115" t="n">
        <x:v>31</x:v>
      </x:c>
      <x:c r="F686" s="115" t="str">
        <x:v>Inspection physique</x:v>
      </x:c>
      <x:c r="G686" s="115" t="str">
        <x:v>1 niveaux ; 32 pièces ; 248 segments de mur ; 0 transitions. Inspection physique ; architecture complète encore ouverte.</x:v>
      </x:c>
      <x:c r="H686" s="115" t="str">
        <x:v>L 366 ; l 460 ; hauteur 10 m ; choix de composition auteur ; dimensions réelles à documenter</x:v>
      </x:c>
      <x:c r="I686" s="115" t="str">
        <x:v>À équilibrer</x:v>
      </x:c>
      <x:c r="J686" s="115" t="str">
        <x:v>Non</x:v>
      </x:c>
      <x:c r="K686" s="115" t="str">
        <x:v>Pièces décrites, murs, portes, niveaux et mobilier inspectables à l’échelle. Volumes réservés, raccord au seed, butin, rencontres et services de campagne restent à terminer.</x:v>
      </x:c>
    </x:row>
    <x:row r="687" ht="96" customHeight="1">
      <x:c r="A687" s="115" t="str">
        <x:v>EXT-MONDE-T014-V32</x:v>
      </x:c>
      <x:c r="B687" s="115" t="str">
        <x:v>EXT-MONDE-T014</x:v>
      </x:c>
      <x:c r="C687" s="115" t="str">
        <x:v>Ports</x:v>
      </x:c>
      <x:c r="D687" s="115" t="str">
        <x:v>Marina</x:v>
      </x:c>
      <x:c r="E687" s="115" t="n">
        <x:v>32</x:v>
      </x:c>
      <x:c r="F687" s="115" t="str">
        <x:v>Inspection physique</x:v>
      </x:c>
      <x:c r="G687" s="115" t="str">
        <x:v>1 niveaux ; 32 pièces ; 248 segments de mur ; 0 transitions. Inspection physique ; architecture complète encore ouverte.</x:v>
      </x:c>
      <x:c r="H687" s="115" t="str">
        <x:v>L 366 ; l 460 ; hauteur 10 m ; choix de composition auteur ; dimensions réelles à documenter</x:v>
      </x:c>
      <x:c r="I687" s="115" t="str">
        <x:v>À équilibrer</x:v>
      </x:c>
      <x:c r="J687" s="115" t="str">
        <x:v>Non</x:v>
      </x:c>
      <x:c r="K687" s="115" t="str">
        <x:v>Pièces décrites, murs, portes, niveaux et mobilier inspectables à l’échelle. Volumes réservés, raccord au seed, butin, rencontres et services de campagne restent à terminer.</x:v>
      </x:c>
    </x:row>
    <x:row r="688" ht="96" customHeight="1">
      <x:c r="A688" s="115" t="str">
        <x:v>EXT-MONDE-T014-V33</x:v>
      </x:c>
      <x:c r="B688" s="115" t="str">
        <x:v>EXT-MONDE-T014</x:v>
      </x:c>
      <x:c r="C688" s="115" t="str">
        <x:v>Ports</x:v>
      </x:c>
      <x:c r="D688" s="115" t="str">
        <x:v>Marina</x:v>
      </x:c>
      <x:c r="E688" s="115" t="n">
        <x:v>33</x:v>
      </x:c>
      <x:c r="F688" s="115" t="str">
        <x:v>Inspection physique</x:v>
      </x:c>
      <x:c r="G688" s="115" t="str">
        <x:v>1 niveaux ; 32 pièces ; 248 segments de mur ; 0 transitions. Inspection physique ; architecture complète encore ouverte.</x:v>
      </x:c>
      <x:c r="H688" s="115" t="str">
        <x:v>L 366 ; l 460 ; hauteur 10 m ; choix de composition auteur ; dimensions réelles à documenter</x:v>
      </x:c>
      <x:c r="I688" s="115" t="str">
        <x:v>À équilibrer</x:v>
      </x:c>
      <x:c r="J688" s="115" t="str">
        <x:v>Non</x:v>
      </x:c>
      <x:c r="K688" s="115" t="str">
        <x:v>Pièces décrites, murs, portes, niveaux et mobilier inspectables à l’échelle. Volumes réservés, raccord au seed, butin, rencontres et services de campagne restent à terminer.</x:v>
      </x:c>
    </x:row>
    <x:row r="689" ht="96" customHeight="1">
      <x:c r="A689" s="115" t="str">
        <x:v>EXT-MONDE-T014-V34</x:v>
      </x:c>
      <x:c r="B689" s="115" t="str">
        <x:v>EXT-MONDE-T014</x:v>
      </x:c>
      <x:c r="C689" s="115" t="str">
        <x:v>Ports</x:v>
      </x:c>
      <x:c r="D689" s="115" t="str">
        <x:v>Marina</x:v>
      </x:c>
      <x:c r="E689" s="115" t="n">
        <x:v>34</x:v>
      </x:c>
      <x:c r="F689" s="115" t="str">
        <x:v>Inspection physique</x:v>
      </x:c>
      <x:c r="G689" s="115" t="str">
        <x:v>1 niveaux ; 32 pièces ; 248 segments de mur ; 0 transitions. Inspection physique ; architecture complète encore ouverte.</x:v>
      </x:c>
      <x:c r="H689" s="115" t="str">
        <x:v>L 366 ; l 460 ; hauteur 10 m ; choix de composition auteur ; dimensions réelles à documenter</x:v>
      </x:c>
      <x:c r="I689" s="115" t="str">
        <x:v>À équilibrer</x:v>
      </x:c>
      <x:c r="J689" s="115" t="str">
        <x:v>Non</x:v>
      </x:c>
      <x:c r="K689" s="115" t="str">
        <x:v>Pièces décrites, murs, portes, niveaux et mobilier inspectables à l’échelle. Volumes réservés, raccord au seed, butin, rencontres et services de campagne restent à terminer.</x:v>
      </x:c>
    </x:row>
    <x:row r="690" ht="96" customHeight="1">
      <x:c r="A690" s="115" t="str">
        <x:v>EXT-MONDE-T014-V35</x:v>
      </x:c>
      <x:c r="B690" s="115" t="str">
        <x:v>EXT-MONDE-T014</x:v>
      </x:c>
      <x:c r="C690" s="115" t="str">
        <x:v>Ports</x:v>
      </x:c>
      <x:c r="D690" s="115" t="str">
        <x:v>Marina</x:v>
      </x:c>
      <x:c r="E690" s="115" t="n">
        <x:v>35</x:v>
      </x:c>
      <x:c r="F690" s="115" t="str">
        <x:v>Inspection physique</x:v>
      </x:c>
      <x:c r="G690" s="115" t="str">
        <x:v>1 niveaux ; 32 pièces ; 248 segments de mur ; 0 transitions. Inspection physique ; architecture complète encore ouverte.</x:v>
      </x:c>
      <x:c r="H690" s="115" t="str">
        <x:v>L 366 ; l 460 ; hauteur 10 m ; choix de composition auteur ; dimensions réelles à documenter</x:v>
      </x:c>
      <x:c r="I690" s="115" t="str">
        <x:v>À équilibrer</x:v>
      </x:c>
      <x:c r="J690" s="115" t="str">
        <x:v>Non</x:v>
      </x:c>
      <x:c r="K690" s="115" t="str">
        <x:v>Pièces décrites, murs, portes, niveaux et mobilier inspectables à l’échelle. Volumes réservés, raccord au seed, butin, rencontres et services de campagne restent à terminer.</x:v>
      </x:c>
    </x:row>
    <x:row r="691" ht="96" customHeight="1">
      <x:c r="A691" s="115" t="str">
        <x:v>EXT-MONDE-T014-V36</x:v>
      </x:c>
      <x:c r="B691" s="115" t="str">
        <x:v>EXT-MONDE-T014</x:v>
      </x:c>
      <x:c r="C691" s="115" t="str">
        <x:v>Ports</x:v>
      </x:c>
      <x:c r="D691" s="115" t="str">
        <x:v>Marina</x:v>
      </x:c>
      <x:c r="E691" s="115" t="n">
        <x:v>36</x:v>
      </x:c>
      <x:c r="F691" s="115" t="str">
        <x:v>Inspection physique</x:v>
      </x:c>
      <x:c r="G691" s="115" t="str">
        <x:v>1 niveaux ; 32 pièces ; 248 segments de mur ; 0 transitions. Inspection physique ; architecture complète encore ouverte.</x:v>
      </x:c>
      <x:c r="H691" s="115" t="str">
        <x:v>L 366 ; l 460 ; hauteur 10 m ; choix de composition auteur ; dimensions réelles à documenter</x:v>
      </x:c>
      <x:c r="I691" s="115" t="str">
        <x:v>À équilibrer</x:v>
      </x:c>
      <x:c r="J691" s="115" t="str">
        <x:v>Non</x:v>
      </x:c>
      <x:c r="K691" s="115" t="str">
        <x:v>Pièces décrites, murs, portes, niveaux et mobilier inspectables à l’échelle. Volumes réservés, raccord au seed, butin, rencontres et services de campagne restent à terminer.</x:v>
      </x:c>
    </x:row>
    <x:row r="692" ht="96" customHeight="1">
      <x:c r="A692" s="115" t="str">
        <x:v>EXT-MONDE-T014-V37</x:v>
      </x:c>
      <x:c r="B692" s="115" t="str">
        <x:v>EXT-MONDE-T014</x:v>
      </x:c>
      <x:c r="C692" s="115" t="str">
        <x:v>Ports</x:v>
      </x:c>
      <x:c r="D692" s="115" t="str">
        <x:v>Marina</x:v>
      </x:c>
      <x:c r="E692" s="115" t="n">
        <x:v>37</x:v>
      </x:c>
      <x:c r="F692" s="115" t="str">
        <x:v>Inspection physique</x:v>
      </x:c>
      <x:c r="G692" s="115" t="str">
        <x:v>1 niveaux ; 32 pièces ; 248 segments de mur ; 0 transitions. Inspection physique ; architecture complète encore ouverte.</x:v>
      </x:c>
      <x:c r="H692" s="115" t="str">
        <x:v>L 366 ; l 460 ; hauteur 10 m ; choix de composition auteur ; dimensions réelles à documenter</x:v>
      </x:c>
      <x:c r="I692" s="115" t="str">
        <x:v>À équilibrer</x:v>
      </x:c>
      <x:c r="J692" s="115" t="str">
        <x:v>Non</x:v>
      </x:c>
      <x:c r="K692" s="115" t="str">
        <x:v>Pièces décrites, murs, portes, niveaux et mobilier inspectables à l’échelle. Volumes réservés, raccord au seed, butin, rencontres et services de campagne restent à terminer.</x:v>
      </x:c>
    </x:row>
    <x:row r="693" ht="96" customHeight="1">
      <x:c r="A693" s="115" t="str">
        <x:v>EXT-MONDE-T014-V38</x:v>
      </x:c>
      <x:c r="B693" s="115" t="str">
        <x:v>EXT-MONDE-T014</x:v>
      </x:c>
      <x:c r="C693" s="115" t="str">
        <x:v>Ports</x:v>
      </x:c>
      <x:c r="D693" s="115" t="str">
        <x:v>Marina</x:v>
      </x:c>
      <x:c r="E693" s="115" t="n">
        <x:v>38</x:v>
      </x:c>
      <x:c r="F693" s="115" t="str">
        <x:v>Inspection physique</x:v>
      </x:c>
      <x:c r="G693" s="115" t="str">
        <x:v>1 niveaux ; 32 pièces ; 248 segments de mur ; 0 transitions. Inspection physique ; architecture complète encore ouverte.</x:v>
      </x:c>
      <x:c r="H693" s="115" t="str">
        <x:v>L 366 ; l 460 ; hauteur 10 m ; choix de composition auteur ; dimensions réelles à documenter</x:v>
      </x:c>
      <x:c r="I693" s="115" t="str">
        <x:v>À équilibrer</x:v>
      </x:c>
      <x:c r="J693" s="115" t="str">
        <x:v>Non</x:v>
      </x:c>
      <x:c r="K693" s="115" t="str">
        <x:v>Pièces décrites, murs, portes, niveaux et mobilier inspectables à l’échelle. Volumes réservés, raccord au seed, butin, rencontres et services de campagne restent à terminer.</x:v>
      </x:c>
    </x:row>
    <x:row r="694" ht="96" customHeight="1">
      <x:c r="A694" s="115" t="str">
        <x:v>EXT-MONDE-T014-V39</x:v>
      </x:c>
      <x:c r="B694" s="115" t="str">
        <x:v>EXT-MONDE-T014</x:v>
      </x:c>
      <x:c r="C694" s="115" t="str">
        <x:v>Ports</x:v>
      </x:c>
      <x:c r="D694" s="115" t="str">
        <x:v>Marina</x:v>
      </x:c>
      <x:c r="E694" s="115" t="n">
        <x:v>39</x:v>
      </x:c>
      <x:c r="F694" s="115" t="str">
        <x:v>Inspection physique</x:v>
      </x:c>
      <x:c r="G694" s="115" t="str">
        <x:v>1 niveaux ; 32 pièces ; 248 segments de mur ; 0 transitions. Inspection physique ; architecture complète encore ouverte.</x:v>
      </x:c>
      <x:c r="H694" s="115" t="str">
        <x:v>L 366 ; l 460 ; hauteur 10 m ; choix de composition auteur ; dimensions réelles à documenter</x:v>
      </x:c>
      <x:c r="I694" s="115" t="str">
        <x:v>À équilibrer</x:v>
      </x:c>
      <x:c r="J694" s="115" t="str">
        <x:v>Non</x:v>
      </x:c>
      <x:c r="K694" s="115" t="str">
        <x:v>Pièces décrites, murs, portes, niveaux et mobilier inspectables à l’échelle. Volumes réservés, raccord au seed, butin, rencontres et services de campagne restent à terminer.</x:v>
      </x:c>
    </x:row>
    <x:row r="695" ht="96" customHeight="1">
      <x:c r="A695" s="115" t="str">
        <x:v>EXT-MONDE-T014-V40</x:v>
      </x:c>
      <x:c r="B695" s="115" t="str">
        <x:v>EXT-MONDE-T014</x:v>
      </x:c>
      <x:c r="C695" s="115" t="str">
        <x:v>Ports</x:v>
      </x:c>
      <x:c r="D695" s="115" t="str">
        <x:v>Marina</x:v>
      </x:c>
      <x:c r="E695" s="115" t="n">
        <x:v>40</x:v>
      </x:c>
      <x:c r="F695" s="115" t="str">
        <x:v>Inspection physique</x:v>
      </x:c>
      <x:c r="G695" s="115" t="str">
        <x:v>1 niveaux ; 32 pièces ; 248 segments de mur ; 0 transitions. Inspection physique ; architecture complète encore ouverte.</x:v>
      </x:c>
      <x:c r="H695" s="115" t="str">
        <x:v>L 366 ; l 460 ; hauteur 10 m ; choix de composition auteur ; dimensions réelles à documenter</x:v>
      </x:c>
      <x:c r="I695" s="115" t="str">
        <x:v>À équilibrer</x:v>
      </x:c>
      <x:c r="J695" s="115" t="str">
        <x:v>Non</x:v>
      </x:c>
      <x:c r="K695" s="115" t="str">
        <x:v>Pièces décrites, murs, portes, niveaux et mobilier inspectables à l’échelle. Volumes réservés, raccord au seed, butin, rencontres et services de campagne restent à terminer.</x:v>
      </x:c>
    </x:row>
    <x:row r="696" ht="96" customHeight="1">
      <x:c r="A696" s="115" t="str">
        <x:v>EXT-MONDE-T014-V41</x:v>
      </x:c>
      <x:c r="B696" s="115" t="str">
        <x:v>EXT-MONDE-T014</x:v>
      </x:c>
      <x:c r="C696" s="115" t="str">
        <x:v>Ports</x:v>
      </x:c>
      <x:c r="D696" s="115" t="str">
        <x:v>Marina</x:v>
      </x:c>
      <x:c r="E696" s="115" t="n">
        <x:v>41</x:v>
      </x:c>
      <x:c r="F696" s="115" t="str">
        <x:v>Inspection physique</x:v>
      </x:c>
      <x:c r="G696" s="115" t="str">
        <x:v>1 niveaux ; 32 pièces ; 248 segments de mur ; 0 transitions. Inspection physique ; architecture complète encore ouverte.</x:v>
      </x:c>
      <x:c r="H696" s="115" t="str">
        <x:v>L 380 ; l 472 ; hauteur 10 m ; choix de composition auteur ; dimensions réelles à documenter</x:v>
      </x:c>
      <x:c r="I696" s="115" t="str">
        <x:v>À équilibrer</x:v>
      </x:c>
      <x:c r="J696" s="115" t="str">
        <x:v>Non</x:v>
      </x:c>
      <x:c r="K696" s="115" t="str">
        <x:v>Pièces décrites, murs, portes, niveaux et mobilier inspectables à l’échelle. Volumes réservés, raccord au seed, butin, rencontres et services de campagne restent à terminer.</x:v>
      </x:c>
    </x:row>
    <x:row r="697" ht="96" customHeight="1">
      <x:c r="A697" s="115" t="str">
        <x:v>EXT-MONDE-T014-V42</x:v>
      </x:c>
      <x:c r="B697" s="115" t="str">
        <x:v>EXT-MONDE-T014</x:v>
      </x:c>
      <x:c r="C697" s="115" t="str">
        <x:v>Ports</x:v>
      </x:c>
      <x:c r="D697" s="115" t="str">
        <x:v>Marina</x:v>
      </x:c>
      <x:c r="E697" s="115" t="n">
        <x:v>42</x:v>
      </x:c>
      <x:c r="F697" s="115" t="str">
        <x:v>Inspection physique</x:v>
      </x:c>
      <x:c r="G697" s="115" t="str">
        <x:v>1 niveaux ; 32 pièces ; 248 segments de mur ; 0 transitions. Inspection physique ; architecture complète encore ouverte.</x:v>
      </x:c>
      <x:c r="H697" s="115" t="str">
        <x:v>L 380 ; l 472 ; hauteur 10 m ; choix de composition auteur ; dimensions réelles à documenter</x:v>
      </x:c>
      <x:c r="I697" s="115" t="str">
        <x:v>À équilibrer</x:v>
      </x:c>
      <x:c r="J697" s="115" t="str">
        <x:v>Non</x:v>
      </x:c>
      <x:c r="K697" s="115" t="str">
        <x:v>Pièces décrites, murs, portes, niveaux et mobilier inspectables à l’échelle. Volumes réservés, raccord au seed, butin, rencontres et services de campagne restent à terminer.</x:v>
      </x:c>
    </x:row>
    <x:row r="698" ht="96" customHeight="1">
      <x:c r="A698" s="115" t="str">
        <x:v>EXT-MONDE-T014-V43</x:v>
      </x:c>
      <x:c r="B698" s="115" t="str">
        <x:v>EXT-MONDE-T014</x:v>
      </x:c>
      <x:c r="C698" s="115" t="str">
        <x:v>Ports</x:v>
      </x:c>
      <x:c r="D698" s="115" t="str">
        <x:v>Marina</x:v>
      </x:c>
      <x:c r="E698" s="115" t="n">
        <x:v>43</x:v>
      </x:c>
      <x:c r="F698" s="115" t="str">
        <x:v>Inspection physique</x:v>
      </x:c>
      <x:c r="G698" s="115" t="str">
        <x:v>1 niveaux ; 32 pièces ; 248 segments de mur ; 0 transitions. Inspection physique ; architecture complète encore ouverte.</x:v>
      </x:c>
      <x:c r="H698" s="115" t="str">
        <x:v>L 380 ; l 472 ; hauteur 10 m ; choix de composition auteur ; dimensions réelles à documenter</x:v>
      </x:c>
      <x:c r="I698" s="115" t="str">
        <x:v>À équilibrer</x:v>
      </x:c>
      <x:c r="J698" s="115" t="str">
        <x:v>Non</x:v>
      </x:c>
      <x:c r="K698" s="115" t="str">
        <x:v>Pièces décrites, murs, portes, niveaux et mobilier inspectables à l’échelle. Volumes réservés, raccord au seed, butin, rencontres et services de campagne restent à terminer.</x:v>
      </x:c>
    </x:row>
    <x:row r="699" ht="96" customHeight="1">
      <x:c r="A699" s="115" t="str">
        <x:v>EXT-MONDE-T014-V44</x:v>
      </x:c>
      <x:c r="B699" s="115" t="str">
        <x:v>EXT-MONDE-T014</x:v>
      </x:c>
      <x:c r="C699" s="115" t="str">
        <x:v>Ports</x:v>
      </x:c>
      <x:c r="D699" s="115" t="str">
        <x:v>Marina</x:v>
      </x:c>
      <x:c r="E699" s="115" t="n">
        <x:v>44</x:v>
      </x:c>
      <x:c r="F699" s="115" t="str">
        <x:v>Inspection physique</x:v>
      </x:c>
      <x:c r="G699" s="115" t="str">
        <x:v>1 niveaux ; 32 pièces ; 248 segments de mur ; 0 transitions. Inspection physique ; architecture complète encore ouverte.</x:v>
      </x:c>
      <x:c r="H699" s="115" t="str">
        <x:v>L 380 ; l 472 ; hauteur 10 m ; choix de composition auteur ; dimensions réelles à documenter</x:v>
      </x:c>
      <x:c r="I699" s="115" t="str">
        <x:v>À équilibrer</x:v>
      </x:c>
      <x:c r="J699" s="115" t="str">
        <x:v>Non</x:v>
      </x:c>
      <x:c r="K699" s="115" t="str">
        <x:v>Pièces décrites, murs, portes, niveaux et mobilier inspectables à l’échelle. Volumes réservés, raccord au seed, butin, rencontres et services de campagne restent à terminer.</x:v>
      </x:c>
    </x:row>
    <x:row r="700" ht="96" customHeight="1">
      <x:c r="A700" s="115" t="str">
        <x:v>EXT-MONDE-T014-V45</x:v>
      </x:c>
      <x:c r="B700" s="115" t="str">
        <x:v>EXT-MONDE-T014</x:v>
      </x:c>
      <x:c r="C700" s="115" t="str">
        <x:v>Ports</x:v>
      </x:c>
      <x:c r="D700" s="115" t="str">
        <x:v>Marina</x:v>
      </x:c>
      <x:c r="E700" s="115" t="n">
        <x:v>45</x:v>
      </x:c>
      <x:c r="F700" s="115" t="str">
        <x:v>Inspection physique</x:v>
      </x:c>
      <x:c r="G700" s="115" t="str">
        <x:v>1 niveaux ; 32 pièces ; 248 segments de mur ; 0 transitions. Inspection physique ; architecture complète encore ouverte.</x:v>
      </x:c>
      <x:c r="H700" s="115" t="str">
        <x:v>L 380 ; l 472 ; hauteur 10 m ; choix de composition auteur ; dimensions réelles à documenter</x:v>
      </x:c>
      <x:c r="I700" s="115" t="str">
        <x:v>À équilibrer</x:v>
      </x:c>
      <x:c r="J700" s="115" t="str">
        <x:v>Non</x:v>
      </x:c>
      <x:c r="K700" s="115" t="str">
        <x:v>Pièces décrites, murs, portes, niveaux et mobilier inspectables à l’échelle. Volumes réservés, raccord au seed, butin, rencontres et services de campagne restent à terminer.</x:v>
      </x:c>
    </x:row>
    <x:row r="701" ht="96" customHeight="1">
      <x:c r="A701" s="115" t="str">
        <x:v>EXT-MONDE-T014-V46</x:v>
      </x:c>
      <x:c r="B701" s="115" t="str">
        <x:v>EXT-MONDE-T014</x:v>
      </x:c>
      <x:c r="C701" s="115" t="str">
        <x:v>Ports</x:v>
      </x:c>
      <x:c r="D701" s="115" t="str">
        <x:v>Marina</x:v>
      </x:c>
      <x:c r="E701" s="115" t="n">
        <x:v>46</x:v>
      </x:c>
      <x:c r="F701" s="115" t="str">
        <x:v>Inspection physique</x:v>
      </x:c>
      <x:c r="G701" s="115" t="str">
        <x:v>1 niveaux ; 32 pièces ; 248 segments de mur ; 0 transitions. Inspection physique ; architecture complète encore ouverte.</x:v>
      </x:c>
      <x:c r="H701" s="115" t="str">
        <x:v>L 380 ; l 472 ; hauteur 10 m ; choix de composition auteur ; dimensions réelles à documenter</x:v>
      </x:c>
      <x:c r="I701" s="115" t="str">
        <x:v>À équilibrer</x:v>
      </x:c>
      <x:c r="J701" s="115" t="str">
        <x:v>Non</x:v>
      </x:c>
      <x:c r="K701" s="115" t="str">
        <x:v>Pièces décrites, murs, portes, niveaux et mobilier inspectables à l’échelle. Volumes réservés, raccord au seed, butin, rencontres et services de campagne restent à terminer.</x:v>
      </x:c>
    </x:row>
    <x:row r="702" ht="96" customHeight="1">
      <x:c r="A702" s="115" t="str">
        <x:v>EXT-MONDE-T014-V47</x:v>
      </x:c>
      <x:c r="B702" s="115" t="str">
        <x:v>EXT-MONDE-T014</x:v>
      </x:c>
      <x:c r="C702" s="115" t="str">
        <x:v>Ports</x:v>
      </x:c>
      <x:c r="D702" s="115" t="str">
        <x:v>Marina</x:v>
      </x:c>
      <x:c r="E702" s="115" t="n">
        <x:v>47</x:v>
      </x:c>
      <x:c r="F702" s="115" t="str">
        <x:v>Inspection physique</x:v>
      </x:c>
      <x:c r="G702" s="115" t="str">
        <x:v>1 niveaux ; 32 pièces ; 248 segments de mur ; 0 transitions. Inspection physique ; architecture complète encore ouverte.</x:v>
      </x:c>
      <x:c r="H702" s="115" t="str">
        <x:v>L 380 ; l 472 ; hauteur 10 m ; choix de composition auteur ; dimensions réelles à documenter</x:v>
      </x:c>
      <x:c r="I702" s="115" t="str">
        <x:v>À équilibrer</x:v>
      </x:c>
      <x:c r="J702" s="115" t="str">
        <x:v>Non</x:v>
      </x:c>
      <x:c r="K702" s="115" t="str">
        <x:v>Pièces décrites, murs, portes, niveaux et mobilier inspectables à l’échelle. Volumes réservés, raccord au seed, butin, rencontres et services de campagne restent à terminer.</x:v>
      </x:c>
    </x:row>
    <x:row r="703" ht="96" customHeight="1">
      <x:c r="A703" s="115" t="str">
        <x:v>EXT-MONDE-T014-V48</x:v>
      </x:c>
      <x:c r="B703" s="115" t="str">
        <x:v>EXT-MONDE-T014</x:v>
      </x:c>
      <x:c r="C703" s="115" t="str">
        <x:v>Ports</x:v>
      </x:c>
      <x:c r="D703" s="115" t="str">
        <x:v>Marina</x:v>
      </x:c>
      <x:c r="E703" s="115" t="n">
        <x:v>48</x:v>
      </x:c>
      <x:c r="F703" s="115" t="str">
        <x:v>Inspection physique</x:v>
      </x:c>
      <x:c r="G703" s="115" t="str">
        <x:v>1 niveaux ; 32 pièces ; 248 segments de mur ; 0 transitions. Inspection physique ; architecture complète encore ouverte.</x:v>
      </x:c>
      <x:c r="H703" s="115" t="str">
        <x:v>L 380 ; l 472 ; hauteur 10 m ; choix de composition auteur ; dimensions réelles à documenter</x:v>
      </x:c>
      <x:c r="I703" s="115" t="str">
        <x:v>À équilibrer</x:v>
      </x:c>
      <x:c r="J703" s="115" t="str">
        <x:v>Non</x:v>
      </x:c>
      <x:c r="K703" s="115" t="str">
        <x:v>Pièces décrites, murs, portes, niveaux et mobilier inspectables à l’échelle. Volumes réservés, raccord au seed, butin, rencontres et services de campagne restent à terminer.</x:v>
      </x:c>
    </x:row>
    <x:row r="704" ht="96" customHeight="1">
      <x:c r="A704" s="115" t="str">
        <x:v>EXT-MONDE-T014-V49</x:v>
      </x:c>
      <x:c r="B704" s="115" t="str">
        <x:v>EXT-MONDE-T014</x:v>
      </x:c>
      <x:c r="C704" s="115" t="str">
        <x:v>Ports</x:v>
      </x:c>
      <x:c r="D704" s="115" t="str">
        <x:v>Marina</x:v>
      </x:c>
      <x:c r="E704" s="115" t="n">
        <x:v>49</x:v>
      </x:c>
      <x:c r="F704" s="115" t="str">
        <x:v>Inspection physique</x:v>
      </x:c>
      <x:c r="G704" s="115" t="str">
        <x:v>1 niveaux ; 32 pièces ; 248 segments de mur ; 0 transitions. Inspection physique ; architecture complète encore ouverte.</x:v>
      </x:c>
      <x:c r="H704" s="115" t="str">
        <x:v>L 380 ; l 472 ; hauteur 10 m ; choix de composition auteur ; dimensions réelles à documenter</x:v>
      </x:c>
      <x:c r="I704" s="115" t="str">
        <x:v>À équilibrer</x:v>
      </x:c>
      <x:c r="J704" s="115" t="str">
        <x:v>Non</x:v>
      </x:c>
      <x:c r="K704" s="115" t="str">
        <x:v>Pièces décrites, murs, portes, niveaux et mobilier inspectables à l’échelle. Volumes réservés, raccord au seed, butin, rencontres et services de campagne restent à terminer.</x:v>
      </x:c>
    </x:row>
    <x:row r="705" ht="96" customHeight="1">
      <x:c r="A705" s="115" t="str">
        <x:v>EXT-MONDE-T014-V50</x:v>
      </x:c>
      <x:c r="B705" s="115" t="str">
        <x:v>EXT-MONDE-T014</x:v>
      </x:c>
      <x:c r="C705" s="115" t="str">
        <x:v>Ports</x:v>
      </x:c>
      <x:c r="D705" s="115" t="str">
        <x:v>Marina</x:v>
      </x:c>
      <x:c r="E705" s="115" t="n">
        <x:v>50</x:v>
      </x:c>
      <x:c r="F705" s="115" t="str">
        <x:v>Inspection physique</x:v>
      </x:c>
      <x:c r="G705" s="115" t="str">
        <x:v>1 niveaux ; 32 pièces ; 248 segments de mur ; 0 transitions. Inspection physique ; architecture complète encore ouverte.</x:v>
      </x:c>
      <x:c r="H705" s="115" t="str">
        <x:v>L 380 ; l 472 ; hauteur 10 m ; choix de composition auteur ; dimensions réelles à documenter</x:v>
      </x:c>
      <x:c r="I705" s="115" t="str">
        <x:v>À équilibrer</x:v>
      </x:c>
      <x:c r="J705" s="115" t="str">
        <x:v>Non</x:v>
      </x:c>
      <x:c r="K705" s="115" t="str">
        <x:v>Pièces décrites, murs, portes, niveaux et mobilier inspectables à l’échelle. Volumes réservés, raccord au seed, butin, rencontres et services de campagne restent à terminer.</x:v>
      </x:c>
    </x:row>
    <x:row r="706" ht="96" customHeight="1">
      <x:c r="A706" s="115" t="str">
        <x:v>EXT-MONDE-T015-V01</x:v>
      </x:c>
      <x:c r="B706" s="115" t="str">
        <x:v>EXT-MONDE-T015</x:v>
      </x:c>
      <x:c r="C706" s="115" t="str">
        <x:v>Ports</x:v>
      </x:c>
      <x:c r="D706" s="115" t="str">
        <x:v>Terminal conteneurs</x:v>
      </x:c>
      <x:c r="E706" s="115" t="n">
        <x:v>1</x:v>
      </x:c>
      <x:c r="F706" s="115" t="str">
        <x:v>Inspection physique</x:v>
      </x:c>
      <x:c r="G706" s="115" t="str">
        <x:v>1 niveaux ; 32 pièces ; 248 segments de mur ; 0 transitions. Inspection physique ; architecture complète encore ouverte.</x:v>
      </x:c>
      <x:c r="H706" s="115" t="str">
        <x:v>L 424 ; l 564 ; hauteur 36 m ; choix de composition auteur ; dimensions réelles à documenter</x:v>
      </x:c>
      <x:c r="I706" s="115" t="str">
        <x:v>À équilibrer</x:v>
      </x:c>
      <x:c r="J706" s="115" t="str">
        <x:v>Non</x:v>
      </x:c>
      <x:c r="K706" s="115" t="str">
        <x:v>Pièces décrites, murs, portes, niveaux et mobilier inspectables à l’échelle. Volumes réservés, raccord au seed, butin, rencontres et services de campagne restent à terminer.</x:v>
      </x:c>
    </x:row>
    <x:row r="707" ht="96" customHeight="1">
      <x:c r="A707" s="115" t="str">
        <x:v>EXT-MONDE-T015-V02</x:v>
      </x:c>
      <x:c r="B707" s="115" t="str">
        <x:v>EXT-MONDE-T015</x:v>
      </x:c>
      <x:c r="C707" s="115" t="str">
        <x:v>Ports</x:v>
      </x:c>
      <x:c r="D707" s="115" t="str">
        <x:v>Terminal conteneurs</x:v>
      </x:c>
      <x:c r="E707" s="115" t="n">
        <x:v>2</x:v>
      </x:c>
      <x:c r="F707" s="115" t="str">
        <x:v>Inspection physique</x:v>
      </x:c>
      <x:c r="G707" s="115" t="str">
        <x:v>1 niveaux ; 32 pièces ; 248 segments de mur ; 0 transitions. Inspection physique ; architecture complète encore ouverte.</x:v>
      </x:c>
      <x:c r="H707" s="115" t="str">
        <x:v>L 424 ; l 564 ; hauteur 36 m ; choix de composition auteur ; dimensions réelles à documenter</x:v>
      </x:c>
      <x:c r="I707" s="115" t="str">
        <x:v>À équilibrer</x:v>
      </x:c>
      <x:c r="J707" s="115" t="str">
        <x:v>Non</x:v>
      </x:c>
      <x:c r="K707" s="115" t="str">
        <x:v>Pièces décrites, murs, portes, niveaux et mobilier inspectables à l’échelle. Volumes réservés, raccord au seed, butin, rencontres et services de campagne restent à terminer.</x:v>
      </x:c>
    </x:row>
    <x:row r="708" ht="96" customHeight="1">
      <x:c r="A708" s="115" t="str">
        <x:v>EXT-MONDE-T015-V03</x:v>
      </x:c>
      <x:c r="B708" s="115" t="str">
        <x:v>EXT-MONDE-T015</x:v>
      </x:c>
      <x:c r="C708" s="115" t="str">
        <x:v>Ports</x:v>
      </x:c>
      <x:c r="D708" s="115" t="str">
        <x:v>Terminal conteneurs</x:v>
      </x:c>
      <x:c r="E708" s="115" t="n">
        <x:v>3</x:v>
      </x:c>
      <x:c r="F708" s="115" t="str">
        <x:v>Inspection physique</x:v>
      </x:c>
      <x:c r="G708" s="115" t="str">
        <x:v>1 niveaux ; 32 pièces ; 248 segments de mur ; 0 transitions. Inspection physique ; architecture complète encore ouverte.</x:v>
      </x:c>
      <x:c r="H708" s="115" t="str">
        <x:v>L 424 ; l 564 ; hauteur 36 m ; choix de composition auteur ; dimensions réelles à documenter</x:v>
      </x:c>
      <x:c r="I708" s="115" t="str">
        <x:v>À équilibrer</x:v>
      </x:c>
      <x:c r="J708" s="115" t="str">
        <x:v>Non</x:v>
      </x:c>
      <x:c r="K708" s="115" t="str">
        <x:v>Pièces décrites, murs, portes, niveaux et mobilier inspectables à l’échelle. Volumes réservés, raccord au seed, butin, rencontres et services de campagne restent à terminer.</x:v>
      </x:c>
    </x:row>
    <x:row r="709" ht="96" customHeight="1">
      <x:c r="A709" s="115" t="str">
        <x:v>EXT-MONDE-T015-V04</x:v>
      </x:c>
      <x:c r="B709" s="115" t="str">
        <x:v>EXT-MONDE-T015</x:v>
      </x:c>
      <x:c r="C709" s="115" t="str">
        <x:v>Ports</x:v>
      </x:c>
      <x:c r="D709" s="115" t="str">
        <x:v>Terminal conteneurs</x:v>
      </x:c>
      <x:c r="E709" s="115" t="n">
        <x:v>4</x:v>
      </x:c>
      <x:c r="F709" s="115" t="str">
        <x:v>Inspection physique</x:v>
      </x:c>
      <x:c r="G709" s="115" t="str">
        <x:v>1 niveaux ; 32 pièces ; 248 segments de mur ; 0 transitions. Inspection physique ; architecture complète encore ouverte.</x:v>
      </x:c>
      <x:c r="H709" s="115" t="str">
        <x:v>L 424 ; l 564 ; hauteur 36 m ; choix de composition auteur ; dimensions réelles à documenter</x:v>
      </x:c>
      <x:c r="I709" s="115" t="str">
        <x:v>À équilibrer</x:v>
      </x:c>
      <x:c r="J709" s="115" t="str">
        <x:v>Non</x:v>
      </x:c>
      <x:c r="K709" s="115" t="str">
        <x:v>Pièces décrites, murs, portes, niveaux et mobilier inspectables à l’échelle. Volumes réservés, raccord au seed, butin, rencontres et services de campagne restent à terminer.</x:v>
      </x:c>
    </x:row>
    <x:row r="710" ht="96" customHeight="1">
      <x:c r="A710" s="115" t="str">
        <x:v>EXT-MONDE-T015-V05</x:v>
      </x:c>
      <x:c r="B710" s="115" t="str">
        <x:v>EXT-MONDE-T015</x:v>
      </x:c>
      <x:c r="C710" s="115" t="str">
        <x:v>Ports</x:v>
      </x:c>
      <x:c r="D710" s="115" t="str">
        <x:v>Terminal conteneurs</x:v>
      </x:c>
      <x:c r="E710" s="115" t="n">
        <x:v>5</x:v>
      </x:c>
      <x:c r="F710" s="115" t="str">
        <x:v>Inspection physique</x:v>
      </x:c>
      <x:c r="G710" s="115" t="str">
        <x:v>1 niveaux ; 32 pièces ; 248 segments de mur ; 0 transitions. Inspection physique ; architecture complète encore ouverte.</x:v>
      </x:c>
      <x:c r="H710" s="115" t="str">
        <x:v>L 424 ; l 564 ; hauteur 36 m ; choix de composition auteur ; dimensions réelles à documenter</x:v>
      </x:c>
      <x:c r="I710" s="115" t="str">
        <x:v>À équilibrer</x:v>
      </x:c>
      <x:c r="J710" s="115" t="str">
        <x:v>Non</x:v>
      </x:c>
      <x:c r="K710" s="115" t="str">
        <x:v>Pièces décrites, murs, portes, niveaux et mobilier inspectables à l’échelle. Volumes réservés, raccord au seed, butin, rencontres et services de campagne restent à terminer.</x:v>
      </x:c>
    </x:row>
    <x:row r="711" ht="96" customHeight="1">
      <x:c r="A711" s="115" t="str">
        <x:v>EXT-MONDE-T015-V06</x:v>
      </x:c>
      <x:c r="B711" s="115" t="str">
        <x:v>EXT-MONDE-T015</x:v>
      </x:c>
      <x:c r="C711" s="115" t="str">
        <x:v>Ports</x:v>
      </x:c>
      <x:c r="D711" s="115" t="str">
        <x:v>Terminal conteneurs</x:v>
      </x:c>
      <x:c r="E711" s="115" t="n">
        <x:v>6</x:v>
      </x:c>
      <x:c r="F711" s="115" t="str">
        <x:v>Inspection physique</x:v>
      </x:c>
      <x:c r="G711" s="115" t="str">
        <x:v>1 niveaux ; 32 pièces ; 248 segments de mur ; 0 transitions. Inspection physique ; architecture complète encore ouverte.</x:v>
      </x:c>
      <x:c r="H711" s="115" t="str">
        <x:v>L 424 ; l 564 ; hauteur 36 m ; choix de composition auteur ; dimensions réelles à documenter</x:v>
      </x:c>
      <x:c r="I711" s="115" t="str">
        <x:v>À équilibrer</x:v>
      </x:c>
      <x:c r="J711" s="115" t="str">
        <x:v>Non</x:v>
      </x:c>
      <x:c r="K711" s="115" t="str">
        <x:v>Pièces décrites, murs, portes, niveaux et mobilier inspectables à l’échelle. Volumes réservés, raccord au seed, butin, rencontres et services de campagne restent à terminer.</x:v>
      </x:c>
    </x:row>
    <x:row r="712" ht="96" customHeight="1">
      <x:c r="A712" s="115" t="str">
        <x:v>EXT-MONDE-T015-V07</x:v>
      </x:c>
      <x:c r="B712" s="115" t="str">
        <x:v>EXT-MONDE-T015</x:v>
      </x:c>
      <x:c r="C712" s="115" t="str">
        <x:v>Ports</x:v>
      </x:c>
      <x:c r="D712" s="115" t="str">
        <x:v>Terminal conteneurs</x:v>
      </x:c>
      <x:c r="E712" s="115" t="n">
        <x:v>7</x:v>
      </x:c>
      <x:c r="F712" s="115" t="str">
        <x:v>Inspection physique</x:v>
      </x:c>
      <x:c r="G712" s="115" t="str">
        <x:v>1 niveaux ; 32 pièces ; 248 segments de mur ; 0 transitions. Inspection physique ; architecture complète encore ouverte.</x:v>
      </x:c>
      <x:c r="H712" s="115" t="str">
        <x:v>L 424 ; l 564 ; hauteur 36 m ; choix de composition auteur ; dimensions réelles à documenter</x:v>
      </x:c>
      <x:c r="I712" s="115" t="str">
        <x:v>À équilibrer</x:v>
      </x:c>
      <x:c r="J712" s="115" t="str">
        <x:v>Non</x:v>
      </x:c>
      <x:c r="K712" s="115" t="str">
        <x:v>Pièces décrites, murs, portes, niveaux et mobilier inspectables à l’échelle. Volumes réservés, raccord au seed, butin, rencontres et services de campagne restent à terminer.</x:v>
      </x:c>
    </x:row>
    <x:row r="713" ht="96" customHeight="1">
      <x:c r="A713" s="115" t="str">
        <x:v>EXT-MONDE-T015-V08</x:v>
      </x:c>
      <x:c r="B713" s="115" t="str">
        <x:v>EXT-MONDE-T015</x:v>
      </x:c>
      <x:c r="C713" s="115" t="str">
        <x:v>Ports</x:v>
      </x:c>
      <x:c r="D713" s="115" t="str">
        <x:v>Terminal conteneurs</x:v>
      </x:c>
      <x:c r="E713" s="115" t="n">
        <x:v>8</x:v>
      </x:c>
      <x:c r="F713" s="115" t="str">
        <x:v>Inspection physique</x:v>
      </x:c>
      <x:c r="G713" s="115" t="str">
        <x:v>1 niveaux ; 32 pièces ; 248 segments de mur ; 0 transitions. Inspection physique ; architecture complète encore ouverte.</x:v>
      </x:c>
      <x:c r="H713" s="115" t="str">
        <x:v>L 424 ; l 564 ; hauteur 36 m ; choix de composition auteur ; dimensions réelles à documenter</x:v>
      </x:c>
      <x:c r="I713" s="115" t="str">
        <x:v>À équilibrer</x:v>
      </x:c>
      <x:c r="J713" s="115" t="str">
        <x:v>Non</x:v>
      </x:c>
      <x:c r="K713" s="115" t="str">
        <x:v>Pièces décrites, murs, portes, niveaux et mobilier inspectables à l’échelle. Volumes réservés, raccord au seed, butin, rencontres et services de campagne restent à terminer.</x:v>
      </x:c>
    </x:row>
    <x:row r="714" ht="96" customHeight="1">
      <x:c r="A714" s="115" t="str">
        <x:v>EXT-MONDE-T015-V09</x:v>
      </x:c>
      <x:c r="B714" s="115" t="str">
        <x:v>EXT-MONDE-T015</x:v>
      </x:c>
      <x:c r="C714" s="115" t="str">
        <x:v>Ports</x:v>
      </x:c>
      <x:c r="D714" s="115" t="str">
        <x:v>Terminal conteneurs</x:v>
      </x:c>
      <x:c r="E714" s="115" t="n">
        <x:v>9</x:v>
      </x:c>
      <x:c r="F714" s="115" t="str">
        <x:v>Inspection physique</x:v>
      </x:c>
      <x:c r="G714" s="115" t="str">
        <x:v>1 niveaux ; 32 pièces ; 248 segments de mur ; 0 transitions. Inspection physique ; architecture complète encore ouverte.</x:v>
      </x:c>
      <x:c r="H714" s="115" t="str">
        <x:v>L 424 ; l 564 ; hauteur 36 m ; choix de composition auteur ; dimensions réelles à documenter</x:v>
      </x:c>
      <x:c r="I714" s="115" t="str">
        <x:v>À équilibrer</x:v>
      </x:c>
      <x:c r="J714" s="115" t="str">
        <x:v>Non</x:v>
      </x:c>
      <x:c r="K714" s="115" t="str">
        <x:v>Pièces décrites, murs, portes, niveaux et mobilier inspectables à l’échelle. Volumes réservés, raccord au seed, butin, rencontres et services de campagne restent à terminer.</x:v>
      </x:c>
    </x:row>
    <x:row r="715" ht="96" customHeight="1">
      <x:c r="A715" s="115" t="str">
        <x:v>EXT-MONDE-T015-V10</x:v>
      </x:c>
      <x:c r="B715" s="115" t="str">
        <x:v>EXT-MONDE-T015</x:v>
      </x:c>
      <x:c r="C715" s="115" t="str">
        <x:v>Ports</x:v>
      </x:c>
      <x:c r="D715" s="115" t="str">
        <x:v>Terminal conteneurs</x:v>
      </x:c>
      <x:c r="E715" s="115" t="n">
        <x:v>10</x:v>
      </x:c>
      <x:c r="F715" s="115" t="str">
        <x:v>Inspection physique</x:v>
      </x:c>
      <x:c r="G715" s="115" t="str">
        <x:v>1 niveaux ; 32 pièces ; 248 segments de mur ; 0 transitions. Inspection physique ; architecture complète encore ouverte.</x:v>
      </x:c>
      <x:c r="H715" s="115" t="str">
        <x:v>L 424 ; l 564 ; hauteur 36 m ; choix de composition auteur ; dimensions réelles à documenter</x:v>
      </x:c>
      <x:c r="I715" s="115" t="str">
        <x:v>À équilibrer</x:v>
      </x:c>
      <x:c r="J715" s="115" t="str">
        <x:v>Non</x:v>
      </x:c>
      <x:c r="K715" s="115" t="str">
        <x:v>Pièces décrites, murs, portes, niveaux et mobilier inspectables à l’échelle. Volumes réservés, raccord au seed, butin, rencontres et services de campagne restent à terminer.</x:v>
      </x:c>
    </x:row>
    <x:row r="716" ht="96" customHeight="1">
      <x:c r="A716" s="115" t="str">
        <x:v>EXT-MONDE-T015-V11</x:v>
      </x:c>
      <x:c r="B716" s="115" t="str">
        <x:v>EXT-MONDE-T015</x:v>
      </x:c>
      <x:c r="C716" s="115" t="str">
        <x:v>Ports</x:v>
      </x:c>
      <x:c r="D716" s="115" t="str">
        <x:v>Terminal conteneurs</x:v>
      </x:c>
      <x:c r="E716" s="115" t="n">
        <x:v>11</x:v>
      </x:c>
      <x:c r="F716" s="115" t="str">
        <x:v>Inspection physique</x:v>
      </x:c>
      <x:c r="G716" s="115" t="str">
        <x:v>1 niveaux ; 32 pièces ; 248 segments de mur ; 0 transitions. Inspection physique ; architecture complète encore ouverte.</x:v>
      </x:c>
      <x:c r="H716" s="115" t="str">
        <x:v>L 438 ; l 576 ; hauteur 36 m ; choix de composition auteur ; dimensions réelles à documenter</x:v>
      </x:c>
      <x:c r="I716" s="115" t="str">
        <x:v>À équilibrer</x:v>
      </x:c>
      <x:c r="J716" s="115" t="str">
        <x:v>Non</x:v>
      </x:c>
      <x:c r="K716" s="115" t="str">
        <x:v>Pièces décrites, murs, portes, niveaux et mobilier inspectables à l’échelle. Volumes réservés, raccord au seed, butin, rencontres et services de campagne restent à terminer.</x:v>
      </x:c>
    </x:row>
    <x:row r="717" ht="96" customHeight="1">
      <x:c r="A717" s="115" t="str">
        <x:v>EXT-MONDE-T015-V12</x:v>
      </x:c>
      <x:c r="B717" s="115" t="str">
        <x:v>EXT-MONDE-T015</x:v>
      </x:c>
      <x:c r="C717" s="115" t="str">
        <x:v>Ports</x:v>
      </x:c>
      <x:c r="D717" s="115" t="str">
        <x:v>Terminal conteneurs</x:v>
      </x:c>
      <x:c r="E717" s="115" t="n">
        <x:v>12</x:v>
      </x:c>
      <x:c r="F717" s="115" t="str">
        <x:v>Inspection physique</x:v>
      </x:c>
      <x:c r="G717" s="115" t="str">
        <x:v>1 niveaux ; 32 pièces ; 248 segments de mur ; 0 transitions. Inspection physique ; architecture complète encore ouverte.</x:v>
      </x:c>
      <x:c r="H717" s="115" t="str">
        <x:v>L 438 ; l 576 ; hauteur 36 m ; choix de composition auteur ; dimensions réelles à documenter</x:v>
      </x:c>
      <x:c r="I717" s="115" t="str">
        <x:v>À équilibrer</x:v>
      </x:c>
      <x:c r="J717" s="115" t="str">
        <x:v>Non</x:v>
      </x:c>
      <x:c r="K717" s="115" t="str">
        <x:v>Pièces décrites, murs, portes, niveaux et mobilier inspectables à l’échelle. Volumes réservés, raccord au seed, butin, rencontres et services de campagne restent à terminer.</x:v>
      </x:c>
    </x:row>
    <x:row r="718" ht="96" customHeight="1">
      <x:c r="A718" s="115" t="str">
        <x:v>EXT-MONDE-T015-V13</x:v>
      </x:c>
      <x:c r="B718" s="115" t="str">
        <x:v>EXT-MONDE-T015</x:v>
      </x:c>
      <x:c r="C718" s="115" t="str">
        <x:v>Ports</x:v>
      </x:c>
      <x:c r="D718" s="115" t="str">
        <x:v>Terminal conteneurs</x:v>
      </x:c>
      <x:c r="E718" s="115" t="n">
        <x:v>13</x:v>
      </x:c>
      <x:c r="F718" s="115" t="str">
        <x:v>Inspection physique</x:v>
      </x:c>
      <x:c r="G718" s="115" t="str">
        <x:v>1 niveaux ; 32 pièces ; 248 segments de mur ; 0 transitions. Inspection physique ; architecture complète encore ouverte.</x:v>
      </x:c>
      <x:c r="H718" s="115" t="str">
        <x:v>L 438 ; l 576 ; hauteur 36 m ; choix de composition auteur ; dimensions réelles à documenter</x:v>
      </x:c>
      <x:c r="I718" s="115" t="str">
        <x:v>À équilibrer</x:v>
      </x:c>
      <x:c r="J718" s="115" t="str">
        <x:v>Non</x:v>
      </x:c>
      <x:c r="K718" s="115" t="str">
        <x:v>Pièces décrites, murs, portes, niveaux et mobilier inspectables à l’échelle. Volumes réservés, raccord au seed, butin, rencontres et services de campagne restent à terminer.</x:v>
      </x:c>
    </x:row>
    <x:row r="719" ht="96" customHeight="1">
      <x:c r="A719" s="115" t="str">
        <x:v>EXT-MONDE-T015-V14</x:v>
      </x:c>
      <x:c r="B719" s="115" t="str">
        <x:v>EXT-MONDE-T015</x:v>
      </x:c>
      <x:c r="C719" s="115" t="str">
        <x:v>Ports</x:v>
      </x:c>
      <x:c r="D719" s="115" t="str">
        <x:v>Terminal conteneurs</x:v>
      </x:c>
      <x:c r="E719" s="115" t="n">
        <x:v>14</x:v>
      </x:c>
      <x:c r="F719" s="115" t="str">
        <x:v>Inspection physique</x:v>
      </x:c>
      <x:c r="G719" s="115" t="str">
        <x:v>1 niveaux ; 32 pièces ; 248 segments de mur ; 0 transitions. Inspection physique ; architecture complète encore ouverte.</x:v>
      </x:c>
      <x:c r="H719" s="115" t="str">
        <x:v>L 438 ; l 576 ; hauteur 36 m ; choix de composition auteur ; dimensions réelles à documenter</x:v>
      </x:c>
      <x:c r="I719" s="115" t="str">
        <x:v>À équilibrer</x:v>
      </x:c>
      <x:c r="J719" s="115" t="str">
        <x:v>Non</x:v>
      </x:c>
      <x:c r="K719" s="115" t="str">
        <x:v>Pièces décrites, murs, portes, niveaux et mobilier inspectables à l’échelle. Volumes réservés, raccord au seed, butin, rencontres et services de campagne restent à terminer.</x:v>
      </x:c>
    </x:row>
    <x:row r="720" ht="96" customHeight="1">
      <x:c r="A720" s="115" t="str">
        <x:v>EXT-MONDE-T015-V15</x:v>
      </x:c>
      <x:c r="B720" s="115" t="str">
        <x:v>EXT-MONDE-T015</x:v>
      </x:c>
      <x:c r="C720" s="115" t="str">
        <x:v>Ports</x:v>
      </x:c>
      <x:c r="D720" s="115" t="str">
        <x:v>Terminal conteneurs</x:v>
      </x:c>
      <x:c r="E720" s="115" t="n">
        <x:v>15</x:v>
      </x:c>
      <x:c r="F720" s="115" t="str">
        <x:v>Inspection physique</x:v>
      </x:c>
      <x:c r="G720" s="115" t="str">
        <x:v>1 niveaux ; 32 pièces ; 248 segments de mur ; 0 transitions. Inspection physique ; architecture complète encore ouverte.</x:v>
      </x:c>
      <x:c r="H720" s="115" t="str">
        <x:v>L 438 ; l 576 ; hauteur 36 m ; choix de composition auteur ; dimensions réelles à documenter</x:v>
      </x:c>
      <x:c r="I720" s="115" t="str">
        <x:v>À équilibrer</x:v>
      </x:c>
      <x:c r="J720" s="115" t="str">
        <x:v>Non</x:v>
      </x:c>
      <x:c r="K720" s="115" t="str">
        <x:v>Pièces décrites, murs, portes, niveaux et mobilier inspectables à l’échelle. Volumes réservés, raccord au seed, butin, rencontres et services de campagne restent à terminer.</x:v>
      </x:c>
    </x:row>
    <x:row r="721" ht="96" customHeight="1">
      <x:c r="A721" s="115" t="str">
        <x:v>EXT-MONDE-T015-V16</x:v>
      </x:c>
      <x:c r="B721" s="115" t="str">
        <x:v>EXT-MONDE-T015</x:v>
      </x:c>
      <x:c r="C721" s="115" t="str">
        <x:v>Ports</x:v>
      </x:c>
      <x:c r="D721" s="115" t="str">
        <x:v>Terminal conteneurs</x:v>
      </x:c>
      <x:c r="E721" s="115" t="n">
        <x:v>16</x:v>
      </x:c>
      <x:c r="F721" s="115" t="str">
        <x:v>Inspection physique</x:v>
      </x:c>
      <x:c r="G721" s="115" t="str">
        <x:v>1 niveaux ; 32 pièces ; 248 segments de mur ; 0 transitions. Inspection physique ; architecture complète encore ouverte.</x:v>
      </x:c>
      <x:c r="H721" s="115" t="str">
        <x:v>L 438 ; l 576 ; hauteur 36 m ; choix de composition auteur ; dimensions réelles à documenter</x:v>
      </x:c>
      <x:c r="I721" s="115" t="str">
        <x:v>À équilibrer</x:v>
      </x:c>
      <x:c r="J721" s="115" t="str">
        <x:v>Non</x:v>
      </x:c>
      <x:c r="K721" s="115" t="str">
        <x:v>Pièces décrites, murs, portes, niveaux et mobilier inspectables à l’échelle. Volumes réservés, raccord au seed, butin, rencontres et services de campagne restent à terminer.</x:v>
      </x:c>
    </x:row>
    <x:row r="722" ht="96" customHeight="1">
      <x:c r="A722" s="115" t="str">
        <x:v>EXT-MONDE-T015-V17</x:v>
      </x:c>
      <x:c r="B722" s="115" t="str">
        <x:v>EXT-MONDE-T015</x:v>
      </x:c>
      <x:c r="C722" s="115" t="str">
        <x:v>Ports</x:v>
      </x:c>
      <x:c r="D722" s="115" t="str">
        <x:v>Terminal conteneurs</x:v>
      </x:c>
      <x:c r="E722" s="115" t="n">
        <x:v>17</x:v>
      </x:c>
      <x:c r="F722" s="115" t="str">
        <x:v>Inspection physique</x:v>
      </x:c>
      <x:c r="G722" s="115" t="str">
        <x:v>1 niveaux ; 32 pièces ; 248 segments de mur ; 0 transitions. Inspection physique ; architecture complète encore ouverte.</x:v>
      </x:c>
      <x:c r="H722" s="115" t="str">
        <x:v>L 438 ; l 576 ; hauteur 36 m ; choix de composition auteur ; dimensions réelles à documenter</x:v>
      </x:c>
      <x:c r="I722" s="115" t="str">
        <x:v>À équilibrer</x:v>
      </x:c>
      <x:c r="J722" s="115" t="str">
        <x:v>Non</x:v>
      </x:c>
      <x:c r="K722" s="115" t="str">
        <x:v>Pièces décrites, murs, portes, niveaux et mobilier inspectables à l’échelle. Volumes réservés, raccord au seed, butin, rencontres et services de campagne restent à terminer.</x:v>
      </x:c>
    </x:row>
    <x:row r="723" ht="96" customHeight="1">
      <x:c r="A723" s="115" t="str">
        <x:v>EXT-MONDE-T015-V18</x:v>
      </x:c>
      <x:c r="B723" s="115" t="str">
        <x:v>EXT-MONDE-T015</x:v>
      </x:c>
      <x:c r="C723" s="115" t="str">
        <x:v>Ports</x:v>
      </x:c>
      <x:c r="D723" s="115" t="str">
        <x:v>Terminal conteneurs</x:v>
      </x:c>
      <x:c r="E723" s="115" t="n">
        <x:v>18</x:v>
      </x:c>
      <x:c r="F723" s="115" t="str">
        <x:v>Inspection physique</x:v>
      </x:c>
      <x:c r="G723" s="115" t="str">
        <x:v>1 niveaux ; 32 pièces ; 248 segments de mur ; 0 transitions. Inspection physique ; architecture complète encore ouverte.</x:v>
      </x:c>
      <x:c r="H723" s="115" t="str">
        <x:v>L 438 ; l 576 ; hauteur 36 m ; choix de composition auteur ; dimensions réelles à documenter</x:v>
      </x:c>
      <x:c r="I723" s="115" t="str">
        <x:v>À équilibrer</x:v>
      </x:c>
      <x:c r="J723" s="115" t="str">
        <x:v>Non</x:v>
      </x:c>
      <x:c r="K723" s="115" t="str">
        <x:v>Pièces décrites, murs, portes, niveaux et mobilier inspectables à l’échelle. Volumes réservés, raccord au seed, butin, rencontres et services de campagne restent à terminer.</x:v>
      </x:c>
    </x:row>
    <x:row r="724" ht="96" customHeight="1">
      <x:c r="A724" s="115" t="str">
        <x:v>EXT-MONDE-T015-V19</x:v>
      </x:c>
      <x:c r="B724" s="115" t="str">
        <x:v>EXT-MONDE-T015</x:v>
      </x:c>
      <x:c r="C724" s="115" t="str">
        <x:v>Ports</x:v>
      </x:c>
      <x:c r="D724" s="115" t="str">
        <x:v>Terminal conteneurs</x:v>
      </x:c>
      <x:c r="E724" s="115" t="n">
        <x:v>19</x:v>
      </x:c>
      <x:c r="F724" s="115" t="str">
        <x:v>Inspection physique</x:v>
      </x:c>
      <x:c r="G724" s="115" t="str">
        <x:v>1 niveaux ; 32 pièces ; 248 segments de mur ; 0 transitions. Inspection physique ; architecture complète encore ouverte.</x:v>
      </x:c>
      <x:c r="H724" s="115" t="str">
        <x:v>L 438 ; l 576 ; hauteur 36 m ; choix de composition auteur ; dimensions réelles à documenter</x:v>
      </x:c>
      <x:c r="I724" s="115" t="str">
        <x:v>À équilibrer</x:v>
      </x:c>
      <x:c r="J724" s="115" t="str">
        <x:v>Non</x:v>
      </x:c>
      <x:c r="K724" s="115" t="str">
        <x:v>Pièces décrites, murs, portes, niveaux et mobilier inspectables à l’échelle. Volumes réservés, raccord au seed, butin, rencontres et services de campagne restent à terminer.</x:v>
      </x:c>
    </x:row>
    <x:row r="725" ht="96" customHeight="1">
      <x:c r="A725" s="115" t="str">
        <x:v>EXT-MONDE-T015-V20</x:v>
      </x:c>
      <x:c r="B725" s="115" t="str">
        <x:v>EXT-MONDE-T015</x:v>
      </x:c>
      <x:c r="C725" s="115" t="str">
        <x:v>Ports</x:v>
      </x:c>
      <x:c r="D725" s="115" t="str">
        <x:v>Terminal conteneurs</x:v>
      </x:c>
      <x:c r="E725" s="115" t="n">
        <x:v>20</x:v>
      </x:c>
      <x:c r="F725" s="115" t="str">
        <x:v>Inspection physique</x:v>
      </x:c>
      <x:c r="G725" s="115" t="str">
        <x:v>1 niveaux ; 32 pièces ; 248 segments de mur ; 0 transitions. Inspection physique ; architecture complète encore ouverte.</x:v>
      </x:c>
      <x:c r="H725" s="115" t="str">
        <x:v>L 438 ; l 576 ; hauteur 36 m ; choix de composition auteur ; dimensions réelles à documenter</x:v>
      </x:c>
      <x:c r="I725" s="115" t="str">
        <x:v>À équilibrer</x:v>
      </x:c>
      <x:c r="J725" s="115" t="str">
        <x:v>Non</x:v>
      </x:c>
      <x:c r="K725" s="115" t="str">
        <x:v>Pièces décrites, murs, portes, niveaux et mobilier inspectables à l’échelle. Volumes réservés, raccord au seed, butin, rencontres et services de campagne restent à terminer.</x:v>
      </x:c>
    </x:row>
    <x:row r="726" ht="96" customHeight="1">
      <x:c r="A726" s="115" t="str">
        <x:v>EXT-MONDE-T015-V21</x:v>
      </x:c>
      <x:c r="B726" s="115" t="str">
        <x:v>EXT-MONDE-T015</x:v>
      </x:c>
      <x:c r="C726" s="115" t="str">
        <x:v>Ports</x:v>
      </x:c>
      <x:c r="D726" s="115" t="str">
        <x:v>Terminal conteneurs</x:v>
      </x:c>
      <x:c r="E726" s="115" t="n">
        <x:v>21</x:v>
      </x:c>
      <x:c r="F726" s="115" t="str">
        <x:v>Inspection physique</x:v>
      </x:c>
      <x:c r="G726" s="115" t="str">
        <x:v>1 niveaux ; 32 pièces ; 248 segments de mur ; 0 transitions. Inspection physique ; architecture complète encore ouverte.</x:v>
      </x:c>
      <x:c r="H726" s="115" t="str">
        <x:v>L 452 ; l 588 ; hauteur 36 m ; choix de composition auteur ; dimensions réelles à documenter</x:v>
      </x:c>
      <x:c r="I726" s="115" t="str">
        <x:v>À équilibrer</x:v>
      </x:c>
      <x:c r="J726" s="115" t="str">
        <x:v>Non</x:v>
      </x:c>
      <x:c r="K726" s="115" t="str">
        <x:v>Pièces décrites, murs, portes, niveaux et mobilier inspectables à l’échelle. Volumes réservés, raccord au seed, butin, rencontres et services de campagne restent à terminer.</x:v>
      </x:c>
    </x:row>
    <x:row r="727" ht="96" customHeight="1">
      <x:c r="A727" s="115" t="str">
        <x:v>EXT-MONDE-T015-V22</x:v>
      </x:c>
      <x:c r="B727" s="115" t="str">
        <x:v>EXT-MONDE-T015</x:v>
      </x:c>
      <x:c r="C727" s="115" t="str">
        <x:v>Ports</x:v>
      </x:c>
      <x:c r="D727" s="115" t="str">
        <x:v>Terminal conteneurs</x:v>
      </x:c>
      <x:c r="E727" s="115" t="n">
        <x:v>22</x:v>
      </x:c>
      <x:c r="F727" s="115" t="str">
        <x:v>Inspection physique</x:v>
      </x:c>
      <x:c r="G727" s="115" t="str">
        <x:v>1 niveaux ; 32 pièces ; 248 segments de mur ; 0 transitions. Inspection physique ; architecture complète encore ouverte.</x:v>
      </x:c>
      <x:c r="H727" s="115" t="str">
        <x:v>L 452 ; l 588 ; hauteur 36 m ; choix de composition auteur ; dimensions réelles à documenter</x:v>
      </x:c>
      <x:c r="I727" s="115" t="str">
        <x:v>À équilibrer</x:v>
      </x:c>
      <x:c r="J727" s="115" t="str">
        <x:v>Non</x:v>
      </x:c>
      <x:c r="K727" s="115" t="str">
        <x:v>Pièces décrites, murs, portes, niveaux et mobilier inspectables à l’échelle. Volumes réservés, raccord au seed, butin, rencontres et services de campagne restent à terminer.</x:v>
      </x:c>
    </x:row>
    <x:row r="728" ht="96" customHeight="1">
      <x:c r="A728" s="115" t="str">
        <x:v>EXT-MONDE-T015-V23</x:v>
      </x:c>
      <x:c r="B728" s="115" t="str">
        <x:v>EXT-MONDE-T015</x:v>
      </x:c>
      <x:c r="C728" s="115" t="str">
        <x:v>Ports</x:v>
      </x:c>
      <x:c r="D728" s="115" t="str">
        <x:v>Terminal conteneurs</x:v>
      </x:c>
      <x:c r="E728" s="115" t="n">
        <x:v>23</x:v>
      </x:c>
      <x:c r="F728" s="115" t="str">
        <x:v>Inspection physique</x:v>
      </x:c>
      <x:c r="G728" s="115" t="str">
        <x:v>1 niveaux ; 32 pièces ; 248 segments de mur ; 0 transitions. Inspection physique ; architecture complète encore ouverte.</x:v>
      </x:c>
      <x:c r="H728" s="115" t="str">
        <x:v>L 452 ; l 588 ; hauteur 36 m ; choix de composition auteur ; dimensions réelles à documenter</x:v>
      </x:c>
      <x:c r="I728" s="115" t="str">
        <x:v>À équilibrer</x:v>
      </x:c>
      <x:c r="J728" s="115" t="str">
        <x:v>Non</x:v>
      </x:c>
      <x:c r="K728" s="115" t="str">
        <x:v>Pièces décrites, murs, portes, niveaux et mobilier inspectables à l’échelle. Volumes réservés, raccord au seed, butin, rencontres et services de campagne restent à terminer.</x:v>
      </x:c>
    </x:row>
    <x:row r="729" ht="96" customHeight="1">
      <x:c r="A729" s="115" t="str">
        <x:v>EXT-MONDE-T015-V24</x:v>
      </x:c>
      <x:c r="B729" s="115" t="str">
        <x:v>EXT-MONDE-T015</x:v>
      </x:c>
      <x:c r="C729" s="115" t="str">
        <x:v>Ports</x:v>
      </x:c>
      <x:c r="D729" s="115" t="str">
        <x:v>Terminal conteneurs</x:v>
      </x:c>
      <x:c r="E729" s="115" t="n">
        <x:v>24</x:v>
      </x:c>
      <x:c r="F729" s="115" t="str">
        <x:v>Inspection physique</x:v>
      </x:c>
      <x:c r="G729" s="115" t="str">
        <x:v>1 niveaux ; 32 pièces ; 248 segments de mur ; 0 transitions. Inspection physique ; architecture complète encore ouverte.</x:v>
      </x:c>
      <x:c r="H729" s="115" t="str">
        <x:v>L 452 ; l 588 ; hauteur 36 m ; choix de composition auteur ; dimensions réelles à documenter</x:v>
      </x:c>
      <x:c r="I729" s="115" t="str">
        <x:v>À équilibrer</x:v>
      </x:c>
      <x:c r="J729" s="115" t="str">
        <x:v>Non</x:v>
      </x:c>
      <x:c r="K729" s="115" t="str">
        <x:v>Pièces décrites, murs, portes, niveaux et mobilier inspectables à l’échelle. Volumes réservés, raccord au seed, butin, rencontres et services de campagne restent à terminer.</x:v>
      </x:c>
    </x:row>
    <x:row r="730" ht="96" customHeight="1">
      <x:c r="A730" s="115" t="str">
        <x:v>EXT-MONDE-T015-V25</x:v>
      </x:c>
      <x:c r="B730" s="115" t="str">
        <x:v>EXT-MONDE-T015</x:v>
      </x:c>
      <x:c r="C730" s="115" t="str">
        <x:v>Ports</x:v>
      </x:c>
      <x:c r="D730" s="115" t="str">
        <x:v>Terminal conteneurs</x:v>
      </x:c>
      <x:c r="E730" s="115" t="n">
        <x:v>25</x:v>
      </x:c>
      <x:c r="F730" s="115" t="str">
        <x:v>Inspection physique</x:v>
      </x:c>
      <x:c r="G730" s="115" t="str">
        <x:v>1 niveaux ; 32 pièces ; 248 segments de mur ; 0 transitions. Inspection physique ; architecture complète encore ouverte.</x:v>
      </x:c>
      <x:c r="H730" s="115" t="str">
        <x:v>L 452 ; l 588 ; hauteur 36 m ; choix de composition auteur ; dimensions réelles à documenter</x:v>
      </x:c>
      <x:c r="I730" s="115" t="str">
        <x:v>À équilibrer</x:v>
      </x:c>
      <x:c r="J730" s="115" t="str">
        <x:v>Non</x:v>
      </x:c>
      <x:c r="K730" s="115" t="str">
        <x:v>Pièces décrites, murs, portes, niveaux et mobilier inspectables à l’échelle. Volumes réservés, raccord au seed, butin, rencontres et services de campagne restent à terminer.</x:v>
      </x:c>
    </x:row>
    <x:row r="731" ht="96" customHeight="1">
      <x:c r="A731" s="115" t="str">
        <x:v>EXT-MONDE-T015-V26</x:v>
      </x:c>
      <x:c r="B731" s="115" t="str">
        <x:v>EXT-MONDE-T015</x:v>
      </x:c>
      <x:c r="C731" s="115" t="str">
        <x:v>Ports</x:v>
      </x:c>
      <x:c r="D731" s="115" t="str">
        <x:v>Terminal conteneurs</x:v>
      </x:c>
      <x:c r="E731" s="115" t="n">
        <x:v>26</x:v>
      </x:c>
      <x:c r="F731" s="115" t="str">
        <x:v>Inspection physique</x:v>
      </x:c>
      <x:c r="G731" s="115" t="str">
        <x:v>1 niveaux ; 32 pièces ; 248 segments de mur ; 0 transitions. Inspection physique ; architecture complète encore ouverte.</x:v>
      </x:c>
      <x:c r="H731" s="115" t="str">
        <x:v>L 452 ; l 588 ; hauteur 36 m ; choix de composition auteur ; dimensions réelles à documenter</x:v>
      </x:c>
      <x:c r="I731" s="115" t="str">
        <x:v>À équilibrer</x:v>
      </x:c>
      <x:c r="J731" s="115" t="str">
        <x:v>Non</x:v>
      </x:c>
      <x:c r="K731" s="115" t="str">
        <x:v>Pièces décrites, murs, portes, niveaux et mobilier inspectables à l’échelle. Volumes réservés, raccord au seed, butin, rencontres et services de campagne restent à terminer.</x:v>
      </x:c>
    </x:row>
    <x:row r="732" ht="96" customHeight="1">
      <x:c r="A732" s="115" t="str">
        <x:v>EXT-MONDE-T015-V27</x:v>
      </x:c>
      <x:c r="B732" s="115" t="str">
        <x:v>EXT-MONDE-T015</x:v>
      </x:c>
      <x:c r="C732" s="115" t="str">
        <x:v>Ports</x:v>
      </x:c>
      <x:c r="D732" s="115" t="str">
        <x:v>Terminal conteneurs</x:v>
      </x:c>
      <x:c r="E732" s="115" t="n">
        <x:v>27</x:v>
      </x:c>
      <x:c r="F732" s="115" t="str">
        <x:v>Inspection physique</x:v>
      </x:c>
      <x:c r="G732" s="115" t="str">
        <x:v>1 niveaux ; 32 pièces ; 248 segments de mur ; 0 transitions. Inspection physique ; architecture complète encore ouverte.</x:v>
      </x:c>
      <x:c r="H732" s="115" t="str">
        <x:v>L 452 ; l 588 ; hauteur 36 m ; choix de composition auteur ; dimensions réelles à documenter</x:v>
      </x:c>
      <x:c r="I732" s="115" t="str">
        <x:v>À équilibrer</x:v>
      </x:c>
      <x:c r="J732" s="115" t="str">
        <x:v>Non</x:v>
      </x:c>
      <x:c r="K732" s="115" t="str">
        <x:v>Pièces décrites, murs, portes, niveaux et mobilier inspectables à l’échelle. Volumes réservés, raccord au seed, butin, rencontres et services de campagne restent à terminer.</x:v>
      </x:c>
    </x:row>
    <x:row r="733" ht="96" customHeight="1">
      <x:c r="A733" s="115" t="str">
        <x:v>EXT-MONDE-T015-V28</x:v>
      </x:c>
      <x:c r="B733" s="115" t="str">
        <x:v>EXT-MONDE-T015</x:v>
      </x:c>
      <x:c r="C733" s="115" t="str">
        <x:v>Ports</x:v>
      </x:c>
      <x:c r="D733" s="115" t="str">
        <x:v>Terminal conteneurs</x:v>
      </x:c>
      <x:c r="E733" s="115" t="n">
        <x:v>28</x:v>
      </x:c>
      <x:c r="F733" s="115" t="str">
        <x:v>Inspection physique</x:v>
      </x:c>
      <x:c r="G733" s="115" t="str">
        <x:v>1 niveaux ; 32 pièces ; 248 segments de mur ; 0 transitions. Inspection physique ; architecture complète encore ouverte.</x:v>
      </x:c>
      <x:c r="H733" s="115" t="str">
        <x:v>L 452 ; l 588 ; hauteur 36 m ; choix de composition auteur ; dimensions réelles à documenter</x:v>
      </x:c>
      <x:c r="I733" s="115" t="str">
        <x:v>À équilibrer</x:v>
      </x:c>
      <x:c r="J733" s="115" t="str">
        <x:v>Non</x:v>
      </x:c>
      <x:c r="K733" s="115" t="str">
        <x:v>Pièces décrites, murs, portes, niveaux et mobilier inspectables à l’échelle. Volumes réservés, raccord au seed, butin, rencontres et services de campagne restent à terminer.</x:v>
      </x:c>
    </x:row>
    <x:row r="734" ht="96" customHeight="1">
      <x:c r="A734" s="115" t="str">
        <x:v>EXT-MONDE-T015-V29</x:v>
      </x:c>
      <x:c r="B734" s="115" t="str">
        <x:v>EXT-MONDE-T015</x:v>
      </x:c>
      <x:c r="C734" s="115" t="str">
        <x:v>Ports</x:v>
      </x:c>
      <x:c r="D734" s="115" t="str">
        <x:v>Terminal conteneurs</x:v>
      </x:c>
      <x:c r="E734" s="115" t="n">
        <x:v>29</x:v>
      </x:c>
      <x:c r="F734" s="115" t="str">
        <x:v>Inspection physique</x:v>
      </x:c>
      <x:c r="G734" s="115" t="str">
        <x:v>1 niveaux ; 32 pièces ; 248 segments de mur ; 0 transitions. Inspection physique ; architecture complète encore ouverte.</x:v>
      </x:c>
      <x:c r="H734" s="115" t="str">
        <x:v>L 452 ; l 588 ; hauteur 36 m ; choix de composition auteur ; dimensions réelles à documenter</x:v>
      </x:c>
      <x:c r="I734" s="115" t="str">
        <x:v>À équilibrer</x:v>
      </x:c>
      <x:c r="J734" s="115" t="str">
        <x:v>Non</x:v>
      </x:c>
      <x:c r="K734" s="115" t="str">
        <x:v>Pièces décrites, murs, portes, niveaux et mobilier inspectables à l’échelle. Volumes réservés, raccord au seed, butin, rencontres et services de campagne restent à terminer.</x:v>
      </x:c>
    </x:row>
    <x:row r="735" ht="96" customHeight="1">
      <x:c r="A735" s="115" t="str">
        <x:v>EXT-MONDE-T015-V30</x:v>
      </x:c>
      <x:c r="B735" s="115" t="str">
        <x:v>EXT-MONDE-T015</x:v>
      </x:c>
      <x:c r="C735" s="115" t="str">
        <x:v>Ports</x:v>
      </x:c>
      <x:c r="D735" s="115" t="str">
        <x:v>Terminal conteneurs</x:v>
      </x:c>
      <x:c r="E735" s="115" t="n">
        <x:v>30</x:v>
      </x:c>
      <x:c r="F735" s="115" t="str">
        <x:v>Inspection physique</x:v>
      </x:c>
      <x:c r="G735" s="115" t="str">
        <x:v>1 niveaux ; 32 pièces ; 248 segments de mur ; 0 transitions. Inspection physique ; architecture complète encore ouverte.</x:v>
      </x:c>
      <x:c r="H735" s="115" t="str">
        <x:v>L 452 ; l 588 ; hauteur 36 m ; choix de composition auteur ; dimensions réelles à documenter</x:v>
      </x:c>
      <x:c r="I735" s="115" t="str">
        <x:v>À équilibrer</x:v>
      </x:c>
      <x:c r="J735" s="115" t="str">
        <x:v>Non</x:v>
      </x:c>
      <x:c r="K735" s="115" t="str">
        <x:v>Pièces décrites, murs, portes, niveaux et mobilier inspectables à l’échelle. Volumes réservés, raccord au seed, butin, rencontres et services de campagne restent à terminer.</x:v>
      </x:c>
    </x:row>
    <x:row r="736" ht="96" customHeight="1">
      <x:c r="A736" s="115" t="str">
        <x:v>EXT-MONDE-T015-V31</x:v>
      </x:c>
      <x:c r="B736" s="115" t="str">
        <x:v>EXT-MONDE-T015</x:v>
      </x:c>
      <x:c r="C736" s="115" t="str">
        <x:v>Ports</x:v>
      </x:c>
      <x:c r="D736" s="115" t="str">
        <x:v>Terminal conteneurs</x:v>
      </x:c>
      <x:c r="E736" s="115" t="n">
        <x:v>31</x:v>
      </x:c>
      <x:c r="F736" s="115" t="str">
        <x:v>Inspection physique</x:v>
      </x:c>
      <x:c r="G736" s="115" t="str">
        <x:v>1 niveaux ; 32 pièces ; 248 segments de mur ; 0 transitions. Inspection physique ; architecture complète encore ouverte.</x:v>
      </x:c>
      <x:c r="H736" s="115" t="str">
        <x:v>L 466 ; l 600 ; hauteur 36 m ; choix de composition auteur ; dimensions réelles à documenter</x:v>
      </x:c>
      <x:c r="I736" s="115" t="str">
        <x:v>À équilibrer</x:v>
      </x:c>
      <x:c r="J736" s="115" t="str">
        <x:v>Non</x:v>
      </x:c>
      <x:c r="K736" s="115" t="str">
        <x:v>Pièces décrites, murs, portes, niveaux et mobilier inspectables à l’échelle. Volumes réservés, raccord au seed, butin, rencontres et services de campagne restent à terminer.</x:v>
      </x:c>
    </x:row>
    <x:row r="737" ht="96" customHeight="1">
      <x:c r="A737" s="115" t="str">
        <x:v>EXT-MONDE-T015-V32</x:v>
      </x:c>
      <x:c r="B737" s="115" t="str">
        <x:v>EXT-MONDE-T015</x:v>
      </x:c>
      <x:c r="C737" s="115" t="str">
        <x:v>Ports</x:v>
      </x:c>
      <x:c r="D737" s="115" t="str">
        <x:v>Terminal conteneurs</x:v>
      </x:c>
      <x:c r="E737" s="115" t="n">
        <x:v>32</x:v>
      </x:c>
      <x:c r="F737" s="115" t="str">
        <x:v>Inspection physique</x:v>
      </x:c>
      <x:c r="G737" s="115" t="str">
        <x:v>1 niveaux ; 32 pièces ; 248 segments de mur ; 0 transitions. Inspection physique ; architecture complète encore ouverte.</x:v>
      </x:c>
      <x:c r="H737" s="115" t="str">
        <x:v>L 466 ; l 600 ; hauteur 36 m ; choix de composition auteur ; dimensions réelles à documenter</x:v>
      </x:c>
      <x:c r="I737" s="115" t="str">
        <x:v>À équilibrer</x:v>
      </x:c>
      <x:c r="J737" s="115" t="str">
        <x:v>Non</x:v>
      </x:c>
      <x:c r="K737" s="115" t="str">
        <x:v>Pièces décrites, murs, portes, niveaux et mobilier inspectables à l’échelle. Volumes réservés, raccord au seed, butin, rencontres et services de campagne restent à terminer.</x:v>
      </x:c>
    </x:row>
    <x:row r="738" ht="96" customHeight="1">
      <x:c r="A738" s="115" t="str">
        <x:v>EXT-MONDE-T015-V33</x:v>
      </x:c>
      <x:c r="B738" s="115" t="str">
        <x:v>EXT-MONDE-T015</x:v>
      </x:c>
      <x:c r="C738" s="115" t="str">
        <x:v>Ports</x:v>
      </x:c>
      <x:c r="D738" s="115" t="str">
        <x:v>Terminal conteneurs</x:v>
      </x:c>
      <x:c r="E738" s="115" t="n">
        <x:v>33</x:v>
      </x:c>
      <x:c r="F738" s="115" t="str">
        <x:v>Inspection physique</x:v>
      </x:c>
      <x:c r="G738" s="115" t="str">
        <x:v>1 niveaux ; 32 pièces ; 248 segments de mur ; 0 transitions. Inspection physique ; architecture complète encore ouverte.</x:v>
      </x:c>
      <x:c r="H738" s="115" t="str">
        <x:v>L 466 ; l 600 ; hauteur 36 m ; choix de composition auteur ; dimensions réelles à documenter</x:v>
      </x:c>
      <x:c r="I738" s="115" t="str">
        <x:v>À équilibrer</x:v>
      </x:c>
      <x:c r="J738" s="115" t="str">
        <x:v>Non</x:v>
      </x:c>
      <x:c r="K738" s="115" t="str">
        <x:v>Pièces décrites, murs, portes, niveaux et mobilier inspectables à l’échelle. Volumes réservés, raccord au seed, butin, rencontres et services de campagne restent à terminer.</x:v>
      </x:c>
    </x:row>
    <x:row r="739" ht="96" customHeight="1">
      <x:c r="A739" s="115" t="str">
        <x:v>EXT-MONDE-T015-V34</x:v>
      </x:c>
      <x:c r="B739" s="115" t="str">
        <x:v>EXT-MONDE-T015</x:v>
      </x:c>
      <x:c r="C739" s="115" t="str">
        <x:v>Ports</x:v>
      </x:c>
      <x:c r="D739" s="115" t="str">
        <x:v>Terminal conteneurs</x:v>
      </x:c>
      <x:c r="E739" s="115" t="n">
        <x:v>34</x:v>
      </x:c>
      <x:c r="F739" s="115" t="str">
        <x:v>Inspection physique</x:v>
      </x:c>
      <x:c r="G739" s="115" t="str">
        <x:v>1 niveaux ; 32 pièces ; 248 segments de mur ; 0 transitions. Inspection physique ; architecture complète encore ouverte.</x:v>
      </x:c>
      <x:c r="H739" s="115" t="str">
        <x:v>L 466 ; l 600 ; hauteur 36 m ; choix de composition auteur ; dimensions réelles à documenter</x:v>
      </x:c>
      <x:c r="I739" s="115" t="str">
        <x:v>À équilibrer</x:v>
      </x:c>
      <x:c r="J739" s="115" t="str">
        <x:v>Non</x:v>
      </x:c>
      <x:c r="K739" s="115" t="str">
        <x:v>Pièces décrites, murs, portes, niveaux et mobilier inspectables à l’échelle. Volumes réservés, raccord au seed, butin, rencontres et services de campagne restent à terminer.</x:v>
      </x:c>
    </x:row>
    <x:row r="740" ht="96" customHeight="1">
      <x:c r="A740" s="115" t="str">
        <x:v>EXT-MONDE-T015-V35</x:v>
      </x:c>
      <x:c r="B740" s="115" t="str">
        <x:v>EXT-MONDE-T015</x:v>
      </x:c>
      <x:c r="C740" s="115" t="str">
        <x:v>Ports</x:v>
      </x:c>
      <x:c r="D740" s="115" t="str">
        <x:v>Terminal conteneurs</x:v>
      </x:c>
      <x:c r="E740" s="115" t="n">
        <x:v>35</x:v>
      </x:c>
      <x:c r="F740" s="115" t="str">
        <x:v>Inspection physique</x:v>
      </x:c>
      <x:c r="G740" s="115" t="str">
        <x:v>1 niveaux ; 32 pièces ; 248 segments de mur ; 0 transitions. Inspection physique ; architecture complète encore ouverte.</x:v>
      </x:c>
      <x:c r="H740" s="115" t="str">
        <x:v>L 466 ; l 600 ; hauteur 36 m ; choix de composition auteur ; dimensions réelles à documenter</x:v>
      </x:c>
      <x:c r="I740" s="115" t="str">
        <x:v>À équilibrer</x:v>
      </x:c>
      <x:c r="J740" s="115" t="str">
        <x:v>Non</x:v>
      </x:c>
      <x:c r="K740" s="115" t="str">
        <x:v>Pièces décrites, murs, portes, niveaux et mobilier inspectables à l’échelle. Volumes réservés, raccord au seed, butin, rencontres et services de campagne restent à terminer.</x:v>
      </x:c>
    </x:row>
    <x:row r="741" ht="96" customHeight="1">
      <x:c r="A741" s="115" t="str">
        <x:v>EXT-MONDE-T015-V36</x:v>
      </x:c>
      <x:c r="B741" s="115" t="str">
        <x:v>EXT-MONDE-T015</x:v>
      </x:c>
      <x:c r="C741" s="115" t="str">
        <x:v>Ports</x:v>
      </x:c>
      <x:c r="D741" s="115" t="str">
        <x:v>Terminal conteneurs</x:v>
      </x:c>
      <x:c r="E741" s="115" t="n">
        <x:v>36</x:v>
      </x:c>
      <x:c r="F741" s="115" t="str">
        <x:v>Inspection physique</x:v>
      </x:c>
      <x:c r="G741" s="115" t="str">
        <x:v>1 niveaux ; 32 pièces ; 248 segments de mur ; 0 transitions. Inspection physique ; architecture complète encore ouverte.</x:v>
      </x:c>
      <x:c r="H741" s="115" t="str">
        <x:v>L 466 ; l 600 ; hauteur 36 m ; choix de composition auteur ; dimensions réelles à documenter</x:v>
      </x:c>
      <x:c r="I741" s="115" t="str">
        <x:v>À équilibrer</x:v>
      </x:c>
      <x:c r="J741" s="115" t="str">
        <x:v>Non</x:v>
      </x:c>
      <x:c r="K741" s="115" t="str">
        <x:v>Pièces décrites, murs, portes, niveaux et mobilier inspectables à l’échelle. Volumes réservés, raccord au seed, butin, rencontres et services de campagne restent à terminer.</x:v>
      </x:c>
    </x:row>
    <x:row r="742" ht="96" customHeight="1">
      <x:c r="A742" s="115" t="str">
        <x:v>EXT-MONDE-T015-V37</x:v>
      </x:c>
      <x:c r="B742" s="115" t="str">
        <x:v>EXT-MONDE-T015</x:v>
      </x:c>
      <x:c r="C742" s="115" t="str">
        <x:v>Ports</x:v>
      </x:c>
      <x:c r="D742" s="115" t="str">
        <x:v>Terminal conteneurs</x:v>
      </x:c>
      <x:c r="E742" s="115" t="n">
        <x:v>37</x:v>
      </x:c>
      <x:c r="F742" s="115" t="str">
        <x:v>Inspection physique</x:v>
      </x:c>
      <x:c r="G742" s="115" t="str">
        <x:v>1 niveaux ; 32 pièces ; 248 segments de mur ; 0 transitions. Inspection physique ; architecture complète encore ouverte.</x:v>
      </x:c>
      <x:c r="H742" s="115" t="str">
        <x:v>L 466 ; l 600 ; hauteur 36 m ; choix de composition auteur ; dimensions réelles à documenter</x:v>
      </x:c>
      <x:c r="I742" s="115" t="str">
        <x:v>À équilibrer</x:v>
      </x:c>
      <x:c r="J742" s="115" t="str">
        <x:v>Non</x:v>
      </x:c>
      <x:c r="K742" s="115" t="str">
        <x:v>Pièces décrites, murs, portes, niveaux et mobilier inspectables à l’échelle. Volumes réservés, raccord au seed, butin, rencontres et services de campagne restent à terminer.</x:v>
      </x:c>
    </x:row>
    <x:row r="743" ht="96" customHeight="1">
      <x:c r="A743" s="115" t="str">
        <x:v>EXT-MONDE-T015-V38</x:v>
      </x:c>
      <x:c r="B743" s="115" t="str">
        <x:v>EXT-MONDE-T015</x:v>
      </x:c>
      <x:c r="C743" s="115" t="str">
        <x:v>Ports</x:v>
      </x:c>
      <x:c r="D743" s="115" t="str">
        <x:v>Terminal conteneurs</x:v>
      </x:c>
      <x:c r="E743" s="115" t="n">
        <x:v>38</x:v>
      </x:c>
      <x:c r="F743" s="115" t="str">
        <x:v>Inspection physique</x:v>
      </x:c>
      <x:c r="G743" s="115" t="str">
        <x:v>1 niveaux ; 32 pièces ; 248 segments de mur ; 0 transitions. Inspection physique ; architecture complète encore ouverte.</x:v>
      </x:c>
      <x:c r="H743" s="115" t="str">
        <x:v>L 466 ; l 600 ; hauteur 36 m ; choix de composition auteur ; dimensions réelles à documenter</x:v>
      </x:c>
      <x:c r="I743" s="115" t="str">
        <x:v>À équilibrer</x:v>
      </x:c>
      <x:c r="J743" s="115" t="str">
        <x:v>Non</x:v>
      </x:c>
      <x:c r="K743" s="115" t="str">
        <x:v>Pièces décrites, murs, portes, niveaux et mobilier inspectables à l’échelle. Volumes réservés, raccord au seed, butin, rencontres et services de campagne restent à terminer.</x:v>
      </x:c>
    </x:row>
    <x:row r="744" ht="96" customHeight="1">
      <x:c r="A744" s="115" t="str">
        <x:v>EXT-MONDE-T015-V39</x:v>
      </x:c>
      <x:c r="B744" s="115" t="str">
        <x:v>EXT-MONDE-T015</x:v>
      </x:c>
      <x:c r="C744" s="115" t="str">
        <x:v>Ports</x:v>
      </x:c>
      <x:c r="D744" s="115" t="str">
        <x:v>Terminal conteneurs</x:v>
      </x:c>
      <x:c r="E744" s="115" t="n">
        <x:v>39</x:v>
      </x:c>
      <x:c r="F744" s="115" t="str">
        <x:v>Inspection physique</x:v>
      </x:c>
      <x:c r="G744" s="115" t="str">
        <x:v>1 niveaux ; 32 pièces ; 248 segments de mur ; 0 transitions. Inspection physique ; architecture complète encore ouverte.</x:v>
      </x:c>
      <x:c r="H744" s="115" t="str">
        <x:v>L 466 ; l 600 ; hauteur 36 m ; choix de composition auteur ; dimensions réelles à documenter</x:v>
      </x:c>
      <x:c r="I744" s="115" t="str">
        <x:v>À équilibrer</x:v>
      </x:c>
      <x:c r="J744" s="115" t="str">
        <x:v>Non</x:v>
      </x:c>
      <x:c r="K744" s="115" t="str">
        <x:v>Pièces décrites, murs, portes, niveaux et mobilier inspectables à l’échelle. Volumes réservés, raccord au seed, butin, rencontres et services de campagne restent à terminer.</x:v>
      </x:c>
    </x:row>
    <x:row r="745" ht="96" customHeight="1">
      <x:c r="A745" s="115" t="str">
        <x:v>EXT-MONDE-T015-V40</x:v>
      </x:c>
      <x:c r="B745" s="115" t="str">
        <x:v>EXT-MONDE-T015</x:v>
      </x:c>
      <x:c r="C745" s="115" t="str">
        <x:v>Ports</x:v>
      </x:c>
      <x:c r="D745" s="115" t="str">
        <x:v>Terminal conteneurs</x:v>
      </x:c>
      <x:c r="E745" s="115" t="n">
        <x:v>40</x:v>
      </x:c>
      <x:c r="F745" s="115" t="str">
        <x:v>Inspection physique</x:v>
      </x:c>
      <x:c r="G745" s="115" t="str">
        <x:v>1 niveaux ; 32 pièces ; 248 segments de mur ; 0 transitions. Inspection physique ; architecture complète encore ouverte.</x:v>
      </x:c>
      <x:c r="H745" s="115" t="str">
        <x:v>L 466 ; l 600 ; hauteur 36 m ; choix de composition auteur ; dimensions réelles à documenter</x:v>
      </x:c>
      <x:c r="I745" s="115" t="str">
        <x:v>À équilibrer</x:v>
      </x:c>
      <x:c r="J745" s="115" t="str">
        <x:v>Non</x:v>
      </x:c>
      <x:c r="K745" s="115" t="str">
        <x:v>Pièces décrites, murs, portes, niveaux et mobilier inspectables à l’échelle. Volumes réservés, raccord au seed, butin, rencontres et services de campagne restent à terminer.</x:v>
      </x:c>
    </x:row>
    <x:row r="746" ht="96" customHeight="1">
      <x:c r="A746" s="115" t="str">
        <x:v>EXT-MONDE-T015-V41</x:v>
      </x:c>
      <x:c r="B746" s="115" t="str">
        <x:v>EXT-MONDE-T015</x:v>
      </x:c>
      <x:c r="C746" s="115" t="str">
        <x:v>Ports</x:v>
      </x:c>
      <x:c r="D746" s="115" t="str">
        <x:v>Terminal conteneurs</x:v>
      </x:c>
      <x:c r="E746" s="115" t="n">
        <x:v>41</x:v>
      </x:c>
      <x:c r="F746" s="115" t="str">
        <x:v>Inspection physique</x:v>
      </x:c>
      <x:c r="G746" s="115" t="str">
        <x:v>1 niveaux ; 32 pièces ; 248 segments de mur ; 0 transitions. Inspection physique ; architecture complète encore ouverte.</x:v>
      </x:c>
      <x:c r="H746" s="115" t="str">
        <x:v>L 480 ; l 612 ; hauteur 36 m ; choix de composition auteur ; dimensions réelles à documenter</x:v>
      </x:c>
      <x:c r="I746" s="115" t="str">
        <x:v>À équilibrer</x:v>
      </x:c>
      <x:c r="J746" s="115" t="str">
        <x:v>Non</x:v>
      </x:c>
      <x:c r="K746" s="115" t="str">
        <x:v>Pièces décrites, murs, portes, niveaux et mobilier inspectables à l’échelle. Volumes réservés, raccord au seed, butin, rencontres et services de campagne restent à terminer.</x:v>
      </x:c>
    </x:row>
    <x:row r="747" ht="96" customHeight="1">
      <x:c r="A747" s="115" t="str">
        <x:v>EXT-MONDE-T015-V42</x:v>
      </x:c>
      <x:c r="B747" s="115" t="str">
        <x:v>EXT-MONDE-T015</x:v>
      </x:c>
      <x:c r="C747" s="115" t="str">
        <x:v>Ports</x:v>
      </x:c>
      <x:c r="D747" s="115" t="str">
        <x:v>Terminal conteneurs</x:v>
      </x:c>
      <x:c r="E747" s="115" t="n">
        <x:v>42</x:v>
      </x:c>
      <x:c r="F747" s="115" t="str">
        <x:v>Inspection physique</x:v>
      </x:c>
      <x:c r="G747" s="115" t="str">
        <x:v>1 niveaux ; 32 pièces ; 248 segments de mur ; 0 transitions. Inspection physique ; architecture complète encore ouverte.</x:v>
      </x:c>
      <x:c r="H747" s="115" t="str">
        <x:v>L 480 ; l 612 ; hauteur 36 m ; choix de composition auteur ; dimensions réelles à documenter</x:v>
      </x:c>
      <x:c r="I747" s="115" t="str">
        <x:v>À équilibrer</x:v>
      </x:c>
      <x:c r="J747" s="115" t="str">
        <x:v>Non</x:v>
      </x:c>
      <x:c r="K747" s="115" t="str">
        <x:v>Pièces décrites, murs, portes, niveaux et mobilier inspectables à l’échelle. Volumes réservés, raccord au seed, butin, rencontres et services de campagne restent à terminer.</x:v>
      </x:c>
    </x:row>
    <x:row r="748" ht="96" customHeight="1">
      <x:c r="A748" s="115" t="str">
        <x:v>EXT-MONDE-T015-V43</x:v>
      </x:c>
      <x:c r="B748" s="115" t="str">
        <x:v>EXT-MONDE-T015</x:v>
      </x:c>
      <x:c r="C748" s="115" t="str">
        <x:v>Ports</x:v>
      </x:c>
      <x:c r="D748" s="115" t="str">
        <x:v>Terminal conteneurs</x:v>
      </x:c>
      <x:c r="E748" s="115" t="n">
        <x:v>43</x:v>
      </x:c>
      <x:c r="F748" s="115" t="str">
        <x:v>Inspection physique</x:v>
      </x:c>
      <x:c r="G748" s="115" t="str">
        <x:v>1 niveaux ; 32 pièces ; 248 segments de mur ; 0 transitions. Inspection physique ; architecture complète encore ouverte.</x:v>
      </x:c>
      <x:c r="H748" s="115" t="str">
        <x:v>L 480 ; l 612 ; hauteur 36 m ; choix de composition auteur ; dimensions réelles à documenter</x:v>
      </x:c>
      <x:c r="I748" s="115" t="str">
        <x:v>À équilibrer</x:v>
      </x:c>
      <x:c r="J748" s="115" t="str">
        <x:v>Non</x:v>
      </x:c>
      <x:c r="K748" s="115" t="str">
        <x:v>Pièces décrites, murs, portes, niveaux et mobilier inspectables à l’échelle. Volumes réservés, raccord au seed, butin, rencontres et services de campagne restent à terminer.</x:v>
      </x:c>
    </x:row>
    <x:row r="749" ht="96" customHeight="1">
      <x:c r="A749" s="115" t="str">
        <x:v>EXT-MONDE-T015-V44</x:v>
      </x:c>
      <x:c r="B749" s="115" t="str">
        <x:v>EXT-MONDE-T015</x:v>
      </x:c>
      <x:c r="C749" s="115" t="str">
        <x:v>Ports</x:v>
      </x:c>
      <x:c r="D749" s="115" t="str">
        <x:v>Terminal conteneurs</x:v>
      </x:c>
      <x:c r="E749" s="115" t="n">
        <x:v>44</x:v>
      </x:c>
      <x:c r="F749" s="115" t="str">
        <x:v>Inspection physique</x:v>
      </x:c>
      <x:c r="G749" s="115" t="str">
        <x:v>1 niveaux ; 32 pièces ; 248 segments de mur ; 0 transitions. Inspection physique ; architecture complète encore ouverte.</x:v>
      </x:c>
      <x:c r="H749" s="115" t="str">
        <x:v>L 480 ; l 612 ; hauteur 36 m ; choix de composition auteur ; dimensions réelles à documenter</x:v>
      </x:c>
      <x:c r="I749" s="115" t="str">
        <x:v>À équilibrer</x:v>
      </x:c>
      <x:c r="J749" s="115" t="str">
        <x:v>Non</x:v>
      </x:c>
      <x:c r="K749" s="115" t="str">
        <x:v>Pièces décrites, murs, portes, niveaux et mobilier inspectables à l’échelle. Volumes réservés, raccord au seed, butin, rencontres et services de campagne restent à terminer.</x:v>
      </x:c>
    </x:row>
    <x:row r="750" ht="96" customHeight="1">
      <x:c r="A750" s="115" t="str">
        <x:v>EXT-MONDE-T015-V45</x:v>
      </x:c>
      <x:c r="B750" s="115" t="str">
        <x:v>EXT-MONDE-T015</x:v>
      </x:c>
      <x:c r="C750" s="115" t="str">
        <x:v>Ports</x:v>
      </x:c>
      <x:c r="D750" s="115" t="str">
        <x:v>Terminal conteneurs</x:v>
      </x:c>
      <x:c r="E750" s="115" t="n">
        <x:v>45</x:v>
      </x:c>
      <x:c r="F750" s="115" t="str">
        <x:v>Inspection physique</x:v>
      </x:c>
      <x:c r="G750" s="115" t="str">
        <x:v>1 niveaux ; 32 pièces ; 248 segments de mur ; 0 transitions. Inspection physique ; architecture complète encore ouverte.</x:v>
      </x:c>
      <x:c r="H750" s="115" t="str">
        <x:v>L 480 ; l 612 ; hauteur 36 m ; choix de composition auteur ; dimensions réelles à documenter</x:v>
      </x:c>
      <x:c r="I750" s="115" t="str">
        <x:v>À équilibrer</x:v>
      </x:c>
      <x:c r="J750" s="115" t="str">
        <x:v>Non</x:v>
      </x:c>
      <x:c r="K750" s="115" t="str">
        <x:v>Pièces décrites, murs, portes, niveaux et mobilier inspectables à l’échelle. Volumes réservés, raccord au seed, butin, rencontres et services de campagne restent à terminer.</x:v>
      </x:c>
    </x:row>
    <x:row r="751" ht="96" customHeight="1">
      <x:c r="A751" s="115" t="str">
        <x:v>EXT-MONDE-T015-V46</x:v>
      </x:c>
      <x:c r="B751" s="115" t="str">
        <x:v>EXT-MONDE-T015</x:v>
      </x:c>
      <x:c r="C751" s="115" t="str">
        <x:v>Ports</x:v>
      </x:c>
      <x:c r="D751" s="115" t="str">
        <x:v>Terminal conteneurs</x:v>
      </x:c>
      <x:c r="E751" s="115" t="n">
        <x:v>46</x:v>
      </x:c>
      <x:c r="F751" s="115" t="str">
        <x:v>Inspection physique</x:v>
      </x:c>
      <x:c r="G751" s="115" t="str">
        <x:v>1 niveaux ; 32 pièces ; 248 segments de mur ; 0 transitions. Inspection physique ; architecture complète encore ouverte.</x:v>
      </x:c>
      <x:c r="H751" s="115" t="str">
        <x:v>L 480 ; l 612 ; hauteur 36 m ; choix de composition auteur ; dimensions réelles à documenter</x:v>
      </x:c>
      <x:c r="I751" s="115" t="str">
        <x:v>À équilibrer</x:v>
      </x:c>
      <x:c r="J751" s="115" t="str">
        <x:v>Non</x:v>
      </x:c>
      <x:c r="K751" s="115" t="str">
        <x:v>Pièces décrites, murs, portes, niveaux et mobilier inspectables à l’échelle. Volumes réservés, raccord au seed, butin, rencontres et services de campagne restent à terminer.</x:v>
      </x:c>
    </x:row>
    <x:row r="752" ht="96" customHeight="1">
      <x:c r="A752" s="115" t="str">
        <x:v>EXT-MONDE-T015-V47</x:v>
      </x:c>
      <x:c r="B752" s="115" t="str">
        <x:v>EXT-MONDE-T015</x:v>
      </x:c>
      <x:c r="C752" s="115" t="str">
        <x:v>Ports</x:v>
      </x:c>
      <x:c r="D752" s="115" t="str">
        <x:v>Terminal conteneurs</x:v>
      </x:c>
      <x:c r="E752" s="115" t="n">
        <x:v>47</x:v>
      </x:c>
      <x:c r="F752" s="115" t="str">
        <x:v>Inspection physique</x:v>
      </x:c>
      <x:c r="G752" s="115" t="str">
        <x:v>1 niveaux ; 32 pièces ; 248 segments de mur ; 0 transitions. Inspection physique ; architecture complète encore ouverte.</x:v>
      </x:c>
      <x:c r="H752" s="115" t="str">
        <x:v>L 480 ; l 612 ; hauteur 36 m ; choix de composition auteur ; dimensions réelles à documenter</x:v>
      </x:c>
      <x:c r="I752" s="115" t="str">
        <x:v>À équilibrer</x:v>
      </x:c>
      <x:c r="J752" s="115" t="str">
        <x:v>Non</x:v>
      </x:c>
      <x:c r="K752" s="115" t="str">
        <x:v>Pièces décrites, murs, portes, niveaux et mobilier inspectables à l’échelle. Volumes réservés, raccord au seed, butin, rencontres et services de campagne restent à terminer.</x:v>
      </x:c>
    </x:row>
    <x:row r="753" ht="96" customHeight="1">
      <x:c r="A753" s="115" t="str">
        <x:v>EXT-MONDE-T015-V48</x:v>
      </x:c>
      <x:c r="B753" s="115" t="str">
        <x:v>EXT-MONDE-T015</x:v>
      </x:c>
      <x:c r="C753" s="115" t="str">
        <x:v>Ports</x:v>
      </x:c>
      <x:c r="D753" s="115" t="str">
        <x:v>Terminal conteneurs</x:v>
      </x:c>
      <x:c r="E753" s="115" t="n">
        <x:v>48</x:v>
      </x:c>
      <x:c r="F753" s="115" t="str">
        <x:v>Inspection physique</x:v>
      </x:c>
      <x:c r="G753" s="115" t="str">
        <x:v>1 niveaux ; 32 pièces ; 248 segments de mur ; 0 transitions. Inspection physique ; architecture complète encore ouverte.</x:v>
      </x:c>
      <x:c r="H753" s="115" t="str">
        <x:v>L 480 ; l 612 ; hauteur 36 m ; choix de composition auteur ; dimensions réelles à documenter</x:v>
      </x:c>
      <x:c r="I753" s="115" t="str">
        <x:v>À équilibrer</x:v>
      </x:c>
      <x:c r="J753" s="115" t="str">
        <x:v>Non</x:v>
      </x:c>
      <x:c r="K753" s="115" t="str">
        <x:v>Pièces décrites, murs, portes, niveaux et mobilier inspectables à l’échelle. Volumes réservés, raccord au seed, butin, rencontres et services de campagne restent à terminer.</x:v>
      </x:c>
    </x:row>
    <x:row r="754" ht="96" customHeight="1">
      <x:c r="A754" s="115" t="str">
        <x:v>EXT-MONDE-T015-V49</x:v>
      </x:c>
      <x:c r="B754" s="115" t="str">
        <x:v>EXT-MONDE-T015</x:v>
      </x:c>
      <x:c r="C754" s="115" t="str">
        <x:v>Ports</x:v>
      </x:c>
      <x:c r="D754" s="115" t="str">
        <x:v>Terminal conteneurs</x:v>
      </x:c>
      <x:c r="E754" s="115" t="n">
        <x:v>49</x:v>
      </x:c>
      <x:c r="F754" s="115" t="str">
        <x:v>Inspection physique</x:v>
      </x:c>
      <x:c r="G754" s="115" t="str">
        <x:v>1 niveaux ; 32 pièces ; 248 segments de mur ; 0 transitions. Inspection physique ; architecture complète encore ouverte.</x:v>
      </x:c>
      <x:c r="H754" s="115" t="str">
        <x:v>L 480 ; l 612 ; hauteur 36 m ; choix de composition auteur ; dimensions réelles à documenter</x:v>
      </x:c>
      <x:c r="I754" s="115" t="str">
        <x:v>À équilibrer</x:v>
      </x:c>
      <x:c r="J754" s="115" t="str">
        <x:v>Non</x:v>
      </x:c>
      <x:c r="K754" s="115" t="str">
        <x:v>Pièces décrites, murs, portes, niveaux et mobilier inspectables à l’échelle. Volumes réservés, raccord au seed, butin, rencontres et services de campagne restent à terminer.</x:v>
      </x:c>
    </x:row>
    <x:row r="755" ht="96" customHeight="1">
      <x:c r="A755" s="115" t="str">
        <x:v>EXT-MONDE-T015-V50</x:v>
      </x:c>
      <x:c r="B755" s="115" t="str">
        <x:v>EXT-MONDE-T015</x:v>
      </x:c>
      <x:c r="C755" s="115" t="str">
        <x:v>Ports</x:v>
      </x:c>
      <x:c r="D755" s="115" t="str">
        <x:v>Terminal conteneurs</x:v>
      </x:c>
      <x:c r="E755" s="115" t="n">
        <x:v>50</x:v>
      </x:c>
      <x:c r="F755" s="115" t="str">
        <x:v>Inspection physique</x:v>
      </x:c>
      <x:c r="G755" s="115" t="str">
        <x:v>1 niveaux ; 32 pièces ; 248 segments de mur ; 0 transitions. Inspection physique ; architecture complète encore ouverte.</x:v>
      </x:c>
      <x:c r="H755" s="115" t="str">
        <x:v>L 480 ; l 612 ; hauteur 36 m ; choix de composition auteur ; dimensions réelles à documenter</x:v>
      </x:c>
      <x:c r="I755" s="115" t="str">
        <x:v>À équilibrer</x:v>
      </x:c>
      <x:c r="J755" s="115" t="str">
        <x:v>Non</x:v>
      </x:c>
      <x:c r="K755" s="115" t="str">
        <x:v>Pièces décrites, murs, portes, niveaux et mobilier inspectables à l’échelle. Volumes réservés, raccord au seed, butin, rencontres et services de campagne restent à terminer.</x:v>
      </x:c>
    </x:row>
    <x:row r="756" ht="96" customHeight="1">
      <x:c r="A756" s="115" t="str">
        <x:v>EXT-MONDE-T016-V01</x:v>
      </x:c>
      <x:c r="B756" s="115" t="str">
        <x:v>EXT-MONDE-T016</x:v>
      </x:c>
      <x:c r="C756" s="115" t="str">
        <x:v>Ports</x:v>
      </x:c>
      <x:c r="D756" s="115" t="str">
        <x:v>Terminal ferry</x:v>
      </x:c>
      <x:c r="E756" s="115" t="n">
        <x:v>1</x:v>
      </x:c>
      <x:c r="F756" s="115" t="str">
        <x:v>Inspection physique</x:v>
      </x:c>
      <x:c r="G756" s="115" t="str">
        <x:v>1 niveaux ; 32 pièces ; 248 segments de mur ; 0 transitions. Inspection physique ; architecture complète encore ouverte.</x:v>
      </x:c>
      <x:c r="H756" s="115" t="str">
        <x:v>L 364 ; l 484 ; hauteur 5 m ; choix de composition auteur ; dimensions réelles à documenter</x:v>
      </x:c>
      <x:c r="I756" s="115" t="str">
        <x:v>À équilibrer</x:v>
      </x:c>
      <x:c r="J756" s="115" t="str">
        <x:v>Non</x:v>
      </x:c>
      <x:c r="K756" s="115" t="str">
        <x:v>Pièces décrites, murs, portes, niveaux et mobilier inspectables à l’échelle. Volumes réservés, raccord au seed, butin, rencontres et services de campagne restent à terminer.</x:v>
      </x:c>
    </x:row>
    <x:row r="757" ht="96" customHeight="1">
      <x:c r="A757" s="115" t="str">
        <x:v>EXT-MONDE-T016-V02</x:v>
      </x:c>
      <x:c r="B757" s="115" t="str">
        <x:v>EXT-MONDE-T016</x:v>
      </x:c>
      <x:c r="C757" s="115" t="str">
        <x:v>Ports</x:v>
      </x:c>
      <x:c r="D757" s="115" t="str">
        <x:v>Terminal ferry</x:v>
      </x:c>
      <x:c r="E757" s="115" t="n">
        <x:v>2</x:v>
      </x:c>
      <x:c r="F757" s="115" t="str">
        <x:v>Inspection physique</x:v>
      </x:c>
      <x:c r="G757" s="115" t="str">
        <x:v>1 niveaux ; 32 pièces ; 248 segments de mur ; 0 transitions. Inspection physique ; architecture complète encore ouverte.</x:v>
      </x:c>
      <x:c r="H757" s="115" t="str">
        <x:v>L 364 ; l 484 ; hauteur 5 m ; choix de composition auteur ; dimensions réelles à documenter</x:v>
      </x:c>
      <x:c r="I757" s="115" t="str">
        <x:v>À équilibrer</x:v>
      </x:c>
      <x:c r="J757" s="115" t="str">
        <x:v>Non</x:v>
      </x:c>
      <x:c r="K757" s="115" t="str">
        <x:v>Pièces décrites, murs, portes, niveaux et mobilier inspectables à l’échelle. Volumes réservés, raccord au seed, butin, rencontres et services de campagne restent à terminer.</x:v>
      </x:c>
    </x:row>
    <x:row r="758" ht="96" customHeight="1">
      <x:c r="A758" s="115" t="str">
        <x:v>EXT-MONDE-T016-V03</x:v>
      </x:c>
      <x:c r="B758" s="115" t="str">
        <x:v>EXT-MONDE-T016</x:v>
      </x:c>
      <x:c r="C758" s="115" t="str">
        <x:v>Ports</x:v>
      </x:c>
      <x:c r="D758" s="115" t="str">
        <x:v>Terminal ferry</x:v>
      </x:c>
      <x:c r="E758" s="115" t="n">
        <x:v>3</x:v>
      </x:c>
      <x:c r="F758" s="115" t="str">
        <x:v>Inspection physique</x:v>
      </x:c>
      <x:c r="G758" s="115" t="str">
        <x:v>1 niveaux ; 32 pièces ; 248 segments de mur ; 0 transitions. Inspection physique ; architecture complète encore ouverte.</x:v>
      </x:c>
      <x:c r="H758" s="115" t="str">
        <x:v>L 364 ; l 484 ; hauteur 5 m ; choix de composition auteur ; dimensions réelles à documenter</x:v>
      </x:c>
      <x:c r="I758" s="115" t="str">
        <x:v>À équilibrer</x:v>
      </x:c>
      <x:c r="J758" s="115" t="str">
        <x:v>Non</x:v>
      </x:c>
      <x:c r="K758" s="115" t="str">
        <x:v>Pièces décrites, murs, portes, niveaux et mobilier inspectables à l’échelle. Volumes réservés, raccord au seed, butin, rencontres et services de campagne restent à terminer.</x:v>
      </x:c>
    </x:row>
    <x:row r="759" ht="96" customHeight="1">
      <x:c r="A759" s="115" t="str">
        <x:v>EXT-MONDE-T016-V04</x:v>
      </x:c>
      <x:c r="B759" s="115" t="str">
        <x:v>EXT-MONDE-T016</x:v>
      </x:c>
      <x:c r="C759" s="115" t="str">
        <x:v>Ports</x:v>
      </x:c>
      <x:c r="D759" s="115" t="str">
        <x:v>Terminal ferry</x:v>
      </x:c>
      <x:c r="E759" s="115" t="n">
        <x:v>4</x:v>
      </x:c>
      <x:c r="F759" s="115" t="str">
        <x:v>Inspection physique</x:v>
      </x:c>
      <x:c r="G759" s="115" t="str">
        <x:v>1 niveaux ; 32 pièces ; 248 segments de mur ; 0 transitions. Inspection physique ; architecture complète encore ouverte.</x:v>
      </x:c>
      <x:c r="H759" s="115" t="str">
        <x:v>L 364 ; l 484 ; hauteur 5 m ; choix de composition auteur ; dimensions réelles à documenter</x:v>
      </x:c>
      <x:c r="I759" s="115" t="str">
        <x:v>À équilibrer</x:v>
      </x:c>
      <x:c r="J759" s="115" t="str">
        <x:v>Non</x:v>
      </x:c>
      <x:c r="K759" s="115" t="str">
        <x:v>Pièces décrites, murs, portes, niveaux et mobilier inspectables à l’échelle. Volumes réservés, raccord au seed, butin, rencontres et services de campagne restent à terminer.</x:v>
      </x:c>
    </x:row>
    <x:row r="760" ht="96" customHeight="1">
      <x:c r="A760" s="115" t="str">
        <x:v>EXT-MONDE-T016-V05</x:v>
      </x:c>
      <x:c r="B760" s="115" t="str">
        <x:v>EXT-MONDE-T016</x:v>
      </x:c>
      <x:c r="C760" s="115" t="str">
        <x:v>Ports</x:v>
      </x:c>
      <x:c r="D760" s="115" t="str">
        <x:v>Terminal ferry</x:v>
      </x:c>
      <x:c r="E760" s="115" t="n">
        <x:v>5</x:v>
      </x:c>
      <x:c r="F760" s="115" t="str">
        <x:v>Inspection physique</x:v>
      </x:c>
      <x:c r="G760" s="115" t="str">
        <x:v>1 niveaux ; 32 pièces ; 248 segments de mur ; 0 transitions. Inspection physique ; architecture complète encore ouverte.</x:v>
      </x:c>
      <x:c r="H760" s="115" t="str">
        <x:v>L 364 ; l 484 ; hauteur 5 m ; choix de composition auteur ; dimensions réelles à documenter</x:v>
      </x:c>
      <x:c r="I760" s="115" t="str">
        <x:v>À équilibrer</x:v>
      </x:c>
      <x:c r="J760" s="115" t="str">
        <x:v>Non</x:v>
      </x:c>
      <x:c r="K760" s="115" t="str">
        <x:v>Pièces décrites, murs, portes, niveaux et mobilier inspectables à l’échelle. Volumes réservés, raccord au seed, butin, rencontres et services de campagne restent à terminer.</x:v>
      </x:c>
    </x:row>
    <x:row r="761" ht="96" customHeight="1">
      <x:c r="A761" s="115" t="str">
        <x:v>EXT-MONDE-T016-V06</x:v>
      </x:c>
      <x:c r="B761" s="115" t="str">
        <x:v>EXT-MONDE-T016</x:v>
      </x:c>
      <x:c r="C761" s="115" t="str">
        <x:v>Ports</x:v>
      </x:c>
      <x:c r="D761" s="115" t="str">
        <x:v>Terminal ferry</x:v>
      </x:c>
      <x:c r="E761" s="115" t="n">
        <x:v>6</x:v>
      </x:c>
      <x:c r="F761" s="115" t="str">
        <x:v>Inspection physique</x:v>
      </x:c>
      <x:c r="G761" s="115" t="str">
        <x:v>1 niveaux ; 32 pièces ; 248 segments de mur ; 0 transitions. Inspection physique ; architecture complète encore ouverte.</x:v>
      </x:c>
      <x:c r="H761" s="115" t="str">
        <x:v>L 364 ; l 484 ; hauteur 5 m ; choix de composition auteur ; dimensions réelles à documenter</x:v>
      </x:c>
      <x:c r="I761" s="115" t="str">
        <x:v>À équilibrer</x:v>
      </x:c>
      <x:c r="J761" s="115" t="str">
        <x:v>Non</x:v>
      </x:c>
      <x:c r="K761" s="115" t="str">
        <x:v>Pièces décrites, murs, portes, niveaux et mobilier inspectables à l’échelle. Volumes réservés, raccord au seed, butin, rencontres et services de campagne restent à terminer.</x:v>
      </x:c>
    </x:row>
    <x:row r="762" ht="96" customHeight="1">
      <x:c r="A762" s="115" t="str">
        <x:v>EXT-MONDE-T016-V07</x:v>
      </x:c>
      <x:c r="B762" s="115" t="str">
        <x:v>EXT-MONDE-T016</x:v>
      </x:c>
      <x:c r="C762" s="115" t="str">
        <x:v>Ports</x:v>
      </x:c>
      <x:c r="D762" s="115" t="str">
        <x:v>Terminal ferry</x:v>
      </x:c>
      <x:c r="E762" s="115" t="n">
        <x:v>7</x:v>
      </x:c>
      <x:c r="F762" s="115" t="str">
        <x:v>Inspection physique</x:v>
      </x:c>
      <x:c r="G762" s="115" t="str">
        <x:v>1 niveaux ; 32 pièces ; 248 segments de mur ; 0 transitions. Inspection physique ; architecture complète encore ouverte.</x:v>
      </x:c>
      <x:c r="H762" s="115" t="str">
        <x:v>L 364 ; l 484 ; hauteur 5 m ; choix de composition auteur ; dimensions réelles à documenter</x:v>
      </x:c>
      <x:c r="I762" s="115" t="str">
        <x:v>À équilibrer</x:v>
      </x:c>
      <x:c r="J762" s="115" t="str">
        <x:v>Non</x:v>
      </x:c>
      <x:c r="K762" s="115" t="str">
        <x:v>Pièces décrites, murs, portes, niveaux et mobilier inspectables à l’échelle. Volumes réservés, raccord au seed, butin, rencontres et services de campagne restent à terminer.</x:v>
      </x:c>
    </x:row>
    <x:row r="763" ht="96" customHeight="1">
      <x:c r="A763" s="115" t="str">
        <x:v>EXT-MONDE-T016-V08</x:v>
      </x:c>
      <x:c r="B763" s="115" t="str">
        <x:v>EXT-MONDE-T016</x:v>
      </x:c>
      <x:c r="C763" s="115" t="str">
        <x:v>Ports</x:v>
      </x:c>
      <x:c r="D763" s="115" t="str">
        <x:v>Terminal ferry</x:v>
      </x:c>
      <x:c r="E763" s="115" t="n">
        <x:v>8</x:v>
      </x:c>
      <x:c r="F763" s="115" t="str">
        <x:v>Inspection physique</x:v>
      </x:c>
      <x:c r="G763" s="115" t="str">
        <x:v>1 niveaux ; 32 pièces ; 248 segments de mur ; 0 transitions. Inspection physique ; architecture complète encore ouverte.</x:v>
      </x:c>
      <x:c r="H763" s="115" t="str">
        <x:v>L 364 ; l 484 ; hauteur 5 m ; choix de composition auteur ; dimensions réelles à documenter</x:v>
      </x:c>
      <x:c r="I763" s="115" t="str">
        <x:v>À équilibrer</x:v>
      </x:c>
      <x:c r="J763" s="115" t="str">
        <x:v>Non</x:v>
      </x:c>
      <x:c r="K763" s="115" t="str">
        <x:v>Pièces décrites, murs, portes, niveaux et mobilier inspectables à l’échelle. Volumes réservés, raccord au seed, butin, rencontres et services de campagne restent à terminer.</x:v>
      </x:c>
    </x:row>
    <x:row r="764" ht="96" customHeight="1">
      <x:c r="A764" s="115" t="str">
        <x:v>EXT-MONDE-T016-V09</x:v>
      </x:c>
      <x:c r="B764" s="115" t="str">
        <x:v>EXT-MONDE-T016</x:v>
      </x:c>
      <x:c r="C764" s="115" t="str">
        <x:v>Ports</x:v>
      </x:c>
      <x:c r="D764" s="115" t="str">
        <x:v>Terminal ferry</x:v>
      </x:c>
      <x:c r="E764" s="115" t="n">
        <x:v>9</x:v>
      </x:c>
      <x:c r="F764" s="115" t="str">
        <x:v>Inspection physique</x:v>
      </x:c>
      <x:c r="G764" s="115" t="str">
        <x:v>1 niveaux ; 32 pièces ; 248 segments de mur ; 0 transitions. Inspection physique ; architecture complète encore ouverte.</x:v>
      </x:c>
      <x:c r="H764" s="115" t="str">
        <x:v>L 364 ; l 484 ; hauteur 5 m ; choix de composition auteur ; dimensions réelles à documenter</x:v>
      </x:c>
      <x:c r="I764" s="115" t="str">
        <x:v>À équilibrer</x:v>
      </x:c>
      <x:c r="J764" s="115" t="str">
        <x:v>Non</x:v>
      </x:c>
      <x:c r="K764" s="115" t="str">
        <x:v>Pièces décrites, murs, portes, niveaux et mobilier inspectables à l’échelle. Volumes réservés, raccord au seed, butin, rencontres et services de campagne restent à terminer.</x:v>
      </x:c>
    </x:row>
    <x:row r="765" ht="96" customHeight="1">
      <x:c r="A765" s="115" t="str">
        <x:v>EXT-MONDE-T016-V10</x:v>
      </x:c>
      <x:c r="B765" s="115" t="str">
        <x:v>EXT-MONDE-T016</x:v>
      </x:c>
      <x:c r="C765" s="115" t="str">
        <x:v>Ports</x:v>
      </x:c>
      <x:c r="D765" s="115" t="str">
        <x:v>Terminal ferry</x:v>
      </x:c>
      <x:c r="E765" s="115" t="n">
        <x:v>10</x:v>
      </x:c>
      <x:c r="F765" s="115" t="str">
        <x:v>Inspection physique</x:v>
      </x:c>
      <x:c r="G765" s="115" t="str">
        <x:v>1 niveaux ; 32 pièces ; 248 segments de mur ; 0 transitions. Inspection physique ; architecture complète encore ouverte.</x:v>
      </x:c>
      <x:c r="H765" s="115" t="str">
        <x:v>L 364 ; l 484 ; hauteur 5 m ; choix de composition auteur ; dimensions réelles à documenter</x:v>
      </x:c>
      <x:c r="I765" s="115" t="str">
        <x:v>À équilibrer</x:v>
      </x:c>
      <x:c r="J765" s="115" t="str">
        <x:v>Non</x:v>
      </x:c>
      <x:c r="K765" s="115" t="str">
        <x:v>Pièces décrites, murs, portes, niveaux et mobilier inspectables à l’échelle. Volumes réservés, raccord au seed, butin, rencontres et services de campagne restent à terminer.</x:v>
      </x:c>
    </x:row>
    <x:row r="766" ht="96" customHeight="1">
      <x:c r="A766" s="115" t="str">
        <x:v>EXT-MONDE-T016-V11</x:v>
      </x:c>
      <x:c r="B766" s="115" t="str">
        <x:v>EXT-MONDE-T016</x:v>
      </x:c>
      <x:c r="C766" s="115" t="str">
        <x:v>Ports</x:v>
      </x:c>
      <x:c r="D766" s="115" t="str">
        <x:v>Terminal ferry</x:v>
      </x:c>
      <x:c r="E766" s="115" t="n">
        <x:v>11</x:v>
      </x:c>
      <x:c r="F766" s="115" t="str">
        <x:v>Inspection physique</x:v>
      </x:c>
      <x:c r="G766" s="115" t="str">
        <x:v>1 niveaux ; 32 pièces ; 248 segments de mur ; 0 transitions. Inspection physique ; architecture complète encore ouverte.</x:v>
      </x:c>
      <x:c r="H766" s="115" t="str">
        <x:v>L 378 ; l 496 ; hauteur 5 m ; choix de composition auteur ; dimensions réelles à documenter</x:v>
      </x:c>
      <x:c r="I766" s="115" t="str">
        <x:v>À équilibrer</x:v>
      </x:c>
      <x:c r="J766" s="115" t="str">
        <x:v>Non</x:v>
      </x:c>
      <x:c r="K766" s="115" t="str">
        <x:v>Pièces décrites, murs, portes, niveaux et mobilier inspectables à l’échelle. Volumes réservés, raccord au seed, butin, rencontres et services de campagne restent à terminer.</x:v>
      </x:c>
    </x:row>
    <x:row r="767" ht="96" customHeight="1">
      <x:c r="A767" s="115" t="str">
        <x:v>EXT-MONDE-T016-V12</x:v>
      </x:c>
      <x:c r="B767" s="115" t="str">
        <x:v>EXT-MONDE-T016</x:v>
      </x:c>
      <x:c r="C767" s="115" t="str">
        <x:v>Ports</x:v>
      </x:c>
      <x:c r="D767" s="115" t="str">
        <x:v>Terminal ferry</x:v>
      </x:c>
      <x:c r="E767" s="115" t="n">
        <x:v>12</x:v>
      </x:c>
      <x:c r="F767" s="115" t="str">
        <x:v>Inspection physique</x:v>
      </x:c>
      <x:c r="G767" s="115" t="str">
        <x:v>1 niveaux ; 32 pièces ; 248 segments de mur ; 0 transitions. Inspection physique ; architecture complète encore ouverte.</x:v>
      </x:c>
      <x:c r="H767" s="115" t="str">
        <x:v>L 378 ; l 496 ; hauteur 5 m ; choix de composition auteur ; dimensions réelles à documenter</x:v>
      </x:c>
      <x:c r="I767" s="115" t="str">
        <x:v>À équilibrer</x:v>
      </x:c>
      <x:c r="J767" s="115" t="str">
        <x:v>Non</x:v>
      </x:c>
      <x:c r="K767" s="115" t="str">
        <x:v>Pièces décrites, murs, portes, niveaux et mobilier inspectables à l’échelle. Volumes réservés, raccord au seed, butin, rencontres et services de campagne restent à terminer.</x:v>
      </x:c>
    </x:row>
    <x:row r="768" ht="96" customHeight="1">
      <x:c r="A768" s="115" t="str">
        <x:v>EXT-MONDE-T016-V13</x:v>
      </x:c>
      <x:c r="B768" s="115" t="str">
        <x:v>EXT-MONDE-T016</x:v>
      </x:c>
      <x:c r="C768" s="115" t="str">
        <x:v>Ports</x:v>
      </x:c>
      <x:c r="D768" s="115" t="str">
        <x:v>Terminal ferry</x:v>
      </x:c>
      <x:c r="E768" s="115" t="n">
        <x:v>13</x:v>
      </x:c>
      <x:c r="F768" s="115" t="str">
        <x:v>Inspection physique</x:v>
      </x:c>
      <x:c r="G768" s="115" t="str">
        <x:v>1 niveaux ; 32 pièces ; 248 segments de mur ; 0 transitions. Inspection physique ; architecture complète encore ouverte.</x:v>
      </x:c>
      <x:c r="H768" s="115" t="str">
        <x:v>L 378 ; l 496 ; hauteur 5 m ; choix de composition auteur ; dimensions réelles à documenter</x:v>
      </x:c>
      <x:c r="I768" s="115" t="str">
        <x:v>À équilibrer</x:v>
      </x:c>
      <x:c r="J768" s="115" t="str">
        <x:v>Non</x:v>
      </x:c>
      <x:c r="K768" s="115" t="str">
        <x:v>Pièces décrites, murs, portes, niveaux et mobilier inspectables à l’échelle. Volumes réservés, raccord au seed, butin, rencontres et services de campagne restent à terminer.</x:v>
      </x:c>
    </x:row>
    <x:row r="769" ht="96" customHeight="1">
      <x:c r="A769" s="115" t="str">
        <x:v>EXT-MONDE-T016-V14</x:v>
      </x:c>
      <x:c r="B769" s="115" t="str">
        <x:v>EXT-MONDE-T016</x:v>
      </x:c>
      <x:c r="C769" s="115" t="str">
        <x:v>Ports</x:v>
      </x:c>
      <x:c r="D769" s="115" t="str">
        <x:v>Terminal ferry</x:v>
      </x:c>
      <x:c r="E769" s="115" t="n">
        <x:v>14</x:v>
      </x:c>
      <x:c r="F769" s="115" t="str">
        <x:v>Inspection physique</x:v>
      </x:c>
      <x:c r="G769" s="115" t="str">
        <x:v>1 niveaux ; 32 pièces ; 248 segments de mur ; 0 transitions. Inspection physique ; architecture complète encore ouverte.</x:v>
      </x:c>
      <x:c r="H769" s="115" t="str">
        <x:v>L 378 ; l 496 ; hauteur 5 m ; choix de composition auteur ; dimensions réelles à documenter</x:v>
      </x:c>
      <x:c r="I769" s="115" t="str">
        <x:v>À équilibrer</x:v>
      </x:c>
      <x:c r="J769" s="115" t="str">
        <x:v>Non</x:v>
      </x:c>
      <x:c r="K769" s="115" t="str">
        <x:v>Pièces décrites, murs, portes, niveaux et mobilier inspectables à l’échelle. Volumes réservés, raccord au seed, butin, rencontres et services de campagne restent à terminer.</x:v>
      </x:c>
    </x:row>
    <x:row r="770" ht="96" customHeight="1">
      <x:c r="A770" s="115" t="str">
        <x:v>EXT-MONDE-T016-V15</x:v>
      </x:c>
      <x:c r="B770" s="115" t="str">
        <x:v>EXT-MONDE-T016</x:v>
      </x:c>
      <x:c r="C770" s="115" t="str">
        <x:v>Ports</x:v>
      </x:c>
      <x:c r="D770" s="115" t="str">
        <x:v>Terminal ferry</x:v>
      </x:c>
      <x:c r="E770" s="115" t="n">
        <x:v>15</x:v>
      </x:c>
      <x:c r="F770" s="115" t="str">
        <x:v>Inspection physique</x:v>
      </x:c>
      <x:c r="G770" s="115" t="str">
        <x:v>1 niveaux ; 32 pièces ; 248 segments de mur ; 0 transitions. Inspection physique ; architecture complète encore ouverte.</x:v>
      </x:c>
      <x:c r="H770" s="115" t="str">
        <x:v>L 378 ; l 496 ; hauteur 5 m ; choix de composition auteur ; dimensions réelles à documenter</x:v>
      </x:c>
      <x:c r="I770" s="115" t="str">
        <x:v>À équilibrer</x:v>
      </x:c>
      <x:c r="J770" s="115" t="str">
        <x:v>Non</x:v>
      </x:c>
      <x:c r="K770" s="115" t="str">
        <x:v>Pièces décrites, murs, portes, niveaux et mobilier inspectables à l’échelle. Volumes réservés, raccord au seed, butin, rencontres et services de campagne restent à terminer.</x:v>
      </x:c>
    </x:row>
    <x:row r="771" ht="96" customHeight="1">
      <x:c r="A771" s="115" t="str">
        <x:v>EXT-MONDE-T016-V16</x:v>
      </x:c>
      <x:c r="B771" s="115" t="str">
        <x:v>EXT-MONDE-T016</x:v>
      </x:c>
      <x:c r="C771" s="115" t="str">
        <x:v>Ports</x:v>
      </x:c>
      <x:c r="D771" s="115" t="str">
        <x:v>Terminal ferry</x:v>
      </x:c>
      <x:c r="E771" s="115" t="n">
        <x:v>16</x:v>
      </x:c>
      <x:c r="F771" s="115" t="str">
        <x:v>Inspection physique</x:v>
      </x:c>
      <x:c r="G771" s="115" t="str">
        <x:v>1 niveaux ; 32 pièces ; 248 segments de mur ; 0 transitions. Inspection physique ; architecture complète encore ouverte.</x:v>
      </x:c>
      <x:c r="H771" s="115" t="str">
        <x:v>L 378 ; l 496 ; hauteur 5 m ; choix de composition auteur ; dimensions réelles à documenter</x:v>
      </x:c>
      <x:c r="I771" s="115" t="str">
        <x:v>À équilibrer</x:v>
      </x:c>
      <x:c r="J771" s="115" t="str">
        <x:v>Non</x:v>
      </x:c>
      <x:c r="K771" s="115" t="str">
        <x:v>Pièces décrites, murs, portes, niveaux et mobilier inspectables à l’échelle. Volumes réservés, raccord au seed, butin, rencontres et services de campagne restent à terminer.</x:v>
      </x:c>
    </x:row>
    <x:row r="772" ht="96" customHeight="1">
      <x:c r="A772" s="115" t="str">
        <x:v>EXT-MONDE-T016-V17</x:v>
      </x:c>
      <x:c r="B772" s="115" t="str">
        <x:v>EXT-MONDE-T016</x:v>
      </x:c>
      <x:c r="C772" s="115" t="str">
        <x:v>Ports</x:v>
      </x:c>
      <x:c r="D772" s="115" t="str">
        <x:v>Terminal ferry</x:v>
      </x:c>
      <x:c r="E772" s="115" t="n">
        <x:v>17</x:v>
      </x:c>
      <x:c r="F772" s="115" t="str">
        <x:v>Inspection physique</x:v>
      </x:c>
      <x:c r="G772" s="115" t="str">
        <x:v>1 niveaux ; 32 pièces ; 248 segments de mur ; 0 transitions. Inspection physique ; architecture complète encore ouverte.</x:v>
      </x:c>
      <x:c r="H772" s="115" t="str">
        <x:v>L 378 ; l 496 ; hauteur 5 m ; choix de composition auteur ; dimensions réelles à documenter</x:v>
      </x:c>
      <x:c r="I772" s="115" t="str">
        <x:v>À équilibrer</x:v>
      </x:c>
      <x:c r="J772" s="115" t="str">
        <x:v>Non</x:v>
      </x:c>
      <x:c r="K772" s="115" t="str">
        <x:v>Pièces décrites, murs, portes, niveaux et mobilier inspectables à l’échelle. Volumes réservés, raccord au seed, butin, rencontres et services de campagne restent à terminer.</x:v>
      </x:c>
    </x:row>
    <x:row r="773" ht="96" customHeight="1">
      <x:c r="A773" s="115" t="str">
        <x:v>EXT-MONDE-T016-V18</x:v>
      </x:c>
      <x:c r="B773" s="115" t="str">
        <x:v>EXT-MONDE-T016</x:v>
      </x:c>
      <x:c r="C773" s="115" t="str">
        <x:v>Ports</x:v>
      </x:c>
      <x:c r="D773" s="115" t="str">
        <x:v>Terminal ferry</x:v>
      </x:c>
      <x:c r="E773" s="115" t="n">
        <x:v>18</x:v>
      </x:c>
      <x:c r="F773" s="115" t="str">
        <x:v>Inspection physique</x:v>
      </x:c>
      <x:c r="G773" s="115" t="str">
        <x:v>1 niveaux ; 32 pièces ; 248 segments de mur ; 0 transitions. Inspection physique ; architecture complète encore ouverte.</x:v>
      </x:c>
      <x:c r="H773" s="115" t="str">
        <x:v>L 378 ; l 496 ; hauteur 5 m ; choix de composition auteur ; dimensions réelles à documenter</x:v>
      </x:c>
      <x:c r="I773" s="115" t="str">
        <x:v>À équilibrer</x:v>
      </x:c>
      <x:c r="J773" s="115" t="str">
        <x:v>Non</x:v>
      </x:c>
      <x:c r="K773" s="115" t="str">
        <x:v>Pièces décrites, murs, portes, niveaux et mobilier inspectables à l’échelle. Volumes réservés, raccord au seed, butin, rencontres et services de campagne restent à terminer.</x:v>
      </x:c>
    </x:row>
    <x:row r="774" ht="96" customHeight="1">
      <x:c r="A774" s="115" t="str">
        <x:v>EXT-MONDE-T016-V19</x:v>
      </x:c>
      <x:c r="B774" s="115" t="str">
        <x:v>EXT-MONDE-T016</x:v>
      </x:c>
      <x:c r="C774" s="115" t="str">
        <x:v>Ports</x:v>
      </x:c>
      <x:c r="D774" s="115" t="str">
        <x:v>Terminal ferry</x:v>
      </x:c>
      <x:c r="E774" s="115" t="n">
        <x:v>19</x:v>
      </x:c>
      <x:c r="F774" s="115" t="str">
        <x:v>Inspection physique</x:v>
      </x:c>
      <x:c r="G774" s="115" t="str">
        <x:v>1 niveaux ; 32 pièces ; 248 segments de mur ; 0 transitions. Inspection physique ; architecture complète encore ouverte.</x:v>
      </x:c>
      <x:c r="H774" s="115" t="str">
        <x:v>L 378 ; l 496 ; hauteur 5 m ; choix de composition auteur ; dimensions réelles à documenter</x:v>
      </x:c>
      <x:c r="I774" s="115" t="str">
        <x:v>À équilibrer</x:v>
      </x:c>
      <x:c r="J774" s="115" t="str">
        <x:v>Non</x:v>
      </x:c>
      <x:c r="K774" s="115" t="str">
        <x:v>Pièces décrites, murs, portes, niveaux et mobilier inspectables à l’échelle. Volumes réservés, raccord au seed, butin, rencontres et services de campagne restent à terminer.</x:v>
      </x:c>
    </x:row>
    <x:row r="775" ht="96" customHeight="1">
      <x:c r="A775" s="115" t="str">
        <x:v>EXT-MONDE-T016-V20</x:v>
      </x:c>
      <x:c r="B775" s="115" t="str">
        <x:v>EXT-MONDE-T016</x:v>
      </x:c>
      <x:c r="C775" s="115" t="str">
        <x:v>Ports</x:v>
      </x:c>
      <x:c r="D775" s="115" t="str">
        <x:v>Terminal ferry</x:v>
      </x:c>
      <x:c r="E775" s="115" t="n">
        <x:v>20</x:v>
      </x:c>
      <x:c r="F775" s="115" t="str">
        <x:v>Inspection physique</x:v>
      </x:c>
      <x:c r="G775" s="115" t="str">
        <x:v>1 niveaux ; 32 pièces ; 248 segments de mur ; 0 transitions. Inspection physique ; architecture complète encore ouverte.</x:v>
      </x:c>
      <x:c r="H775" s="115" t="str">
        <x:v>L 378 ; l 496 ; hauteur 5 m ; choix de composition auteur ; dimensions réelles à documenter</x:v>
      </x:c>
      <x:c r="I775" s="115" t="str">
        <x:v>À équilibrer</x:v>
      </x:c>
      <x:c r="J775" s="115" t="str">
        <x:v>Non</x:v>
      </x:c>
      <x:c r="K775" s="115" t="str">
        <x:v>Pièces décrites, murs, portes, niveaux et mobilier inspectables à l’échelle. Volumes réservés, raccord au seed, butin, rencontres et services de campagne restent à terminer.</x:v>
      </x:c>
    </x:row>
    <x:row r="776" ht="96" customHeight="1">
      <x:c r="A776" s="115" t="str">
        <x:v>EXT-MONDE-T016-V21</x:v>
      </x:c>
      <x:c r="B776" s="115" t="str">
        <x:v>EXT-MONDE-T016</x:v>
      </x:c>
      <x:c r="C776" s="115" t="str">
        <x:v>Ports</x:v>
      </x:c>
      <x:c r="D776" s="115" t="str">
        <x:v>Terminal ferry</x:v>
      </x:c>
      <x:c r="E776" s="115" t="n">
        <x:v>21</x:v>
      </x:c>
      <x:c r="F776" s="115" t="str">
        <x:v>Inspection physique</x:v>
      </x:c>
      <x:c r="G776" s="115" t="str">
        <x:v>1 niveaux ; 32 pièces ; 248 segments de mur ; 0 transitions. Inspection physique ; architecture complète encore ouverte.</x:v>
      </x:c>
      <x:c r="H776" s="115" t="str">
        <x:v>L 392 ; l 508 ; hauteur 5 m ; choix de composition auteur ; dimensions réelles à documenter</x:v>
      </x:c>
      <x:c r="I776" s="115" t="str">
        <x:v>À équilibrer</x:v>
      </x:c>
      <x:c r="J776" s="115" t="str">
        <x:v>Non</x:v>
      </x:c>
      <x:c r="K776" s="115" t="str">
        <x:v>Pièces décrites, murs, portes, niveaux et mobilier inspectables à l’échelle. Volumes réservés, raccord au seed, butin, rencontres et services de campagne restent à terminer.</x:v>
      </x:c>
    </x:row>
    <x:row r="777" ht="96" customHeight="1">
      <x:c r="A777" s="115" t="str">
        <x:v>EXT-MONDE-T016-V22</x:v>
      </x:c>
      <x:c r="B777" s="115" t="str">
        <x:v>EXT-MONDE-T016</x:v>
      </x:c>
      <x:c r="C777" s="115" t="str">
        <x:v>Ports</x:v>
      </x:c>
      <x:c r="D777" s="115" t="str">
        <x:v>Terminal ferry</x:v>
      </x:c>
      <x:c r="E777" s="115" t="n">
        <x:v>22</x:v>
      </x:c>
      <x:c r="F777" s="115" t="str">
        <x:v>Inspection physique</x:v>
      </x:c>
      <x:c r="G777" s="115" t="str">
        <x:v>1 niveaux ; 32 pièces ; 248 segments de mur ; 0 transitions. Inspection physique ; architecture complète encore ouverte.</x:v>
      </x:c>
      <x:c r="H777" s="115" t="str">
        <x:v>L 392 ; l 508 ; hauteur 5 m ; choix de composition auteur ; dimensions réelles à documenter</x:v>
      </x:c>
      <x:c r="I777" s="115" t="str">
        <x:v>À équilibrer</x:v>
      </x:c>
      <x:c r="J777" s="115" t="str">
        <x:v>Non</x:v>
      </x:c>
      <x:c r="K777" s="115" t="str">
        <x:v>Pièces décrites, murs, portes, niveaux et mobilier inspectables à l’échelle. Volumes réservés, raccord au seed, butin, rencontres et services de campagne restent à terminer.</x:v>
      </x:c>
    </x:row>
    <x:row r="778" ht="96" customHeight="1">
      <x:c r="A778" s="115" t="str">
        <x:v>EXT-MONDE-T016-V23</x:v>
      </x:c>
      <x:c r="B778" s="115" t="str">
        <x:v>EXT-MONDE-T016</x:v>
      </x:c>
      <x:c r="C778" s="115" t="str">
        <x:v>Ports</x:v>
      </x:c>
      <x:c r="D778" s="115" t="str">
        <x:v>Terminal ferry</x:v>
      </x:c>
      <x:c r="E778" s="115" t="n">
        <x:v>23</x:v>
      </x:c>
      <x:c r="F778" s="115" t="str">
        <x:v>Inspection physique</x:v>
      </x:c>
      <x:c r="G778" s="115" t="str">
        <x:v>1 niveaux ; 32 pièces ; 248 segments de mur ; 0 transitions. Inspection physique ; architecture complète encore ouverte.</x:v>
      </x:c>
      <x:c r="H778" s="115" t="str">
        <x:v>L 392 ; l 508 ; hauteur 5 m ; choix de composition auteur ; dimensions réelles à documenter</x:v>
      </x:c>
      <x:c r="I778" s="115" t="str">
        <x:v>À équilibrer</x:v>
      </x:c>
      <x:c r="J778" s="115" t="str">
        <x:v>Non</x:v>
      </x:c>
      <x:c r="K778" s="115" t="str">
        <x:v>Pièces décrites, murs, portes, niveaux et mobilier inspectables à l’échelle. Volumes réservés, raccord au seed, butin, rencontres et services de campagne restent à terminer.</x:v>
      </x:c>
    </x:row>
    <x:row r="779" ht="96" customHeight="1">
      <x:c r="A779" s="115" t="str">
        <x:v>EXT-MONDE-T016-V24</x:v>
      </x:c>
      <x:c r="B779" s="115" t="str">
        <x:v>EXT-MONDE-T016</x:v>
      </x:c>
      <x:c r="C779" s="115" t="str">
        <x:v>Ports</x:v>
      </x:c>
      <x:c r="D779" s="115" t="str">
        <x:v>Terminal ferry</x:v>
      </x:c>
      <x:c r="E779" s="115" t="n">
        <x:v>24</x:v>
      </x:c>
      <x:c r="F779" s="115" t="str">
        <x:v>Inspection physique</x:v>
      </x:c>
      <x:c r="G779" s="115" t="str">
        <x:v>1 niveaux ; 32 pièces ; 248 segments de mur ; 0 transitions. Inspection physique ; architecture complète encore ouverte.</x:v>
      </x:c>
      <x:c r="H779" s="115" t="str">
        <x:v>L 392 ; l 508 ; hauteur 5 m ; choix de composition auteur ; dimensions réelles à documenter</x:v>
      </x:c>
      <x:c r="I779" s="115" t="str">
        <x:v>À équilibrer</x:v>
      </x:c>
      <x:c r="J779" s="115" t="str">
        <x:v>Non</x:v>
      </x:c>
      <x:c r="K779" s="115" t="str">
        <x:v>Pièces décrites, murs, portes, niveaux et mobilier inspectables à l’échelle. Volumes réservés, raccord au seed, butin, rencontres et services de campagne restent à terminer.</x:v>
      </x:c>
    </x:row>
    <x:row r="780" ht="96" customHeight="1">
      <x:c r="A780" s="115" t="str">
        <x:v>EXT-MONDE-T016-V25</x:v>
      </x:c>
      <x:c r="B780" s="115" t="str">
        <x:v>EXT-MONDE-T016</x:v>
      </x:c>
      <x:c r="C780" s="115" t="str">
        <x:v>Ports</x:v>
      </x:c>
      <x:c r="D780" s="115" t="str">
        <x:v>Terminal ferry</x:v>
      </x:c>
      <x:c r="E780" s="115" t="n">
        <x:v>25</x:v>
      </x:c>
      <x:c r="F780" s="115" t="str">
        <x:v>Inspection physique</x:v>
      </x:c>
      <x:c r="G780" s="115" t="str">
        <x:v>1 niveaux ; 32 pièces ; 248 segments de mur ; 0 transitions. Inspection physique ; architecture complète encore ouverte.</x:v>
      </x:c>
      <x:c r="H780" s="115" t="str">
        <x:v>L 392 ; l 508 ; hauteur 5 m ; choix de composition auteur ; dimensions réelles à documenter</x:v>
      </x:c>
      <x:c r="I780" s="115" t="str">
        <x:v>À équilibrer</x:v>
      </x:c>
      <x:c r="J780" s="115" t="str">
        <x:v>Non</x:v>
      </x:c>
      <x:c r="K780" s="115" t="str">
        <x:v>Pièces décrites, murs, portes, niveaux et mobilier inspectables à l’échelle. Volumes réservés, raccord au seed, butin, rencontres et services de campagne restent à terminer.</x:v>
      </x:c>
    </x:row>
    <x:row r="781" ht="96" customHeight="1">
      <x:c r="A781" s="115" t="str">
        <x:v>EXT-MONDE-T016-V26</x:v>
      </x:c>
      <x:c r="B781" s="115" t="str">
        <x:v>EXT-MONDE-T016</x:v>
      </x:c>
      <x:c r="C781" s="115" t="str">
        <x:v>Ports</x:v>
      </x:c>
      <x:c r="D781" s="115" t="str">
        <x:v>Terminal ferry</x:v>
      </x:c>
      <x:c r="E781" s="115" t="n">
        <x:v>26</x:v>
      </x:c>
      <x:c r="F781" s="115" t="str">
        <x:v>Inspection physique</x:v>
      </x:c>
      <x:c r="G781" s="115" t="str">
        <x:v>1 niveaux ; 32 pièces ; 248 segments de mur ; 0 transitions. Inspection physique ; architecture complète encore ouverte.</x:v>
      </x:c>
      <x:c r="H781" s="115" t="str">
        <x:v>L 392 ; l 508 ; hauteur 5 m ; choix de composition auteur ; dimensions réelles à documenter</x:v>
      </x:c>
      <x:c r="I781" s="115" t="str">
        <x:v>À équilibrer</x:v>
      </x:c>
      <x:c r="J781" s="115" t="str">
        <x:v>Non</x:v>
      </x:c>
      <x:c r="K781" s="115" t="str">
        <x:v>Pièces décrites, murs, portes, niveaux et mobilier inspectables à l’échelle. Volumes réservés, raccord au seed, butin, rencontres et services de campagne restent à terminer.</x:v>
      </x:c>
    </x:row>
    <x:row r="782" ht="96" customHeight="1">
      <x:c r="A782" s="115" t="str">
        <x:v>EXT-MONDE-T016-V27</x:v>
      </x:c>
      <x:c r="B782" s="115" t="str">
        <x:v>EXT-MONDE-T016</x:v>
      </x:c>
      <x:c r="C782" s="115" t="str">
        <x:v>Ports</x:v>
      </x:c>
      <x:c r="D782" s="115" t="str">
        <x:v>Terminal ferry</x:v>
      </x:c>
      <x:c r="E782" s="115" t="n">
        <x:v>27</x:v>
      </x:c>
      <x:c r="F782" s="115" t="str">
        <x:v>Inspection physique</x:v>
      </x:c>
      <x:c r="G782" s="115" t="str">
        <x:v>1 niveaux ; 32 pièces ; 248 segments de mur ; 0 transitions. Inspection physique ; architecture complète encore ouverte.</x:v>
      </x:c>
      <x:c r="H782" s="115" t="str">
        <x:v>L 392 ; l 508 ; hauteur 5 m ; choix de composition auteur ; dimensions réelles à documenter</x:v>
      </x:c>
      <x:c r="I782" s="115" t="str">
        <x:v>À équilibrer</x:v>
      </x:c>
      <x:c r="J782" s="115" t="str">
        <x:v>Non</x:v>
      </x:c>
      <x:c r="K782" s="115" t="str">
        <x:v>Pièces décrites, murs, portes, niveaux et mobilier inspectables à l’échelle. Volumes réservés, raccord au seed, butin, rencontres et services de campagne restent à terminer.</x:v>
      </x:c>
    </x:row>
    <x:row r="783" ht="96" customHeight="1">
      <x:c r="A783" s="115" t="str">
        <x:v>EXT-MONDE-T016-V28</x:v>
      </x:c>
      <x:c r="B783" s="115" t="str">
        <x:v>EXT-MONDE-T016</x:v>
      </x:c>
      <x:c r="C783" s="115" t="str">
        <x:v>Ports</x:v>
      </x:c>
      <x:c r="D783" s="115" t="str">
        <x:v>Terminal ferry</x:v>
      </x:c>
      <x:c r="E783" s="115" t="n">
        <x:v>28</x:v>
      </x:c>
      <x:c r="F783" s="115" t="str">
        <x:v>Inspection physique</x:v>
      </x:c>
      <x:c r="G783" s="115" t="str">
        <x:v>1 niveaux ; 32 pièces ; 248 segments de mur ; 0 transitions. Inspection physique ; architecture complète encore ouverte.</x:v>
      </x:c>
      <x:c r="H783" s="115" t="str">
        <x:v>L 392 ; l 508 ; hauteur 5 m ; choix de composition auteur ; dimensions réelles à documenter</x:v>
      </x:c>
      <x:c r="I783" s="115" t="str">
        <x:v>À équilibrer</x:v>
      </x:c>
      <x:c r="J783" s="115" t="str">
        <x:v>Non</x:v>
      </x:c>
      <x:c r="K783" s="115" t="str">
        <x:v>Pièces décrites, murs, portes, niveaux et mobilier inspectables à l’échelle. Volumes réservés, raccord au seed, butin, rencontres et services de campagne restent à terminer.</x:v>
      </x:c>
    </x:row>
    <x:row r="784" ht="96" customHeight="1">
      <x:c r="A784" s="115" t="str">
        <x:v>EXT-MONDE-T016-V29</x:v>
      </x:c>
      <x:c r="B784" s="115" t="str">
        <x:v>EXT-MONDE-T016</x:v>
      </x:c>
      <x:c r="C784" s="115" t="str">
        <x:v>Ports</x:v>
      </x:c>
      <x:c r="D784" s="115" t="str">
        <x:v>Terminal ferry</x:v>
      </x:c>
      <x:c r="E784" s="115" t="n">
        <x:v>29</x:v>
      </x:c>
      <x:c r="F784" s="115" t="str">
        <x:v>Inspection physique</x:v>
      </x:c>
      <x:c r="G784" s="115" t="str">
        <x:v>1 niveaux ; 32 pièces ; 248 segments de mur ; 0 transitions. Inspection physique ; architecture complète encore ouverte.</x:v>
      </x:c>
      <x:c r="H784" s="115" t="str">
        <x:v>L 392 ; l 508 ; hauteur 5 m ; choix de composition auteur ; dimensions réelles à documenter</x:v>
      </x:c>
      <x:c r="I784" s="115" t="str">
        <x:v>À équilibrer</x:v>
      </x:c>
      <x:c r="J784" s="115" t="str">
        <x:v>Non</x:v>
      </x:c>
      <x:c r="K784" s="115" t="str">
        <x:v>Pièces décrites, murs, portes, niveaux et mobilier inspectables à l’échelle. Volumes réservés, raccord au seed, butin, rencontres et services de campagne restent à terminer.</x:v>
      </x:c>
    </x:row>
    <x:row r="785" ht="96" customHeight="1">
      <x:c r="A785" s="115" t="str">
        <x:v>EXT-MONDE-T016-V30</x:v>
      </x:c>
      <x:c r="B785" s="115" t="str">
        <x:v>EXT-MONDE-T016</x:v>
      </x:c>
      <x:c r="C785" s="115" t="str">
        <x:v>Ports</x:v>
      </x:c>
      <x:c r="D785" s="115" t="str">
        <x:v>Terminal ferry</x:v>
      </x:c>
      <x:c r="E785" s="115" t="n">
        <x:v>30</x:v>
      </x:c>
      <x:c r="F785" s="115" t="str">
        <x:v>Inspection physique</x:v>
      </x:c>
      <x:c r="G785" s="115" t="str">
        <x:v>1 niveaux ; 32 pièces ; 248 segments de mur ; 0 transitions. Inspection physique ; architecture complète encore ouverte.</x:v>
      </x:c>
      <x:c r="H785" s="115" t="str">
        <x:v>L 392 ; l 508 ; hauteur 5 m ; choix de composition auteur ; dimensions réelles à documenter</x:v>
      </x:c>
      <x:c r="I785" s="115" t="str">
        <x:v>À équilibrer</x:v>
      </x:c>
      <x:c r="J785" s="115" t="str">
        <x:v>Non</x:v>
      </x:c>
      <x:c r="K785" s="115" t="str">
        <x:v>Pièces décrites, murs, portes, niveaux et mobilier inspectables à l’échelle. Volumes réservés, raccord au seed, butin, rencontres et services de campagne restent à terminer.</x:v>
      </x:c>
    </x:row>
    <x:row r="786" ht="96" customHeight="1">
      <x:c r="A786" s="115" t="str">
        <x:v>EXT-MONDE-T016-V31</x:v>
      </x:c>
      <x:c r="B786" s="115" t="str">
        <x:v>EXT-MONDE-T016</x:v>
      </x:c>
      <x:c r="C786" s="115" t="str">
        <x:v>Ports</x:v>
      </x:c>
      <x:c r="D786" s="115" t="str">
        <x:v>Terminal ferry</x:v>
      </x:c>
      <x:c r="E786" s="115" t="n">
        <x:v>31</x:v>
      </x:c>
      <x:c r="F786" s="115" t="str">
        <x:v>Inspection physique</x:v>
      </x:c>
      <x:c r="G786" s="115" t="str">
        <x:v>1 niveaux ; 32 pièces ; 248 segments de mur ; 0 transitions. Inspection physique ; architecture complète encore ouverte.</x:v>
      </x:c>
      <x:c r="H786" s="115" t="str">
        <x:v>L 406 ; l 520 ; hauteur 5 m ; choix de composition auteur ; dimensions réelles à documenter</x:v>
      </x:c>
      <x:c r="I786" s="115" t="str">
        <x:v>À équilibrer</x:v>
      </x:c>
      <x:c r="J786" s="115" t="str">
        <x:v>Non</x:v>
      </x:c>
      <x:c r="K786" s="115" t="str">
        <x:v>Pièces décrites, murs, portes, niveaux et mobilier inspectables à l’échelle. Volumes réservés, raccord au seed, butin, rencontres et services de campagne restent à terminer.</x:v>
      </x:c>
    </x:row>
    <x:row r="787" ht="96" customHeight="1">
      <x:c r="A787" s="115" t="str">
        <x:v>EXT-MONDE-T016-V32</x:v>
      </x:c>
      <x:c r="B787" s="115" t="str">
        <x:v>EXT-MONDE-T016</x:v>
      </x:c>
      <x:c r="C787" s="115" t="str">
        <x:v>Ports</x:v>
      </x:c>
      <x:c r="D787" s="115" t="str">
        <x:v>Terminal ferry</x:v>
      </x:c>
      <x:c r="E787" s="115" t="n">
        <x:v>32</x:v>
      </x:c>
      <x:c r="F787" s="115" t="str">
        <x:v>Inspection physique</x:v>
      </x:c>
      <x:c r="G787" s="115" t="str">
        <x:v>1 niveaux ; 32 pièces ; 248 segments de mur ; 0 transitions. Inspection physique ; architecture complète encore ouverte.</x:v>
      </x:c>
      <x:c r="H787" s="115" t="str">
        <x:v>L 406 ; l 520 ; hauteur 5 m ; choix de composition auteur ; dimensions réelles à documenter</x:v>
      </x:c>
      <x:c r="I787" s="115" t="str">
        <x:v>À équilibrer</x:v>
      </x:c>
      <x:c r="J787" s="115" t="str">
        <x:v>Non</x:v>
      </x:c>
      <x:c r="K787" s="115" t="str">
        <x:v>Pièces décrites, murs, portes, niveaux et mobilier inspectables à l’échelle. Volumes réservés, raccord au seed, butin, rencontres et services de campagne restent à terminer.</x:v>
      </x:c>
    </x:row>
    <x:row r="788" ht="96" customHeight="1">
      <x:c r="A788" s="115" t="str">
        <x:v>EXT-MONDE-T016-V33</x:v>
      </x:c>
      <x:c r="B788" s="115" t="str">
        <x:v>EXT-MONDE-T016</x:v>
      </x:c>
      <x:c r="C788" s="115" t="str">
        <x:v>Ports</x:v>
      </x:c>
      <x:c r="D788" s="115" t="str">
        <x:v>Terminal ferry</x:v>
      </x:c>
      <x:c r="E788" s="115" t="n">
        <x:v>33</x:v>
      </x:c>
      <x:c r="F788" s="115" t="str">
        <x:v>Inspection physique</x:v>
      </x:c>
      <x:c r="G788" s="115" t="str">
        <x:v>1 niveaux ; 32 pièces ; 248 segments de mur ; 0 transitions. Inspection physique ; architecture complète encore ouverte.</x:v>
      </x:c>
      <x:c r="H788" s="115" t="str">
        <x:v>L 406 ; l 520 ; hauteur 5 m ; choix de composition auteur ; dimensions réelles à documenter</x:v>
      </x:c>
      <x:c r="I788" s="115" t="str">
        <x:v>À équilibrer</x:v>
      </x:c>
      <x:c r="J788" s="115" t="str">
        <x:v>Non</x:v>
      </x:c>
      <x:c r="K788" s="115" t="str">
        <x:v>Pièces décrites, murs, portes, niveaux et mobilier inspectables à l’échelle. Volumes réservés, raccord au seed, butin, rencontres et services de campagne restent à terminer.</x:v>
      </x:c>
    </x:row>
    <x:row r="789" ht="96" customHeight="1">
      <x:c r="A789" s="115" t="str">
        <x:v>EXT-MONDE-T016-V34</x:v>
      </x:c>
      <x:c r="B789" s="115" t="str">
        <x:v>EXT-MONDE-T016</x:v>
      </x:c>
      <x:c r="C789" s="115" t="str">
        <x:v>Ports</x:v>
      </x:c>
      <x:c r="D789" s="115" t="str">
        <x:v>Terminal ferry</x:v>
      </x:c>
      <x:c r="E789" s="115" t="n">
        <x:v>34</x:v>
      </x:c>
      <x:c r="F789" s="115" t="str">
        <x:v>Inspection physique</x:v>
      </x:c>
      <x:c r="G789" s="115" t="str">
        <x:v>1 niveaux ; 32 pièces ; 248 segments de mur ; 0 transitions. Inspection physique ; architecture complète encore ouverte.</x:v>
      </x:c>
      <x:c r="H789" s="115" t="str">
        <x:v>L 406 ; l 520 ; hauteur 5 m ; choix de composition auteur ; dimensions réelles à documenter</x:v>
      </x:c>
      <x:c r="I789" s="115" t="str">
        <x:v>À équilibrer</x:v>
      </x:c>
      <x:c r="J789" s="115" t="str">
        <x:v>Non</x:v>
      </x:c>
      <x:c r="K789" s="115" t="str">
        <x:v>Pièces décrites, murs, portes, niveaux et mobilier inspectables à l’échelle. Volumes réservés, raccord au seed, butin, rencontres et services de campagne restent à terminer.</x:v>
      </x:c>
    </x:row>
    <x:row r="790" ht="96" customHeight="1">
      <x:c r="A790" s="115" t="str">
        <x:v>EXT-MONDE-T016-V35</x:v>
      </x:c>
      <x:c r="B790" s="115" t="str">
        <x:v>EXT-MONDE-T016</x:v>
      </x:c>
      <x:c r="C790" s="115" t="str">
        <x:v>Ports</x:v>
      </x:c>
      <x:c r="D790" s="115" t="str">
        <x:v>Terminal ferry</x:v>
      </x:c>
      <x:c r="E790" s="115" t="n">
        <x:v>35</x:v>
      </x:c>
      <x:c r="F790" s="115" t="str">
        <x:v>Inspection physique</x:v>
      </x:c>
      <x:c r="G790" s="115" t="str">
        <x:v>1 niveaux ; 32 pièces ; 248 segments de mur ; 0 transitions. Inspection physique ; architecture complète encore ouverte.</x:v>
      </x:c>
      <x:c r="H790" s="115" t="str">
        <x:v>L 406 ; l 520 ; hauteur 5 m ; choix de composition auteur ; dimensions réelles à documenter</x:v>
      </x:c>
      <x:c r="I790" s="115" t="str">
        <x:v>À équilibrer</x:v>
      </x:c>
      <x:c r="J790" s="115" t="str">
        <x:v>Non</x:v>
      </x:c>
      <x:c r="K790" s="115" t="str">
        <x:v>Pièces décrites, murs, portes, niveaux et mobilier inspectables à l’échelle. Volumes réservés, raccord au seed, butin, rencontres et services de campagne restent à terminer.</x:v>
      </x:c>
    </x:row>
    <x:row r="791" ht="96" customHeight="1">
      <x:c r="A791" s="115" t="str">
        <x:v>EXT-MONDE-T016-V36</x:v>
      </x:c>
      <x:c r="B791" s="115" t="str">
        <x:v>EXT-MONDE-T016</x:v>
      </x:c>
      <x:c r="C791" s="115" t="str">
        <x:v>Ports</x:v>
      </x:c>
      <x:c r="D791" s="115" t="str">
        <x:v>Terminal ferry</x:v>
      </x:c>
      <x:c r="E791" s="115" t="n">
        <x:v>36</x:v>
      </x:c>
      <x:c r="F791" s="115" t="str">
        <x:v>Inspection physique</x:v>
      </x:c>
      <x:c r="G791" s="115" t="str">
        <x:v>1 niveaux ; 32 pièces ; 248 segments de mur ; 0 transitions. Inspection physique ; architecture complète encore ouverte.</x:v>
      </x:c>
      <x:c r="H791" s="115" t="str">
        <x:v>L 406 ; l 520 ; hauteur 5 m ; choix de composition auteur ; dimensions réelles à documenter</x:v>
      </x:c>
      <x:c r="I791" s="115" t="str">
        <x:v>À équilibrer</x:v>
      </x:c>
      <x:c r="J791" s="115" t="str">
        <x:v>Non</x:v>
      </x:c>
      <x:c r="K791" s="115" t="str">
        <x:v>Pièces décrites, murs, portes, niveaux et mobilier inspectables à l’échelle. Volumes réservés, raccord au seed, butin, rencontres et services de campagne restent à terminer.</x:v>
      </x:c>
    </x:row>
    <x:row r="792" ht="96" customHeight="1">
      <x:c r="A792" s="115" t="str">
        <x:v>EXT-MONDE-T016-V37</x:v>
      </x:c>
      <x:c r="B792" s="115" t="str">
        <x:v>EXT-MONDE-T016</x:v>
      </x:c>
      <x:c r="C792" s="115" t="str">
        <x:v>Ports</x:v>
      </x:c>
      <x:c r="D792" s="115" t="str">
        <x:v>Terminal ferry</x:v>
      </x:c>
      <x:c r="E792" s="115" t="n">
        <x:v>37</x:v>
      </x:c>
      <x:c r="F792" s="115" t="str">
        <x:v>Inspection physique</x:v>
      </x:c>
      <x:c r="G792" s="115" t="str">
        <x:v>1 niveaux ; 32 pièces ; 248 segments de mur ; 0 transitions. Inspection physique ; architecture complète encore ouverte.</x:v>
      </x:c>
      <x:c r="H792" s="115" t="str">
        <x:v>L 406 ; l 520 ; hauteur 5 m ; choix de composition auteur ; dimensions réelles à documenter</x:v>
      </x:c>
      <x:c r="I792" s="115" t="str">
        <x:v>À équilibrer</x:v>
      </x:c>
      <x:c r="J792" s="115" t="str">
        <x:v>Non</x:v>
      </x:c>
      <x:c r="K792" s="115" t="str">
        <x:v>Pièces décrites, murs, portes, niveaux et mobilier inspectables à l’échelle. Volumes réservés, raccord au seed, butin, rencontres et services de campagne restent à terminer.</x:v>
      </x:c>
    </x:row>
    <x:row r="793" ht="96" customHeight="1">
      <x:c r="A793" s="115" t="str">
        <x:v>EXT-MONDE-T016-V38</x:v>
      </x:c>
      <x:c r="B793" s="115" t="str">
        <x:v>EXT-MONDE-T016</x:v>
      </x:c>
      <x:c r="C793" s="115" t="str">
        <x:v>Ports</x:v>
      </x:c>
      <x:c r="D793" s="115" t="str">
        <x:v>Terminal ferry</x:v>
      </x:c>
      <x:c r="E793" s="115" t="n">
        <x:v>38</x:v>
      </x:c>
      <x:c r="F793" s="115" t="str">
        <x:v>Inspection physique</x:v>
      </x:c>
      <x:c r="G793" s="115" t="str">
        <x:v>1 niveaux ; 32 pièces ; 248 segments de mur ; 0 transitions. Inspection physique ; architecture complète encore ouverte.</x:v>
      </x:c>
      <x:c r="H793" s="115" t="str">
        <x:v>L 406 ; l 520 ; hauteur 5 m ; choix de composition auteur ; dimensions réelles à documenter</x:v>
      </x:c>
      <x:c r="I793" s="115" t="str">
        <x:v>À équilibrer</x:v>
      </x:c>
      <x:c r="J793" s="115" t="str">
        <x:v>Non</x:v>
      </x:c>
      <x:c r="K793" s="115" t="str">
        <x:v>Pièces décrites, murs, portes, niveaux et mobilier inspectables à l’échelle. Volumes réservés, raccord au seed, butin, rencontres et services de campagne restent à terminer.</x:v>
      </x:c>
    </x:row>
    <x:row r="794" ht="96" customHeight="1">
      <x:c r="A794" s="115" t="str">
        <x:v>EXT-MONDE-T016-V39</x:v>
      </x:c>
      <x:c r="B794" s="115" t="str">
        <x:v>EXT-MONDE-T016</x:v>
      </x:c>
      <x:c r="C794" s="115" t="str">
        <x:v>Ports</x:v>
      </x:c>
      <x:c r="D794" s="115" t="str">
        <x:v>Terminal ferry</x:v>
      </x:c>
      <x:c r="E794" s="115" t="n">
        <x:v>39</x:v>
      </x:c>
      <x:c r="F794" s="115" t="str">
        <x:v>Inspection physique</x:v>
      </x:c>
      <x:c r="G794" s="115" t="str">
        <x:v>1 niveaux ; 32 pièces ; 248 segments de mur ; 0 transitions. Inspection physique ; architecture complète encore ouverte.</x:v>
      </x:c>
      <x:c r="H794" s="115" t="str">
        <x:v>L 406 ; l 520 ; hauteur 5 m ; choix de composition auteur ; dimensions réelles à documenter</x:v>
      </x:c>
      <x:c r="I794" s="115" t="str">
        <x:v>À équilibrer</x:v>
      </x:c>
      <x:c r="J794" s="115" t="str">
        <x:v>Non</x:v>
      </x:c>
      <x:c r="K794" s="115" t="str">
        <x:v>Pièces décrites, murs, portes, niveaux et mobilier inspectables à l’échelle. Volumes réservés, raccord au seed, butin, rencontres et services de campagne restent à terminer.</x:v>
      </x:c>
    </x:row>
    <x:row r="795" ht="96" customHeight="1">
      <x:c r="A795" s="115" t="str">
        <x:v>EXT-MONDE-T016-V40</x:v>
      </x:c>
      <x:c r="B795" s="115" t="str">
        <x:v>EXT-MONDE-T016</x:v>
      </x:c>
      <x:c r="C795" s="115" t="str">
        <x:v>Ports</x:v>
      </x:c>
      <x:c r="D795" s="115" t="str">
        <x:v>Terminal ferry</x:v>
      </x:c>
      <x:c r="E795" s="115" t="n">
        <x:v>40</x:v>
      </x:c>
      <x:c r="F795" s="115" t="str">
        <x:v>Inspection physique</x:v>
      </x:c>
      <x:c r="G795" s="115" t="str">
        <x:v>1 niveaux ; 32 pièces ; 248 segments de mur ; 0 transitions. Inspection physique ; architecture complète encore ouverte.</x:v>
      </x:c>
      <x:c r="H795" s="115" t="str">
        <x:v>L 406 ; l 520 ; hauteur 5 m ; choix de composition auteur ; dimensions réelles à documenter</x:v>
      </x:c>
      <x:c r="I795" s="115" t="str">
        <x:v>À équilibrer</x:v>
      </x:c>
      <x:c r="J795" s="115" t="str">
        <x:v>Non</x:v>
      </x:c>
      <x:c r="K795" s="115" t="str">
        <x:v>Pièces décrites, murs, portes, niveaux et mobilier inspectables à l’échelle. Volumes réservés, raccord au seed, butin, rencontres et services de campagne restent à terminer.</x:v>
      </x:c>
    </x:row>
    <x:row r="796" ht="96" customHeight="1">
      <x:c r="A796" s="115" t="str">
        <x:v>EXT-MONDE-T016-V41</x:v>
      </x:c>
      <x:c r="B796" s="115" t="str">
        <x:v>EXT-MONDE-T016</x:v>
      </x:c>
      <x:c r="C796" s="115" t="str">
        <x:v>Ports</x:v>
      </x:c>
      <x:c r="D796" s="115" t="str">
        <x:v>Terminal ferry</x:v>
      </x:c>
      <x:c r="E796" s="115" t="n">
        <x:v>41</x:v>
      </x:c>
      <x:c r="F796" s="115" t="str">
        <x:v>Inspection physique</x:v>
      </x:c>
      <x:c r="G796" s="115" t="str">
        <x:v>1 niveaux ; 32 pièces ; 248 segments de mur ; 0 transitions. Inspection physique ; architecture complète encore ouverte.</x:v>
      </x:c>
      <x:c r="H796" s="115" t="str">
        <x:v>L 420 ; l 532 ; hauteur 5 m ; choix de composition auteur ; dimensions réelles à documenter</x:v>
      </x:c>
      <x:c r="I796" s="115" t="str">
        <x:v>À équilibrer</x:v>
      </x:c>
      <x:c r="J796" s="115" t="str">
        <x:v>Non</x:v>
      </x:c>
      <x:c r="K796" s="115" t="str">
        <x:v>Pièces décrites, murs, portes, niveaux et mobilier inspectables à l’échelle. Volumes réservés, raccord au seed, butin, rencontres et services de campagne restent à terminer.</x:v>
      </x:c>
    </x:row>
    <x:row r="797" ht="96" customHeight="1">
      <x:c r="A797" s="115" t="str">
        <x:v>EXT-MONDE-T016-V42</x:v>
      </x:c>
      <x:c r="B797" s="115" t="str">
        <x:v>EXT-MONDE-T016</x:v>
      </x:c>
      <x:c r="C797" s="115" t="str">
        <x:v>Ports</x:v>
      </x:c>
      <x:c r="D797" s="115" t="str">
        <x:v>Terminal ferry</x:v>
      </x:c>
      <x:c r="E797" s="115" t="n">
        <x:v>42</x:v>
      </x:c>
      <x:c r="F797" s="115" t="str">
        <x:v>Inspection physique</x:v>
      </x:c>
      <x:c r="G797" s="115" t="str">
        <x:v>1 niveaux ; 32 pièces ; 248 segments de mur ; 0 transitions. Inspection physique ; architecture complète encore ouverte.</x:v>
      </x:c>
      <x:c r="H797" s="115" t="str">
        <x:v>L 420 ; l 532 ; hauteur 5 m ; choix de composition auteur ; dimensions réelles à documenter</x:v>
      </x:c>
      <x:c r="I797" s="115" t="str">
        <x:v>À équilibrer</x:v>
      </x:c>
      <x:c r="J797" s="115" t="str">
        <x:v>Non</x:v>
      </x:c>
      <x:c r="K797" s="115" t="str">
        <x:v>Pièces décrites, murs, portes, niveaux et mobilier inspectables à l’échelle. Volumes réservés, raccord au seed, butin, rencontres et services de campagne restent à terminer.</x:v>
      </x:c>
    </x:row>
    <x:row r="798" ht="96" customHeight="1">
      <x:c r="A798" s="115" t="str">
        <x:v>EXT-MONDE-T016-V43</x:v>
      </x:c>
      <x:c r="B798" s="115" t="str">
        <x:v>EXT-MONDE-T016</x:v>
      </x:c>
      <x:c r="C798" s="115" t="str">
        <x:v>Ports</x:v>
      </x:c>
      <x:c r="D798" s="115" t="str">
        <x:v>Terminal ferry</x:v>
      </x:c>
      <x:c r="E798" s="115" t="n">
        <x:v>43</x:v>
      </x:c>
      <x:c r="F798" s="115" t="str">
        <x:v>Inspection physique</x:v>
      </x:c>
      <x:c r="G798" s="115" t="str">
        <x:v>1 niveaux ; 32 pièces ; 248 segments de mur ; 0 transitions. Inspection physique ; architecture complète encore ouverte.</x:v>
      </x:c>
      <x:c r="H798" s="115" t="str">
        <x:v>L 420 ; l 532 ; hauteur 5 m ; choix de composition auteur ; dimensions réelles à documenter</x:v>
      </x:c>
      <x:c r="I798" s="115" t="str">
        <x:v>À équilibrer</x:v>
      </x:c>
      <x:c r="J798" s="115" t="str">
        <x:v>Non</x:v>
      </x:c>
      <x:c r="K798" s="115" t="str">
        <x:v>Pièces décrites, murs, portes, niveaux et mobilier inspectables à l’échelle. Volumes réservés, raccord au seed, butin, rencontres et services de campagne restent à terminer.</x:v>
      </x:c>
    </x:row>
    <x:row r="799" ht="96" customHeight="1">
      <x:c r="A799" s="115" t="str">
        <x:v>EXT-MONDE-T016-V44</x:v>
      </x:c>
      <x:c r="B799" s="115" t="str">
        <x:v>EXT-MONDE-T016</x:v>
      </x:c>
      <x:c r="C799" s="115" t="str">
        <x:v>Ports</x:v>
      </x:c>
      <x:c r="D799" s="115" t="str">
        <x:v>Terminal ferry</x:v>
      </x:c>
      <x:c r="E799" s="115" t="n">
        <x:v>44</x:v>
      </x:c>
      <x:c r="F799" s="115" t="str">
        <x:v>Inspection physique</x:v>
      </x:c>
      <x:c r="G799" s="115" t="str">
        <x:v>1 niveaux ; 32 pièces ; 248 segments de mur ; 0 transitions. Inspection physique ; architecture complète encore ouverte.</x:v>
      </x:c>
      <x:c r="H799" s="115" t="str">
        <x:v>L 420 ; l 532 ; hauteur 5 m ; choix de composition auteur ; dimensions réelles à documenter</x:v>
      </x:c>
      <x:c r="I799" s="115" t="str">
        <x:v>À équilibrer</x:v>
      </x:c>
      <x:c r="J799" s="115" t="str">
        <x:v>Non</x:v>
      </x:c>
      <x:c r="K799" s="115" t="str">
        <x:v>Pièces décrites, murs, portes, niveaux et mobilier inspectables à l’échelle. Volumes réservés, raccord au seed, butin, rencontres et services de campagne restent à terminer.</x:v>
      </x:c>
    </x:row>
    <x:row r="800" ht="96" customHeight="1">
      <x:c r="A800" s="115" t="str">
        <x:v>EXT-MONDE-T016-V45</x:v>
      </x:c>
      <x:c r="B800" s="115" t="str">
        <x:v>EXT-MONDE-T016</x:v>
      </x:c>
      <x:c r="C800" s="115" t="str">
        <x:v>Ports</x:v>
      </x:c>
      <x:c r="D800" s="115" t="str">
        <x:v>Terminal ferry</x:v>
      </x:c>
      <x:c r="E800" s="115" t="n">
        <x:v>45</x:v>
      </x:c>
      <x:c r="F800" s="115" t="str">
        <x:v>Inspection physique</x:v>
      </x:c>
      <x:c r="G800" s="115" t="str">
        <x:v>1 niveaux ; 32 pièces ; 248 segments de mur ; 0 transitions. Inspection physique ; architecture complète encore ouverte.</x:v>
      </x:c>
      <x:c r="H800" s="115" t="str">
        <x:v>L 420 ; l 532 ; hauteur 5 m ; choix de composition auteur ; dimensions réelles à documenter</x:v>
      </x:c>
      <x:c r="I800" s="115" t="str">
        <x:v>À équilibrer</x:v>
      </x:c>
      <x:c r="J800" s="115" t="str">
        <x:v>Non</x:v>
      </x:c>
      <x:c r="K800" s="115" t="str">
        <x:v>Pièces décrites, murs, portes, niveaux et mobilier inspectables à l’échelle. Volumes réservés, raccord au seed, butin, rencontres et services de campagne restent à terminer.</x:v>
      </x:c>
    </x:row>
    <x:row r="801" ht="96" customHeight="1">
      <x:c r="A801" s="115" t="str">
        <x:v>EXT-MONDE-T016-V46</x:v>
      </x:c>
      <x:c r="B801" s="115" t="str">
        <x:v>EXT-MONDE-T016</x:v>
      </x:c>
      <x:c r="C801" s="115" t="str">
        <x:v>Ports</x:v>
      </x:c>
      <x:c r="D801" s="115" t="str">
        <x:v>Terminal ferry</x:v>
      </x:c>
      <x:c r="E801" s="115" t="n">
        <x:v>46</x:v>
      </x:c>
      <x:c r="F801" s="115" t="str">
        <x:v>Inspection physique</x:v>
      </x:c>
      <x:c r="G801" s="115" t="str">
        <x:v>1 niveaux ; 32 pièces ; 248 segments de mur ; 0 transitions. Inspection physique ; architecture complète encore ouverte.</x:v>
      </x:c>
      <x:c r="H801" s="115" t="str">
        <x:v>L 420 ; l 532 ; hauteur 5 m ; choix de composition auteur ; dimensions réelles à documenter</x:v>
      </x:c>
      <x:c r="I801" s="115" t="str">
        <x:v>À équilibrer</x:v>
      </x:c>
      <x:c r="J801" s="115" t="str">
        <x:v>Non</x:v>
      </x:c>
      <x:c r="K801" s="115" t="str">
        <x:v>Pièces décrites, murs, portes, niveaux et mobilier inspectables à l’échelle. Volumes réservés, raccord au seed, butin, rencontres et services de campagne restent à terminer.</x:v>
      </x:c>
    </x:row>
    <x:row r="802" ht="96" customHeight="1">
      <x:c r="A802" s="115" t="str">
        <x:v>EXT-MONDE-T016-V47</x:v>
      </x:c>
      <x:c r="B802" s="115" t="str">
        <x:v>EXT-MONDE-T016</x:v>
      </x:c>
      <x:c r="C802" s="115" t="str">
        <x:v>Ports</x:v>
      </x:c>
      <x:c r="D802" s="115" t="str">
        <x:v>Terminal ferry</x:v>
      </x:c>
      <x:c r="E802" s="115" t="n">
        <x:v>47</x:v>
      </x:c>
      <x:c r="F802" s="115" t="str">
        <x:v>Inspection physique</x:v>
      </x:c>
      <x:c r="G802" s="115" t="str">
        <x:v>1 niveaux ; 32 pièces ; 248 segments de mur ; 0 transitions. Inspection physique ; architecture complète encore ouverte.</x:v>
      </x:c>
      <x:c r="H802" s="115" t="str">
        <x:v>L 420 ; l 532 ; hauteur 5 m ; choix de composition auteur ; dimensions réelles à documenter</x:v>
      </x:c>
      <x:c r="I802" s="115" t="str">
        <x:v>À équilibrer</x:v>
      </x:c>
      <x:c r="J802" s="115" t="str">
        <x:v>Non</x:v>
      </x:c>
      <x:c r="K802" s="115" t="str">
        <x:v>Pièces décrites, murs, portes, niveaux et mobilier inspectables à l’échelle. Volumes réservés, raccord au seed, butin, rencontres et services de campagne restent à terminer.</x:v>
      </x:c>
    </x:row>
    <x:row r="803" ht="96" customHeight="1">
      <x:c r="A803" s="115" t="str">
        <x:v>EXT-MONDE-T016-V48</x:v>
      </x:c>
      <x:c r="B803" s="115" t="str">
        <x:v>EXT-MONDE-T016</x:v>
      </x:c>
      <x:c r="C803" s="115" t="str">
        <x:v>Ports</x:v>
      </x:c>
      <x:c r="D803" s="115" t="str">
        <x:v>Terminal ferry</x:v>
      </x:c>
      <x:c r="E803" s="115" t="n">
        <x:v>48</x:v>
      </x:c>
      <x:c r="F803" s="115" t="str">
        <x:v>Inspection physique</x:v>
      </x:c>
      <x:c r="G803" s="115" t="str">
        <x:v>1 niveaux ; 32 pièces ; 248 segments de mur ; 0 transitions. Inspection physique ; architecture complète encore ouverte.</x:v>
      </x:c>
      <x:c r="H803" s="115" t="str">
        <x:v>L 420 ; l 532 ; hauteur 5 m ; choix de composition auteur ; dimensions réelles à documenter</x:v>
      </x:c>
      <x:c r="I803" s="115" t="str">
        <x:v>À équilibrer</x:v>
      </x:c>
      <x:c r="J803" s="115" t="str">
        <x:v>Non</x:v>
      </x:c>
      <x:c r="K803" s="115" t="str">
        <x:v>Pièces décrites, murs, portes, niveaux et mobilier inspectables à l’échelle. Volumes réservés, raccord au seed, butin, rencontres et services de campagne restent à terminer.</x:v>
      </x:c>
    </x:row>
    <x:row r="804" ht="96" customHeight="1">
      <x:c r="A804" s="115" t="str">
        <x:v>EXT-MONDE-T016-V49</x:v>
      </x:c>
      <x:c r="B804" s="115" t="str">
        <x:v>EXT-MONDE-T016</x:v>
      </x:c>
      <x:c r="C804" s="115" t="str">
        <x:v>Ports</x:v>
      </x:c>
      <x:c r="D804" s="115" t="str">
        <x:v>Terminal ferry</x:v>
      </x:c>
      <x:c r="E804" s="115" t="n">
        <x:v>49</x:v>
      </x:c>
      <x:c r="F804" s="115" t="str">
        <x:v>Inspection physique</x:v>
      </x:c>
      <x:c r="G804" s="115" t="str">
        <x:v>1 niveaux ; 32 pièces ; 248 segments de mur ; 0 transitions. Inspection physique ; architecture complète encore ouverte.</x:v>
      </x:c>
      <x:c r="H804" s="115" t="str">
        <x:v>L 420 ; l 532 ; hauteur 5 m ; choix de composition auteur ; dimensions réelles à documenter</x:v>
      </x:c>
      <x:c r="I804" s="115" t="str">
        <x:v>À équilibrer</x:v>
      </x:c>
      <x:c r="J804" s="115" t="str">
        <x:v>Non</x:v>
      </x:c>
      <x:c r="K804" s="115" t="str">
        <x:v>Pièces décrites, murs, portes, niveaux et mobilier inspectables à l’échelle. Volumes réservés, raccord au seed, butin, rencontres et services de campagne restent à terminer.</x:v>
      </x:c>
    </x:row>
    <x:row r="805" ht="96" customHeight="1">
      <x:c r="A805" s="115" t="str">
        <x:v>EXT-MONDE-T016-V50</x:v>
      </x:c>
      <x:c r="B805" s="115" t="str">
        <x:v>EXT-MONDE-T016</x:v>
      </x:c>
      <x:c r="C805" s="115" t="str">
        <x:v>Ports</x:v>
      </x:c>
      <x:c r="D805" s="115" t="str">
        <x:v>Terminal ferry</x:v>
      </x:c>
      <x:c r="E805" s="115" t="n">
        <x:v>50</x:v>
      </x:c>
      <x:c r="F805" s="115" t="str">
        <x:v>Inspection physique</x:v>
      </x:c>
      <x:c r="G805" s="115" t="str">
        <x:v>1 niveaux ; 32 pièces ; 248 segments de mur ; 0 transitions. Inspection physique ; architecture complète encore ouverte.</x:v>
      </x:c>
      <x:c r="H805" s="115" t="str">
        <x:v>L 420 ; l 532 ; hauteur 5 m ; choix de composition auteur ; dimensions réelles à documenter</x:v>
      </x:c>
      <x:c r="I805" s="115" t="str">
        <x:v>À équilibrer</x:v>
      </x:c>
      <x:c r="J805" s="115" t="str">
        <x:v>Non</x:v>
      </x:c>
      <x:c r="K805" s="115" t="str">
        <x:v>Pièces décrites, murs, portes, niveaux et mobilier inspectables à l’échelle. Volumes réservés, raccord au seed, butin, rencontres et services de campagne restent à terminer.</x:v>
      </x:c>
    </x:row>
    <x:row r="806" ht="96" customHeight="1">
      <x:c r="A806" s="115" t="str">
        <x:v>EXT-MONDE-T017-V01</x:v>
      </x:c>
      <x:c r="B806" s="115" t="str">
        <x:v>EXT-MONDE-T017</x:v>
      </x:c>
      <x:c r="C806" s="115" t="str">
        <x:v>Littoral</x:v>
      </x:c>
      <x:c r="D806" s="115" t="str">
        <x:v>Phare et logements</x:v>
      </x:c>
      <x:c r="E806" s="115" t="n">
        <x:v>1</x:v>
      </x:c>
      <x:c r="F806" s="115" t="str">
        <x:v>Inspection physique</x:v>
      </x:c>
      <x:c r="G806" s="115" t="str">
        <x:v>1 niveaux ; 32 pièces ; 248 segments de mur ; 0 transitions. Inspection physique ; architecture complète encore ouverte.</x:v>
      </x:c>
      <x:c r="H806" s="115" t="str">
        <x:v>L 270 ; l 230 ; hauteur 28 m ; choix de composition auteur ; dimensions réelles à documenter</x:v>
      </x:c>
      <x:c r="I806" s="115" t="str">
        <x:v>À équilibrer</x:v>
      </x:c>
      <x:c r="J806" s="115" t="str">
        <x:v>Non</x:v>
      </x:c>
      <x:c r="K806" s="115" t="str">
        <x:v>Pièces décrites, murs, portes, niveaux et mobilier inspectables à l’échelle. Volumes réservés, raccord au seed, butin, rencontres et services de campagne restent à terminer.</x:v>
      </x:c>
    </x:row>
    <x:row r="807" ht="96" customHeight="1">
      <x:c r="A807" s="115" t="str">
        <x:v>EXT-MONDE-T017-V02</x:v>
      </x:c>
      <x:c r="B807" s="115" t="str">
        <x:v>EXT-MONDE-T017</x:v>
      </x:c>
      <x:c r="C807" s="115" t="str">
        <x:v>Littoral</x:v>
      </x:c>
      <x:c r="D807" s="115" t="str">
        <x:v>Phare et logements</x:v>
      </x:c>
      <x:c r="E807" s="115" t="n">
        <x:v>2</x:v>
      </x:c>
      <x:c r="F807" s="115" t="str">
        <x:v>Inspection physique</x:v>
      </x:c>
      <x:c r="G807" s="115" t="str">
        <x:v>1 niveaux ; 32 pièces ; 248 segments de mur ; 0 transitions. Inspection physique ; architecture complète encore ouverte.</x:v>
      </x:c>
      <x:c r="H807" s="115" t="str">
        <x:v>L 270 ; l 230 ; hauteur 28 m ; choix de composition auteur ; dimensions réelles à documenter</x:v>
      </x:c>
      <x:c r="I807" s="115" t="str">
        <x:v>À équilibrer</x:v>
      </x:c>
      <x:c r="J807" s="115" t="str">
        <x:v>Non</x:v>
      </x:c>
      <x:c r="K807" s="115" t="str">
        <x:v>Pièces décrites, murs, portes, niveaux et mobilier inspectables à l’échelle. Volumes réservés, raccord au seed, butin, rencontres et services de campagne restent à terminer.</x:v>
      </x:c>
    </x:row>
    <x:row r="808" ht="96" customHeight="1">
      <x:c r="A808" s="115" t="str">
        <x:v>EXT-MONDE-T017-V03</x:v>
      </x:c>
      <x:c r="B808" s="115" t="str">
        <x:v>EXT-MONDE-T017</x:v>
      </x:c>
      <x:c r="C808" s="115" t="str">
        <x:v>Littoral</x:v>
      </x:c>
      <x:c r="D808" s="115" t="str">
        <x:v>Phare et logements</x:v>
      </x:c>
      <x:c r="E808" s="115" t="n">
        <x:v>3</x:v>
      </x:c>
      <x:c r="F808" s="115" t="str">
        <x:v>Inspection physique</x:v>
      </x:c>
      <x:c r="G808" s="115" t="str">
        <x:v>1 niveaux ; 32 pièces ; 248 segments de mur ; 0 transitions. Inspection physique ; architecture complète encore ouverte.</x:v>
      </x:c>
      <x:c r="H808" s="115" t="str">
        <x:v>L 270 ; l 230 ; hauteur 28 m ; choix de composition auteur ; dimensions réelles à documenter</x:v>
      </x:c>
      <x:c r="I808" s="115" t="str">
        <x:v>À équilibrer</x:v>
      </x:c>
      <x:c r="J808" s="115" t="str">
        <x:v>Non</x:v>
      </x:c>
      <x:c r="K808" s="115" t="str">
        <x:v>Pièces décrites, murs, portes, niveaux et mobilier inspectables à l’échelle. Volumes réservés, raccord au seed, butin, rencontres et services de campagne restent à terminer.</x:v>
      </x:c>
    </x:row>
    <x:row r="809" ht="96" customHeight="1">
      <x:c r="A809" s="115" t="str">
        <x:v>EXT-MONDE-T017-V04</x:v>
      </x:c>
      <x:c r="B809" s="115" t="str">
        <x:v>EXT-MONDE-T017</x:v>
      </x:c>
      <x:c r="C809" s="115" t="str">
        <x:v>Littoral</x:v>
      </x:c>
      <x:c r="D809" s="115" t="str">
        <x:v>Phare et logements</x:v>
      </x:c>
      <x:c r="E809" s="115" t="n">
        <x:v>4</x:v>
      </x:c>
      <x:c r="F809" s="115" t="str">
        <x:v>Inspection physique</x:v>
      </x:c>
      <x:c r="G809" s="115" t="str">
        <x:v>1 niveaux ; 32 pièces ; 248 segments de mur ; 0 transitions. Inspection physique ; architecture complète encore ouverte.</x:v>
      </x:c>
      <x:c r="H809" s="115" t="str">
        <x:v>L 270 ; l 230 ; hauteur 28 m ; choix de composition auteur ; dimensions réelles à documenter</x:v>
      </x:c>
      <x:c r="I809" s="115" t="str">
        <x:v>À équilibrer</x:v>
      </x:c>
      <x:c r="J809" s="115" t="str">
        <x:v>Non</x:v>
      </x:c>
      <x:c r="K809" s="115" t="str">
        <x:v>Pièces décrites, murs, portes, niveaux et mobilier inspectables à l’échelle. Volumes réservés, raccord au seed, butin, rencontres et services de campagne restent à terminer.</x:v>
      </x:c>
    </x:row>
    <x:row r="810" ht="96" customHeight="1">
      <x:c r="A810" s="115" t="str">
        <x:v>EXT-MONDE-T017-V05</x:v>
      </x:c>
      <x:c r="B810" s="115" t="str">
        <x:v>EXT-MONDE-T017</x:v>
      </x:c>
      <x:c r="C810" s="115" t="str">
        <x:v>Littoral</x:v>
      </x:c>
      <x:c r="D810" s="115" t="str">
        <x:v>Phare et logements</x:v>
      </x:c>
      <x:c r="E810" s="115" t="n">
        <x:v>5</x:v>
      </x:c>
      <x:c r="F810" s="115" t="str">
        <x:v>Inspection physique</x:v>
      </x:c>
      <x:c r="G810" s="115" t="str">
        <x:v>1 niveaux ; 32 pièces ; 248 segments de mur ; 0 transitions. Inspection physique ; architecture complète encore ouverte.</x:v>
      </x:c>
      <x:c r="H810" s="115" t="str">
        <x:v>L 270 ; l 230 ; hauteur 28 m ; choix de composition auteur ; dimensions réelles à documenter</x:v>
      </x:c>
      <x:c r="I810" s="115" t="str">
        <x:v>À équilibrer</x:v>
      </x:c>
      <x:c r="J810" s="115" t="str">
        <x:v>Non</x:v>
      </x:c>
      <x:c r="K810" s="115" t="str">
        <x:v>Pièces décrites, murs, portes, niveaux et mobilier inspectables à l’échelle. Volumes réservés, raccord au seed, butin, rencontres et services de campagne restent à terminer.</x:v>
      </x:c>
    </x:row>
    <x:row r="811" ht="96" customHeight="1">
      <x:c r="A811" s="115" t="str">
        <x:v>EXT-MONDE-T017-V06</x:v>
      </x:c>
      <x:c r="B811" s="115" t="str">
        <x:v>EXT-MONDE-T017</x:v>
      </x:c>
      <x:c r="C811" s="115" t="str">
        <x:v>Littoral</x:v>
      </x:c>
      <x:c r="D811" s="115" t="str">
        <x:v>Phare et logements</x:v>
      </x:c>
      <x:c r="E811" s="115" t="n">
        <x:v>6</x:v>
      </x:c>
      <x:c r="F811" s="115" t="str">
        <x:v>Inspection physique</x:v>
      </x:c>
      <x:c r="G811" s="115" t="str">
        <x:v>1 niveaux ; 32 pièces ; 248 segments de mur ; 0 transitions. Inspection physique ; architecture complète encore ouverte.</x:v>
      </x:c>
      <x:c r="H811" s="115" t="str">
        <x:v>L 270 ; l 230 ; hauteur 28 m ; choix de composition auteur ; dimensions réelles à documenter</x:v>
      </x:c>
      <x:c r="I811" s="115" t="str">
        <x:v>À équilibrer</x:v>
      </x:c>
      <x:c r="J811" s="115" t="str">
        <x:v>Non</x:v>
      </x:c>
      <x:c r="K811" s="115" t="str">
        <x:v>Pièces décrites, murs, portes, niveaux et mobilier inspectables à l’échelle. Volumes réservés, raccord au seed, butin, rencontres et services de campagne restent à terminer.</x:v>
      </x:c>
    </x:row>
    <x:row r="812" ht="96" customHeight="1">
      <x:c r="A812" s="115" t="str">
        <x:v>EXT-MONDE-T017-V07</x:v>
      </x:c>
      <x:c r="B812" s="115" t="str">
        <x:v>EXT-MONDE-T017</x:v>
      </x:c>
      <x:c r="C812" s="115" t="str">
        <x:v>Littoral</x:v>
      </x:c>
      <x:c r="D812" s="115" t="str">
        <x:v>Phare et logements</x:v>
      </x:c>
      <x:c r="E812" s="115" t="n">
        <x:v>7</x:v>
      </x:c>
      <x:c r="F812" s="115" t="str">
        <x:v>Inspection physique</x:v>
      </x:c>
      <x:c r="G812" s="115" t="str">
        <x:v>1 niveaux ; 32 pièces ; 248 segments de mur ; 0 transitions. Inspection physique ; architecture complète encore ouverte.</x:v>
      </x:c>
      <x:c r="H812" s="115" t="str">
        <x:v>L 270 ; l 230 ; hauteur 28 m ; choix de composition auteur ; dimensions réelles à documenter</x:v>
      </x:c>
      <x:c r="I812" s="115" t="str">
        <x:v>À équilibrer</x:v>
      </x:c>
      <x:c r="J812" s="115" t="str">
        <x:v>Non</x:v>
      </x:c>
      <x:c r="K812" s="115" t="str">
        <x:v>Pièces décrites, murs, portes, niveaux et mobilier inspectables à l’échelle. Volumes réservés, raccord au seed, butin, rencontres et services de campagne restent à terminer.</x:v>
      </x:c>
    </x:row>
    <x:row r="813" ht="96" customHeight="1">
      <x:c r="A813" s="115" t="str">
        <x:v>EXT-MONDE-T017-V08</x:v>
      </x:c>
      <x:c r="B813" s="115" t="str">
        <x:v>EXT-MONDE-T017</x:v>
      </x:c>
      <x:c r="C813" s="115" t="str">
        <x:v>Littoral</x:v>
      </x:c>
      <x:c r="D813" s="115" t="str">
        <x:v>Phare et logements</x:v>
      </x:c>
      <x:c r="E813" s="115" t="n">
        <x:v>8</x:v>
      </x:c>
      <x:c r="F813" s="115" t="str">
        <x:v>Inspection physique</x:v>
      </x:c>
      <x:c r="G813" s="115" t="str">
        <x:v>1 niveaux ; 32 pièces ; 248 segments de mur ; 0 transitions. Inspection physique ; architecture complète encore ouverte.</x:v>
      </x:c>
      <x:c r="H813" s="115" t="str">
        <x:v>L 270 ; l 230 ; hauteur 28 m ; choix de composition auteur ; dimensions réelles à documenter</x:v>
      </x:c>
      <x:c r="I813" s="115" t="str">
        <x:v>À équilibrer</x:v>
      </x:c>
      <x:c r="J813" s="115" t="str">
        <x:v>Non</x:v>
      </x:c>
      <x:c r="K813" s="115" t="str">
        <x:v>Pièces décrites, murs, portes, niveaux et mobilier inspectables à l’échelle. Volumes réservés, raccord au seed, butin, rencontres et services de campagne restent à terminer.</x:v>
      </x:c>
    </x:row>
    <x:row r="814" ht="96" customHeight="1">
      <x:c r="A814" s="115" t="str">
        <x:v>EXT-MONDE-T017-V09</x:v>
      </x:c>
      <x:c r="B814" s="115" t="str">
        <x:v>EXT-MONDE-T017</x:v>
      </x:c>
      <x:c r="C814" s="115" t="str">
        <x:v>Littoral</x:v>
      </x:c>
      <x:c r="D814" s="115" t="str">
        <x:v>Phare et logements</x:v>
      </x:c>
      <x:c r="E814" s="115" t="n">
        <x:v>9</x:v>
      </x:c>
      <x:c r="F814" s="115" t="str">
        <x:v>Inspection physique</x:v>
      </x:c>
      <x:c r="G814" s="115" t="str">
        <x:v>1 niveaux ; 32 pièces ; 248 segments de mur ; 0 transitions. Inspection physique ; architecture complète encore ouverte.</x:v>
      </x:c>
      <x:c r="H814" s="115" t="str">
        <x:v>L 270 ; l 230 ; hauteur 28 m ; choix de composition auteur ; dimensions réelles à documenter</x:v>
      </x:c>
      <x:c r="I814" s="115" t="str">
        <x:v>À équilibrer</x:v>
      </x:c>
      <x:c r="J814" s="115" t="str">
        <x:v>Non</x:v>
      </x:c>
      <x:c r="K814" s="115" t="str">
        <x:v>Pièces décrites, murs, portes, niveaux et mobilier inspectables à l’échelle. Volumes réservés, raccord au seed, butin, rencontres et services de campagne restent à terminer.</x:v>
      </x:c>
    </x:row>
    <x:row r="815" ht="96" customHeight="1">
      <x:c r="A815" s="115" t="str">
        <x:v>EXT-MONDE-T017-V10</x:v>
      </x:c>
      <x:c r="B815" s="115" t="str">
        <x:v>EXT-MONDE-T017</x:v>
      </x:c>
      <x:c r="C815" s="115" t="str">
        <x:v>Littoral</x:v>
      </x:c>
      <x:c r="D815" s="115" t="str">
        <x:v>Phare et logements</x:v>
      </x:c>
      <x:c r="E815" s="115" t="n">
        <x:v>10</x:v>
      </x:c>
      <x:c r="F815" s="115" t="str">
        <x:v>Inspection physique</x:v>
      </x:c>
      <x:c r="G815" s="115" t="str">
        <x:v>1 niveaux ; 32 pièces ; 248 segments de mur ; 0 transitions. Inspection physique ; architecture complète encore ouverte.</x:v>
      </x:c>
      <x:c r="H815" s="115" t="str">
        <x:v>L 270 ; l 230 ; hauteur 28 m ; choix de composition auteur ; dimensions réelles à documenter</x:v>
      </x:c>
      <x:c r="I815" s="115" t="str">
        <x:v>À équilibrer</x:v>
      </x:c>
      <x:c r="J815" s="115" t="str">
        <x:v>Non</x:v>
      </x:c>
      <x:c r="K815" s="115" t="str">
        <x:v>Pièces décrites, murs, portes, niveaux et mobilier inspectables à l’échelle. Volumes réservés, raccord au seed, butin, rencontres et services de campagne restent à terminer.</x:v>
      </x:c>
    </x:row>
    <x:row r="816" ht="96" customHeight="1">
      <x:c r="A816" s="115" t="str">
        <x:v>EXT-MONDE-T017-V11</x:v>
      </x:c>
      <x:c r="B816" s="115" t="str">
        <x:v>EXT-MONDE-T017</x:v>
      </x:c>
      <x:c r="C816" s="115" t="str">
        <x:v>Littoral</x:v>
      </x:c>
      <x:c r="D816" s="115" t="str">
        <x:v>Phare et logements</x:v>
      </x:c>
      <x:c r="E816" s="115" t="n">
        <x:v>11</x:v>
      </x:c>
      <x:c r="F816" s="115" t="str">
        <x:v>Inspection physique</x:v>
      </x:c>
      <x:c r="G816" s="115" t="str">
        <x:v>1 niveaux ; 32 pièces ; 248 segments de mur ; 0 transitions. Inspection physique ; architecture complète encore ouverte.</x:v>
      </x:c>
      <x:c r="H816" s="115" t="str">
        <x:v>L 288 ; l 246 ; hauteur 30 m ; choix de composition auteur ; dimensions réelles à documenter</x:v>
      </x:c>
      <x:c r="I816" s="115" t="str">
        <x:v>À équilibrer</x:v>
      </x:c>
      <x:c r="J816" s="115" t="str">
        <x:v>Non</x:v>
      </x:c>
      <x:c r="K816" s="115" t="str">
        <x:v>Pièces décrites, murs, portes, niveaux et mobilier inspectables à l’échelle. Volumes réservés, raccord au seed, butin, rencontres et services de campagne restent à terminer.</x:v>
      </x:c>
    </x:row>
    <x:row r="817" ht="96" customHeight="1">
      <x:c r="A817" s="115" t="str">
        <x:v>EXT-MONDE-T017-V12</x:v>
      </x:c>
      <x:c r="B817" s="115" t="str">
        <x:v>EXT-MONDE-T017</x:v>
      </x:c>
      <x:c r="C817" s="115" t="str">
        <x:v>Littoral</x:v>
      </x:c>
      <x:c r="D817" s="115" t="str">
        <x:v>Phare et logements</x:v>
      </x:c>
      <x:c r="E817" s="115" t="n">
        <x:v>12</x:v>
      </x:c>
      <x:c r="F817" s="115" t="str">
        <x:v>Inspection physique</x:v>
      </x:c>
      <x:c r="G817" s="115" t="str">
        <x:v>1 niveaux ; 32 pièces ; 248 segments de mur ; 0 transitions. Inspection physique ; architecture complète encore ouverte.</x:v>
      </x:c>
      <x:c r="H817" s="115" t="str">
        <x:v>L 288 ; l 246 ; hauteur 30 m ; choix de composition auteur ; dimensions réelles à documenter</x:v>
      </x:c>
      <x:c r="I817" s="115" t="str">
        <x:v>À équilibrer</x:v>
      </x:c>
      <x:c r="J817" s="115" t="str">
        <x:v>Non</x:v>
      </x:c>
      <x:c r="K817" s="115" t="str">
        <x:v>Pièces décrites, murs, portes, niveaux et mobilier inspectables à l’échelle. Volumes réservés, raccord au seed, butin, rencontres et services de campagne restent à terminer.</x:v>
      </x:c>
    </x:row>
    <x:row r="818" ht="96" customHeight="1">
      <x:c r="A818" s="115" t="str">
        <x:v>EXT-MONDE-T017-V13</x:v>
      </x:c>
      <x:c r="B818" s="115" t="str">
        <x:v>EXT-MONDE-T017</x:v>
      </x:c>
      <x:c r="C818" s="115" t="str">
        <x:v>Littoral</x:v>
      </x:c>
      <x:c r="D818" s="115" t="str">
        <x:v>Phare et logements</x:v>
      </x:c>
      <x:c r="E818" s="115" t="n">
        <x:v>13</x:v>
      </x:c>
      <x:c r="F818" s="115" t="str">
        <x:v>Inspection physique</x:v>
      </x:c>
      <x:c r="G818" s="115" t="str">
        <x:v>1 niveaux ; 32 pièces ; 248 segments de mur ; 0 transitions. Inspection physique ; architecture complète encore ouverte.</x:v>
      </x:c>
      <x:c r="H818" s="115" t="str">
        <x:v>L 288 ; l 246 ; hauteur 30 m ; choix de composition auteur ; dimensions réelles à documenter</x:v>
      </x:c>
      <x:c r="I818" s="115" t="str">
        <x:v>À équilibrer</x:v>
      </x:c>
      <x:c r="J818" s="115" t="str">
        <x:v>Non</x:v>
      </x:c>
      <x:c r="K818" s="115" t="str">
        <x:v>Pièces décrites, murs, portes, niveaux et mobilier inspectables à l’échelle. Volumes réservés, raccord au seed, butin, rencontres et services de campagne restent à terminer.</x:v>
      </x:c>
    </x:row>
    <x:row r="819" ht="96" customHeight="1">
      <x:c r="A819" s="115" t="str">
        <x:v>EXT-MONDE-T017-V14</x:v>
      </x:c>
      <x:c r="B819" s="115" t="str">
        <x:v>EXT-MONDE-T017</x:v>
      </x:c>
      <x:c r="C819" s="115" t="str">
        <x:v>Littoral</x:v>
      </x:c>
      <x:c r="D819" s="115" t="str">
        <x:v>Phare et logements</x:v>
      </x:c>
      <x:c r="E819" s="115" t="n">
        <x:v>14</x:v>
      </x:c>
      <x:c r="F819" s="115" t="str">
        <x:v>Inspection physique</x:v>
      </x:c>
      <x:c r="G819" s="115" t="str">
        <x:v>1 niveaux ; 32 pièces ; 248 segments de mur ; 0 transitions. Inspection physique ; architecture complète encore ouverte.</x:v>
      </x:c>
      <x:c r="H819" s="115" t="str">
        <x:v>L 288 ; l 246 ; hauteur 30 m ; choix de composition auteur ; dimensions réelles à documenter</x:v>
      </x:c>
      <x:c r="I819" s="115" t="str">
        <x:v>À équilibrer</x:v>
      </x:c>
      <x:c r="J819" s="115" t="str">
        <x:v>Non</x:v>
      </x:c>
      <x:c r="K819" s="115" t="str">
        <x:v>Pièces décrites, murs, portes, niveaux et mobilier inspectables à l’échelle. Volumes réservés, raccord au seed, butin, rencontres et services de campagne restent à terminer.</x:v>
      </x:c>
    </x:row>
    <x:row r="820" ht="96" customHeight="1">
      <x:c r="A820" s="115" t="str">
        <x:v>EXT-MONDE-T017-V15</x:v>
      </x:c>
      <x:c r="B820" s="115" t="str">
        <x:v>EXT-MONDE-T017</x:v>
      </x:c>
      <x:c r="C820" s="115" t="str">
        <x:v>Littoral</x:v>
      </x:c>
      <x:c r="D820" s="115" t="str">
        <x:v>Phare et logements</x:v>
      </x:c>
      <x:c r="E820" s="115" t="n">
        <x:v>15</x:v>
      </x:c>
      <x:c r="F820" s="115" t="str">
        <x:v>Inspection physique</x:v>
      </x:c>
      <x:c r="G820" s="115" t="str">
        <x:v>1 niveaux ; 32 pièces ; 248 segments de mur ; 0 transitions. Inspection physique ; architecture complète encore ouverte.</x:v>
      </x:c>
      <x:c r="H820" s="115" t="str">
        <x:v>L 288 ; l 246 ; hauteur 30 m ; choix de composition auteur ; dimensions réelles à documenter</x:v>
      </x:c>
      <x:c r="I820" s="115" t="str">
        <x:v>À équilibrer</x:v>
      </x:c>
      <x:c r="J820" s="115" t="str">
        <x:v>Non</x:v>
      </x:c>
      <x:c r="K820" s="115" t="str">
        <x:v>Pièces décrites, murs, portes, niveaux et mobilier inspectables à l’échelle. Volumes réservés, raccord au seed, butin, rencontres et services de campagne restent à terminer.</x:v>
      </x:c>
    </x:row>
    <x:row r="821" ht="96" customHeight="1">
      <x:c r="A821" s="115" t="str">
        <x:v>EXT-MONDE-T017-V16</x:v>
      </x:c>
      <x:c r="B821" s="115" t="str">
        <x:v>EXT-MONDE-T017</x:v>
      </x:c>
      <x:c r="C821" s="115" t="str">
        <x:v>Littoral</x:v>
      </x:c>
      <x:c r="D821" s="115" t="str">
        <x:v>Phare et logements</x:v>
      </x:c>
      <x:c r="E821" s="115" t="n">
        <x:v>16</x:v>
      </x:c>
      <x:c r="F821" s="115" t="str">
        <x:v>Inspection physique</x:v>
      </x:c>
      <x:c r="G821" s="115" t="str">
        <x:v>1 niveaux ; 32 pièces ; 248 segments de mur ; 0 transitions. Inspection physique ; architecture complète encore ouverte.</x:v>
      </x:c>
      <x:c r="H821" s="115" t="str">
        <x:v>L 288 ; l 246 ; hauteur 30 m ; choix de composition auteur ; dimensions réelles à documenter</x:v>
      </x:c>
      <x:c r="I821" s="115" t="str">
        <x:v>À équilibrer</x:v>
      </x:c>
      <x:c r="J821" s="115" t="str">
        <x:v>Non</x:v>
      </x:c>
      <x:c r="K821" s="115" t="str">
        <x:v>Pièces décrites, murs, portes, niveaux et mobilier inspectables à l’échelle. Volumes réservés, raccord au seed, butin, rencontres et services de campagne restent à terminer.</x:v>
      </x:c>
    </x:row>
    <x:row r="822" ht="96" customHeight="1">
      <x:c r="A822" s="115" t="str">
        <x:v>EXT-MONDE-T017-V17</x:v>
      </x:c>
      <x:c r="B822" s="115" t="str">
        <x:v>EXT-MONDE-T017</x:v>
      </x:c>
      <x:c r="C822" s="115" t="str">
        <x:v>Littoral</x:v>
      </x:c>
      <x:c r="D822" s="115" t="str">
        <x:v>Phare et logements</x:v>
      </x:c>
      <x:c r="E822" s="115" t="n">
        <x:v>17</x:v>
      </x:c>
      <x:c r="F822" s="115" t="str">
        <x:v>Inspection physique</x:v>
      </x:c>
      <x:c r="G822" s="115" t="str">
        <x:v>1 niveaux ; 32 pièces ; 248 segments de mur ; 0 transitions. Inspection physique ; architecture complète encore ouverte.</x:v>
      </x:c>
      <x:c r="H822" s="115" t="str">
        <x:v>L 288 ; l 246 ; hauteur 30 m ; choix de composition auteur ; dimensions réelles à documenter</x:v>
      </x:c>
      <x:c r="I822" s="115" t="str">
        <x:v>À équilibrer</x:v>
      </x:c>
      <x:c r="J822" s="115" t="str">
        <x:v>Non</x:v>
      </x:c>
      <x:c r="K822" s="115" t="str">
        <x:v>Pièces décrites, murs, portes, niveaux et mobilier inspectables à l’échelle. Volumes réservés, raccord au seed, butin, rencontres et services de campagne restent à terminer.</x:v>
      </x:c>
    </x:row>
    <x:row r="823" ht="96" customHeight="1">
      <x:c r="A823" s="115" t="str">
        <x:v>EXT-MONDE-T017-V18</x:v>
      </x:c>
      <x:c r="B823" s="115" t="str">
        <x:v>EXT-MONDE-T017</x:v>
      </x:c>
      <x:c r="C823" s="115" t="str">
        <x:v>Littoral</x:v>
      </x:c>
      <x:c r="D823" s="115" t="str">
        <x:v>Phare et logements</x:v>
      </x:c>
      <x:c r="E823" s="115" t="n">
        <x:v>18</x:v>
      </x:c>
      <x:c r="F823" s="115" t="str">
        <x:v>Inspection physique</x:v>
      </x:c>
      <x:c r="G823" s="115" t="str">
        <x:v>1 niveaux ; 32 pièces ; 248 segments de mur ; 0 transitions. Inspection physique ; architecture complète encore ouverte.</x:v>
      </x:c>
      <x:c r="H823" s="115" t="str">
        <x:v>L 288 ; l 246 ; hauteur 30 m ; choix de composition auteur ; dimensions réelles à documenter</x:v>
      </x:c>
      <x:c r="I823" s="115" t="str">
        <x:v>À équilibrer</x:v>
      </x:c>
      <x:c r="J823" s="115" t="str">
        <x:v>Non</x:v>
      </x:c>
      <x:c r="K823" s="115" t="str">
        <x:v>Pièces décrites, murs, portes, niveaux et mobilier inspectables à l’échelle. Volumes réservés, raccord au seed, butin, rencontres et services de campagne restent à terminer.</x:v>
      </x:c>
    </x:row>
    <x:row r="824" ht="96" customHeight="1">
      <x:c r="A824" s="115" t="str">
        <x:v>EXT-MONDE-T017-V19</x:v>
      </x:c>
      <x:c r="B824" s="115" t="str">
        <x:v>EXT-MONDE-T017</x:v>
      </x:c>
      <x:c r="C824" s="115" t="str">
        <x:v>Littoral</x:v>
      </x:c>
      <x:c r="D824" s="115" t="str">
        <x:v>Phare et logements</x:v>
      </x:c>
      <x:c r="E824" s="115" t="n">
        <x:v>19</x:v>
      </x:c>
      <x:c r="F824" s="115" t="str">
        <x:v>Inspection physique</x:v>
      </x:c>
      <x:c r="G824" s="115" t="str">
        <x:v>1 niveaux ; 32 pièces ; 248 segments de mur ; 0 transitions. Inspection physique ; architecture complète encore ouverte.</x:v>
      </x:c>
      <x:c r="H824" s="115" t="str">
        <x:v>L 288 ; l 246 ; hauteur 30 m ; choix de composition auteur ; dimensions réelles à documenter</x:v>
      </x:c>
      <x:c r="I824" s="115" t="str">
        <x:v>À équilibrer</x:v>
      </x:c>
      <x:c r="J824" s="115" t="str">
        <x:v>Non</x:v>
      </x:c>
      <x:c r="K824" s="115" t="str">
        <x:v>Pièces décrites, murs, portes, niveaux et mobilier inspectables à l’échelle. Volumes réservés, raccord au seed, butin, rencontres et services de campagne restent à terminer.</x:v>
      </x:c>
    </x:row>
    <x:row r="825" ht="96" customHeight="1">
      <x:c r="A825" s="115" t="str">
        <x:v>EXT-MONDE-T017-V20</x:v>
      </x:c>
      <x:c r="B825" s="115" t="str">
        <x:v>EXT-MONDE-T017</x:v>
      </x:c>
      <x:c r="C825" s="115" t="str">
        <x:v>Littoral</x:v>
      </x:c>
      <x:c r="D825" s="115" t="str">
        <x:v>Phare et logements</x:v>
      </x:c>
      <x:c r="E825" s="115" t="n">
        <x:v>20</x:v>
      </x:c>
      <x:c r="F825" s="115" t="str">
        <x:v>Inspection physique</x:v>
      </x:c>
      <x:c r="G825" s="115" t="str">
        <x:v>1 niveaux ; 32 pièces ; 248 segments de mur ; 0 transitions. Inspection physique ; architecture complète encore ouverte.</x:v>
      </x:c>
      <x:c r="H825" s="115" t="str">
        <x:v>L 288 ; l 246 ; hauteur 30 m ; choix de composition auteur ; dimensions réelles à documenter</x:v>
      </x:c>
      <x:c r="I825" s="115" t="str">
        <x:v>À équilibrer</x:v>
      </x:c>
      <x:c r="J825" s="115" t="str">
        <x:v>Non</x:v>
      </x:c>
      <x:c r="K825" s="115" t="str">
        <x:v>Pièces décrites, murs, portes, niveaux et mobilier inspectables à l’échelle. Volumes réservés, raccord au seed, butin, rencontres et services de campagne restent à terminer.</x:v>
      </x:c>
    </x:row>
    <x:row r="826" ht="96" customHeight="1">
      <x:c r="A826" s="115" t="str">
        <x:v>EXT-MONDE-T017-V21</x:v>
      </x:c>
      <x:c r="B826" s="115" t="str">
        <x:v>EXT-MONDE-T017</x:v>
      </x:c>
      <x:c r="C826" s="115" t="str">
        <x:v>Littoral</x:v>
      </x:c>
      <x:c r="D826" s="115" t="str">
        <x:v>Phare et logements</x:v>
      </x:c>
      <x:c r="E826" s="115" t="n">
        <x:v>21</x:v>
      </x:c>
      <x:c r="F826" s="115" t="str">
        <x:v>Inspection physique</x:v>
      </x:c>
      <x:c r="G826" s="115" t="str">
        <x:v>1 niveaux ; 32 pièces ; 248 segments de mur ; 0 transitions. Inspection physique ; architecture complète encore ouverte.</x:v>
      </x:c>
      <x:c r="H826" s="115" t="str">
        <x:v>L 306 ; l 262 ; hauteur 32 m ; choix de composition auteur ; dimensions réelles à documenter</x:v>
      </x:c>
      <x:c r="I826" s="115" t="str">
        <x:v>À équilibrer</x:v>
      </x:c>
      <x:c r="J826" s="115" t="str">
        <x:v>Non</x:v>
      </x:c>
      <x:c r="K826" s="115" t="str">
        <x:v>Pièces décrites, murs, portes, niveaux et mobilier inspectables à l’échelle. Volumes réservés, raccord au seed, butin, rencontres et services de campagne restent à terminer.</x:v>
      </x:c>
    </x:row>
    <x:row r="827" ht="96" customHeight="1">
      <x:c r="A827" s="115" t="str">
        <x:v>EXT-MONDE-T017-V22</x:v>
      </x:c>
      <x:c r="B827" s="115" t="str">
        <x:v>EXT-MONDE-T017</x:v>
      </x:c>
      <x:c r="C827" s="115" t="str">
        <x:v>Littoral</x:v>
      </x:c>
      <x:c r="D827" s="115" t="str">
        <x:v>Phare et logements</x:v>
      </x:c>
      <x:c r="E827" s="115" t="n">
        <x:v>22</x:v>
      </x:c>
      <x:c r="F827" s="115" t="str">
        <x:v>Inspection physique</x:v>
      </x:c>
      <x:c r="G827" s="115" t="str">
        <x:v>1 niveaux ; 32 pièces ; 248 segments de mur ; 0 transitions. Inspection physique ; architecture complète encore ouverte.</x:v>
      </x:c>
      <x:c r="H827" s="115" t="str">
        <x:v>L 306 ; l 262 ; hauteur 32 m ; choix de composition auteur ; dimensions réelles à documenter</x:v>
      </x:c>
      <x:c r="I827" s="115" t="str">
        <x:v>À équilibrer</x:v>
      </x:c>
      <x:c r="J827" s="115" t="str">
        <x:v>Non</x:v>
      </x:c>
      <x:c r="K827" s="115" t="str">
        <x:v>Pièces décrites, murs, portes, niveaux et mobilier inspectables à l’échelle. Volumes réservés, raccord au seed, butin, rencontres et services de campagne restent à terminer.</x:v>
      </x:c>
    </x:row>
    <x:row r="828" ht="96" customHeight="1">
      <x:c r="A828" s="115" t="str">
        <x:v>EXT-MONDE-T017-V23</x:v>
      </x:c>
      <x:c r="B828" s="115" t="str">
        <x:v>EXT-MONDE-T017</x:v>
      </x:c>
      <x:c r="C828" s="115" t="str">
        <x:v>Littoral</x:v>
      </x:c>
      <x:c r="D828" s="115" t="str">
        <x:v>Phare et logements</x:v>
      </x:c>
      <x:c r="E828" s="115" t="n">
        <x:v>23</x:v>
      </x:c>
      <x:c r="F828" s="115" t="str">
        <x:v>Inspection physique</x:v>
      </x:c>
      <x:c r="G828" s="115" t="str">
        <x:v>1 niveaux ; 32 pièces ; 248 segments de mur ; 0 transitions. Inspection physique ; architecture complète encore ouverte.</x:v>
      </x:c>
      <x:c r="H828" s="115" t="str">
        <x:v>L 306 ; l 262 ; hauteur 32 m ; choix de composition auteur ; dimensions réelles à documenter</x:v>
      </x:c>
      <x:c r="I828" s="115" t="str">
        <x:v>À équilibrer</x:v>
      </x:c>
      <x:c r="J828" s="115" t="str">
        <x:v>Non</x:v>
      </x:c>
      <x:c r="K828" s="115" t="str">
        <x:v>Pièces décrites, murs, portes, niveaux et mobilier inspectables à l’échelle. Volumes réservés, raccord au seed, butin, rencontres et services de campagne restent à terminer.</x:v>
      </x:c>
    </x:row>
    <x:row r="829" ht="96" customHeight="1">
      <x:c r="A829" s="115" t="str">
        <x:v>EXT-MONDE-T017-V24</x:v>
      </x:c>
      <x:c r="B829" s="115" t="str">
        <x:v>EXT-MONDE-T017</x:v>
      </x:c>
      <x:c r="C829" s="115" t="str">
        <x:v>Littoral</x:v>
      </x:c>
      <x:c r="D829" s="115" t="str">
        <x:v>Phare et logements</x:v>
      </x:c>
      <x:c r="E829" s="115" t="n">
        <x:v>24</x:v>
      </x:c>
      <x:c r="F829" s="115" t="str">
        <x:v>Inspection physique</x:v>
      </x:c>
      <x:c r="G829" s="115" t="str">
        <x:v>1 niveaux ; 32 pièces ; 248 segments de mur ; 0 transitions. Inspection physique ; architecture complète encore ouverte.</x:v>
      </x:c>
      <x:c r="H829" s="115" t="str">
        <x:v>L 306 ; l 262 ; hauteur 32 m ; choix de composition auteur ; dimensions réelles à documenter</x:v>
      </x:c>
      <x:c r="I829" s="115" t="str">
        <x:v>À équilibrer</x:v>
      </x:c>
      <x:c r="J829" s="115" t="str">
        <x:v>Non</x:v>
      </x:c>
      <x:c r="K829" s="115" t="str">
        <x:v>Pièces décrites, murs, portes, niveaux et mobilier inspectables à l’échelle. Volumes réservés, raccord au seed, butin, rencontres et services de campagne restent à terminer.</x:v>
      </x:c>
    </x:row>
    <x:row r="830" ht="96" customHeight="1">
      <x:c r="A830" s="115" t="str">
        <x:v>EXT-MONDE-T017-V25</x:v>
      </x:c>
      <x:c r="B830" s="115" t="str">
        <x:v>EXT-MONDE-T017</x:v>
      </x:c>
      <x:c r="C830" s="115" t="str">
        <x:v>Littoral</x:v>
      </x:c>
      <x:c r="D830" s="115" t="str">
        <x:v>Phare et logements</x:v>
      </x:c>
      <x:c r="E830" s="115" t="n">
        <x:v>25</x:v>
      </x:c>
      <x:c r="F830" s="115" t="str">
        <x:v>Inspection physique</x:v>
      </x:c>
      <x:c r="G830" s="115" t="str">
        <x:v>1 niveaux ; 32 pièces ; 248 segments de mur ; 0 transitions. Inspection physique ; architecture complète encore ouverte.</x:v>
      </x:c>
      <x:c r="H830" s="115" t="str">
        <x:v>L 306 ; l 262 ; hauteur 32 m ; choix de composition auteur ; dimensions réelles à documenter</x:v>
      </x:c>
      <x:c r="I830" s="115" t="str">
        <x:v>À équilibrer</x:v>
      </x:c>
      <x:c r="J830" s="115" t="str">
        <x:v>Non</x:v>
      </x:c>
      <x:c r="K830" s="115" t="str">
        <x:v>Pièces décrites, murs, portes, niveaux et mobilier inspectables à l’échelle. Volumes réservés, raccord au seed, butin, rencontres et services de campagne restent à terminer.</x:v>
      </x:c>
    </x:row>
    <x:row r="831" ht="96" customHeight="1">
      <x:c r="A831" s="115" t="str">
        <x:v>EXT-MONDE-T017-V26</x:v>
      </x:c>
      <x:c r="B831" s="115" t="str">
        <x:v>EXT-MONDE-T017</x:v>
      </x:c>
      <x:c r="C831" s="115" t="str">
        <x:v>Littoral</x:v>
      </x:c>
      <x:c r="D831" s="115" t="str">
        <x:v>Phare et logements</x:v>
      </x:c>
      <x:c r="E831" s="115" t="n">
        <x:v>26</x:v>
      </x:c>
      <x:c r="F831" s="115" t="str">
        <x:v>Inspection physique</x:v>
      </x:c>
      <x:c r="G831" s="115" t="str">
        <x:v>1 niveaux ; 32 pièces ; 248 segments de mur ; 0 transitions. Inspection physique ; architecture complète encore ouverte.</x:v>
      </x:c>
      <x:c r="H831" s="115" t="str">
        <x:v>L 306 ; l 262 ; hauteur 32 m ; choix de composition auteur ; dimensions réelles à documenter</x:v>
      </x:c>
      <x:c r="I831" s="115" t="str">
        <x:v>À équilibrer</x:v>
      </x:c>
      <x:c r="J831" s="115" t="str">
        <x:v>Non</x:v>
      </x:c>
      <x:c r="K831" s="115" t="str">
        <x:v>Pièces décrites, murs, portes, niveaux et mobilier inspectables à l’échelle. Volumes réservés, raccord au seed, butin, rencontres et services de campagne restent à terminer.</x:v>
      </x:c>
    </x:row>
    <x:row r="832" ht="96" customHeight="1">
      <x:c r="A832" s="115" t="str">
        <x:v>EXT-MONDE-T017-V27</x:v>
      </x:c>
      <x:c r="B832" s="115" t="str">
        <x:v>EXT-MONDE-T017</x:v>
      </x:c>
      <x:c r="C832" s="115" t="str">
        <x:v>Littoral</x:v>
      </x:c>
      <x:c r="D832" s="115" t="str">
        <x:v>Phare et logements</x:v>
      </x:c>
      <x:c r="E832" s="115" t="n">
        <x:v>27</x:v>
      </x:c>
      <x:c r="F832" s="115" t="str">
        <x:v>Inspection physique</x:v>
      </x:c>
      <x:c r="G832" s="115" t="str">
        <x:v>1 niveaux ; 32 pièces ; 248 segments de mur ; 0 transitions. Inspection physique ; architecture complète encore ouverte.</x:v>
      </x:c>
      <x:c r="H832" s="115" t="str">
        <x:v>L 306 ; l 262 ; hauteur 32 m ; choix de composition auteur ; dimensions réelles à documenter</x:v>
      </x:c>
      <x:c r="I832" s="115" t="str">
        <x:v>À équilibrer</x:v>
      </x:c>
      <x:c r="J832" s="115" t="str">
        <x:v>Non</x:v>
      </x:c>
      <x:c r="K832" s="115" t="str">
        <x:v>Pièces décrites, murs, portes, niveaux et mobilier inspectables à l’échelle. Volumes réservés, raccord au seed, butin, rencontres et services de campagne restent à terminer.</x:v>
      </x:c>
    </x:row>
    <x:row r="833" ht="96" customHeight="1">
      <x:c r="A833" s="115" t="str">
        <x:v>EXT-MONDE-T017-V28</x:v>
      </x:c>
      <x:c r="B833" s="115" t="str">
        <x:v>EXT-MONDE-T017</x:v>
      </x:c>
      <x:c r="C833" s="115" t="str">
        <x:v>Littoral</x:v>
      </x:c>
      <x:c r="D833" s="115" t="str">
        <x:v>Phare et logements</x:v>
      </x:c>
      <x:c r="E833" s="115" t="n">
        <x:v>28</x:v>
      </x:c>
      <x:c r="F833" s="115" t="str">
        <x:v>Inspection physique</x:v>
      </x:c>
      <x:c r="G833" s="115" t="str">
        <x:v>1 niveaux ; 32 pièces ; 248 segments de mur ; 0 transitions. Inspection physique ; architecture complète encore ouverte.</x:v>
      </x:c>
      <x:c r="H833" s="115" t="str">
        <x:v>L 306 ; l 262 ; hauteur 32 m ; choix de composition auteur ; dimensions réelles à documenter</x:v>
      </x:c>
      <x:c r="I833" s="115" t="str">
        <x:v>À équilibrer</x:v>
      </x:c>
      <x:c r="J833" s="115" t="str">
        <x:v>Non</x:v>
      </x:c>
      <x:c r="K833" s="115" t="str">
        <x:v>Pièces décrites, murs, portes, niveaux et mobilier inspectables à l’échelle. Volumes réservés, raccord au seed, butin, rencontres et services de campagne restent à terminer.</x:v>
      </x:c>
    </x:row>
    <x:row r="834" ht="96" customHeight="1">
      <x:c r="A834" s="115" t="str">
        <x:v>EXT-MONDE-T017-V29</x:v>
      </x:c>
      <x:c r="B834" s="115" t="str">
        <x:v>EXT-MONDE-T017</x:v>
      </x:c>
      <x:c r="C834" s="115" t="str">
        <x:v>Littoral</x:v>
      </x:c>
      <x:c r="D834" s="115" t="str">
        <x:v>Phare et logements</x:v>
      </x:c>
      <x:c r="E834" s="115" t="n">
        <x:v>29</x:v>
      </x:c>
      <x:c r="F834" s="115" t="str">
        <x:v>Inspection physique</x:v>
      </x:c>
      <x:c r="G834" s="115" t="str">
        <x:v>1 niveaux ; 32 pièces ; 248 segments de mur ; 0 transitions. Inspection physique ; architecture complète encore ouverte.</x:v>
      </x:c>
      <x:c r="H834" s="115" t="str">
        <x:v>L 306 ; l 262 ; hauteur 32 m ; choix de composition auteur ; dimensions réelles à documenter</x:v>
      </x:c>
      <x:c r="I834" s="115" t="str">
        <x:v>À équilibrer</x:v>
      </x:c>
      <x:c r="J834" s="115" t="str">
        <x:v>Non</x:v>
      </x:c>
      <x:c r="K834" s="115" t="str">
        <x:v>Pièces décrites, murs, portes, niveaux et mobilier inspectables à l’échelle. Volumes réservés, raccord au seed, butin, rencontres et services de campagne restent à terminer.</x:v>
      </x:c>
    </x:row>
    <x:row r="835" ht="96" customHeight="1">
      <x:c r="A835" s="115" t="str">
        <x:v>EXT-MONDE-T017-V30</x:v>
      </x:c>
      <x:c r="B835" s="115" t="str">
        <x:v>EXT-MONDE-T017</x:v>
      </x:c>
      <x:c r="C835" s="115" t="str">
        <x:v>Littoral</x:v>
      </x:c>
      <x:c r="D835" s="115" t="str">
        <x:v>Phare et logements</x:v>
      </x:c>
      <x:c r="E835" s="115" t="n">
        <x:v>30</x:v>
      </x:c>
      <x:c r="F835" s="115" t="str">
        <x:v>Inspection physique</x:v>
      </x:c>
      <x:c r="G835" s="115" t="str">
        <x:v>1 niveaux ; 32 pièces ; 248 segments de mur ; 0 transitions. Inspection physique ; architecture complète encore ouverte.</x:v>
      </x:c>
      <x:c r="H835" s="115" t="str">
        <x:v>L 306 ; l 262 ; hauteur 32 m ; choix de composition auteur ; dimensions réelles à documenter</x:v>
      </x:c>
      <x:c r="I835" s="115" t="str">
        <x:v>À équilibrer</x:v>
      </x:c>
      <x:c r="J835" s="115" t="str">
        <x:v>Non</x:v>
      </x:c>
      <x:c r="K835" s="115" t="str">
        <x:v>Pièces décrites, murs, portes, niveaux et mobilier inspectables à l’échelle. Volumes réservés, raccord au seed, butin, rencontres et services de campagne restent à terminer.</x:v>
      </x:c>
    </x:row>
    <x:row r="836" ht="96" customHeight="1">
      <x:c r="A836" s="115" t="str">
        <x:v>EXT-MONDE-T017-V31</x:v>
      </x:c>
      <x:c r="B836" s="115" t="str">
        <x:v>EXT-MONDE-T017</x:v>
      </x:c>
      <x:c r="C836" s="115" t="str">
        <x:v>Littoral</x:v>
      </x:c>
      <x:c r="D836" s="115" t="str">
        <x:v>Phare et logements</x:v>
      </x:c>
      <x:c r="E836" s="115" t="n">
        <x:v>31</x:v>
      </x:c>
      <x:c r="F836" s="115" t="str">
        <x:v>Inspection physique</x:v>
      </x:c>
      <x:c r="G836" s="115" t="str">
        <x:v>1 niveaux ; 32 pièces ; 248 segments de mur ; 0 transitions. Inspection physique ; architecture complète encore ouverte.</x:v>
      </x:c>
      <x:c r="H836" s="115" t="str">
        <x:v>L 324 ; l 278 ; hauteur 34 m ; choix de composition auteur ; dimensions réelles à documenter</x:v>
      </x:c>
      <x:c r="I836" s="115" t="str">
        <x:v>À équilibrer</x:v>
      </x:c>
      <x:c r="J836" s="115" t="str">
        <x:v>Non</x:v>
      </x:c>
      <x:c r="K836" s="115" t="str">
        <x:v>Pièces décrites, murs, portes, niveaux et mobilier inspectables à l’échelle. Volumes réservés, raccord au seed, butin, rencontres et services de campagne restent à terminer.</x:v>
      </x:c>
    </x:row>
    <x:row r="837" ht="96" customHeight="1">
      <x:c r="A837" s="115" t="str">
        <x:v>EXT-MONDE-T017-V32</x:v>
      </x:c>
      <x:c r="B837" s="115" t="str">
        <x:v>EXT-MONDE-T017</x:v>
      </x:c>
      <x:c r="C837" s="115" t="str">
        <x:v>Littoral</x:v>
      </x:c>
      <x:c r="D837" s="115" t="str">
        <x:v>Phare et logements</x:v>
      </x:c>
      <x:c r="E837" s="115" t="n">
        <x:v>32</x:v>
      </x:c>
      <x:c r="F837" s="115" t="str">
        <x:v>Inspection physique</x:v>
      </x:c>
      <x:c r="G837" s="115" t="str">
        <x:v>1 niveaux ; 32 pièces ; 248 segments de mur ; 0 transitions. Inspection physique ; architecture complète encore ouverte.</x:v>
      </x:c>
      <x:c r="H837" s="115" t="str">
        <x:v>L 324 ; l 278 ; hauteur 34 m ; choix de composition auteur ; dimensions réelles à documenter</x:v>
      </x:c>
      <x:c r="I837" s="115" t="str">
        <x:v>À équilibrer</x:v>
      </x:c>
      <x:c r="J837" s="115" t="str">
        <x:v>Non</x:v>
      </x:c>
      <x:c r="K837" s="115" t="str">
        <x:v>Pièces décrites, murs, portes, niveaux et mobilier inspectables à l’échelle. Volumes réservés, raccord au seed, butin, rencontres et services de campagne restent à terminer.</x:v>
      </x:c>
    </x:row>
    <x:row r="838" ht="96" customHeight="1">
      <x:c r="A838" s="115" t="str">
        <x:v>EXT-MONDE-T017-V33</x:v>
      </x:c>
      <x:c r="B838" s="115" t="str">
        <x:v>EXT-MONDE-T017</x:v>
      </x:c>
      <x:c r="C838" s="115" t="str">
        <x:v>Littoral</x:v>
      </x:c>
      <x:c r="D838" s="115" t="str">
        <x:v>Phare et logements</x:v>
      </x:c>
      <x:c r="E838" s="115" t="n">
        <x:v>33</x:v>
      </x:c>
      <x:c r="F838" s="115" t="str">
        <x:v>Inspection physique</x:v>
      </x:c>
      <x:c r="G838" s="115" t="str">
        <x:v>1 niveaux ; 32 pièces ; 248 segments de mur ; 0 transitions. Inspection physique ; architecture complète encore ouverte.</x:v>
      </x:c>
      <x:c r="H838" s="115" t="str">
        <x:v>L 324 ; l 278 ; hauteur 34 m ; choix de composition auteur ; dimensions réelles à documenter</x:v>
      </x:c>
      <x:c r="I838" s="115" t="str">
        <x:v>À équilibrer</x:v>
      </x:c>
      <x:c r="J838" s="115" t="str">
        <x:v>Non</x:v>
      </x:c>
      <x:c r="K838" s="115" t="str">
        <x:v>Pièces décrites, murs, portes, niveaux et mobilier inspectables à l’échelle. Volumes réservés, raccord au seed, butin, rencontres et services de campagne restent à terminer.</x:v>
      </x:c>
    </x:row>
    <x:row r="839" ht="96" customHeight="1">
      <x:c r="A839" s="115" t="str">
        <x:v>EXT-MONDE-T017-V34</x:v>
      </x:c>
      <x:c r="B839" s="115" t="str">
        <x:v>EXT-MONDE-T017</x:v>
      </x:c>
      <x:c r="C839" s="115" t="str">
        <x:v>Littoral</x:v>
      </x:c>
      <x:c r="D839" s="115" t="str">
        <x:v>Phare et logements</x:v>
      </x:c>
      <x:c r="E839" s="115" t="n">
        <x:v>34</x:v>
      </x:c>
      <x:c r="F839" s="115" t="str">
        <x:v>Inspection physique</x:v>
      </x:c>
      <x:c r="G839" s="115" t="str">
        <x:v>1 niveaux ; 32 pièces ; 248 segments de mur ; 0 transitions. Inspection physique ; architecture complète encore ouverte.</x:v>
      </x:c>
      <x:c r="H839" s="115" t="str">
        <x:v>L 324 ; l 278 ; hauteur 34 m ; choix de composition auteur ; dimensions réelles à documenter</x:v>
      </x:c>
      <x:c r="I839" s="115" t="str">
        <x:v>À équilibrer</x:v>
      </x:c>
      <x:c r="J839" s="115" t="str">
        <x:v>Non</x:v>
      </x:c>
      <x:c r="K839" s="115" t="str">
        <x:v>Pièces décrites, murs, portes, niveaux et mobilier inspectables à l’échelle. Volumes réservés, raccord au seed, butin, rencontres et services de campagne restent à terminer.</x:v>
      </x:c>
    </x:row>
    <x:row r="840" ht="96" customHeight="1">
      <x:c r="A840" s="115" t="str">
        <x:v>EXT-MONDE-T017-V35</x:v>
      </x:c>
      <x:c r="B840" s="115" t="str">
        <x:v>EXT-MONDE-T017</x:v>
      </x:c>
      <x:c r="C840" s="115" t="str">
        <x:v>Littoral</x:v>
      </x:c>
      <x:c r="D840" s="115" t="str">
        <x:v>Phare et logements</x:v>
      </x:c>
      <x:c r="E840" s="115" t="n">
        <x:v>35</x:v>
      </x:c>
      <x:c r="F840" s="115" t="str">
        <x:v>Inspection physique</x:v>
      </x:c>
      <x:c r="G840" s="115" t="str">
        <x:v>1 niveaux ; 32 pièces ; 248 segments de mur ; 0 transitions. Inspection physique ; architecture complète encore ouverte.</x:v>
      </x:c>
      <x:c r="H840" s="115" t="str">
        <x:v>L 324 ; l 278 ; hauteur 34 m ; choix de composition auteur ; dimensions réelles à documenter</x:v>
      </x:c>
      <x:c r="I840" s="115" t="str">
        <x:v>À équilibrer</x:v>
      </x:c>
      <x:c r="J840" s="115" t="str">
        <x:v>Non</x:v>
      </x:c>
      <x:c r="K840" s="115" t="str">
        <x:v>Pièces décrites, murs, portes, niveaux et mobilier inspectables à l’échelle. Volumes réservés, raccord au seed, butin, rencontres et services de campagne restent à terminer.</x:v>
      </x:c>
    </x:row>
    <x:row r="841" ht="96" customHeight="1">
      <x:c r="A841" s="115" t="str">
        <x:v>EXT-MONDE-T017-V36</x:v>
      </x:c>
      <x:c r="B841" s="115" t="str">
        <x:v>EXT-MONDE-T017</x:v>
      </x:c>
      <x:c r="C841" s="115" t="str">
        <x:v>Littoral</x:v>
      </x:c>
      <x:c r="D841" s="115" t="str">
        <x:v>Phare et logements</x:v>
      </x:c>
      <x:c r="E841" s="115" t="n">
        <x:v>36</x:v>
      </x:c>
      <x:c r="F841" s="115" t="str">
        <x:v>Inspection physique</x:v>
      </x:c>
      <x:c r="G841" s="115" t="str">
        <x:v>1 niveaux ; 32 pièces ; 248 segments de mur ; 0 transitions. Inspection physique ; architecture complète encore ouverte.</x:v>
      </x:c>
      <x:c r="H841" s="115" t="str">
        <x:v>L 324 ; l 278 ; hauteur 34 m ; choix de composition auteur ; dimensions réelles à documenter</x:v>
      </x:c>
      <x:c r="I841" s="115" t="str">
        <x:v>À équilibrer</x:v>
      </x:c>
      <x:c r="J841" s="115" t="str">
        <x:v>Non</x:v>
      </x:c>
      <x:c r="K841" s="115" t="str">
        <x:v>Pièces décrites, murs, portes, niveaux et mobilier inspectables à l’échelle. Volumes réservés, raccord au seed, butin, rencontres et services de campagne restent à terminer.</x:v>
      </x:c>
    </x:row>
    <x:row r="842" ht="96" customHeight="1">
      <x:c r="A842" s="115" t="str">
        <x:v>EXT-MONDE-T017-V37</x:v>
      </x:c>
      <x:c r="B842" s="115" t="str">
        <x:v>EXT-MONDE-T017</x:v>
      </x:c>
      <x:c r="C842" s="115" t="str">
        <x:v>Littoral</x:v>
      </x:c>
      <x:c r="D842" s="115" t="str">
        <x:v>Phare et logements</x:v>
      </x:c>
      <x:c r="E842" s="115" t="n">
        <x:v>37</x:v>
      </x:c>
      <x:c r="F842" s="115" t="str">
        <x:v>Inspection physique</x:v>
      </x:c>
      <x:c r="G842" s="115" t="str">
        <x:v>1 niveaux ; 32 pièces ; 248 segments de mur ; 0 transitions. Inspection physique ; architecture complète encore ouverte.</x:v>
      </x:c>
      <x:c r="H842" s="115" t="str">
        <x:v>L 324 ; l 278 ; hauteur 34 m ; choix de composition auteur ; dimensions réelles à documenter</x:v>
      </x:c>
      <x:c r="I842" s="115" t="str">
        <x:v>À équilibrer</x:v>
      </x:c>
      <x:c r="J842" s="115" t="str">
        <x:v>Non</x:v>
      </x:c>
      <x:c r="K842" s="115" t="str">
        <x:v>Pièces décrites, murs, portes, niveaux et mobilier inspectables à l’échelle. Volumes réservés, raccord au seed, butin, rencontres et services de campagne restent à terminer.</x:v>
      </x:c>
    </x:row>
    <x:row r="843" ht="96" customHeight="1">
      <x:c r="A843" s="115" t="str">
        <x:v>EXT-MONDE-T017-V38</x:v>
      </x:c>
      <x:c r="B843" s="115" t="str">
        <x:v>EXT-MONDE-T017</x:v>
      </x:c>
      <x:c r="C843" s="115" t="str">
        <x:v>Littoral</x:v>
      </x:c>
      <x:c r="D843" s="115" t="str">
        <x:v>Phare et logements</x:v>
      </x:c>
      <x:c r="E843" s="115" t="n">
        <x:v>38</x:v>
      </x:c>
      <x:c r="F843" s="115" t="str">
        <x:v>Inspection physique</x:v>
      </x:c>
      <x:c r="G843" s="115" t="str">
        <x:v>1 niveaux ; 32 pièces ; 248 segments de mur ; 0 transitions. Inspection physique ; architecture complète encore ouverte.</x:v>
      </x:c>
      <x:c r="H843" s="115" t="str">
        <x:v>L 324 ; l 278 ; hauteur 34 m ; choix de composition auteur ; dimensions réelles à documenter</x:v>
      </x:c>
      <x:c r="I843" s="115" t="str">
        <x:v>À équilibrer</x:v>
      </x:c>
      <x:c r="J843" s="115" t="str">
        <x:v>Non</x:v>
      </x:c>
      <x:c r="K843" s="115" t="str">
        <x:v>Pièces décrites, murs, portes, niveaux et mobilier inspectables à l’échelle. Volumes réservés, raccord au seed, butin, rencontres et services de campagne restent à terminer.</x:v>
      </x:c>
    </x:row>
    <x:row r="844" ht="96" customHeight="1">
      <x:c r="A844" s="115" t="str">
        <x:v>EXT-MONDE-T017-V39</x:v>
      </x:c>
      <x:c r="B844" s="115" t="str">
        <x:v>EXT-MONDE-T017</x:v>
      </x:c>
      <x:c r="C844" s="115" t="str">
        <x:v>Littoral</x:v>
      </x:c>
      <x:c r="D844" s="115" t="str">
        <x:v>Phare et logements</x:v>
      </x:c>
      <x:c r="E844" s="115" t="n">
        <x:v>39</x:v>
      </x:c>
      <x:c r="F844" s="115" t="str">
        <x:v>Inspection physique</x:v>
      </x:c>
      <x:c r="G844" s="115" t="str">
        <x:v>1 niveaux ; 32 pièces ; 248 segments de mur ; 0 transitions. Inspection physique ; architecture complète encore ouverte.</x:v>
      </x:c>
      <x:c r="H844" s="115" t="str">
        <x:v>L 324 ; l 278 ; hauteur 34 m ; choix de composition auteur ; dimensions réelles à documenter</x:v>
      </x:c>
      <x:c r="I844" s="115" t="str">
        <x:v>À équilibrer</x:v>
      </x:c>
      <x:c r="J844" s="115" t="str">
        <x:v>Non</x:v>
      </x:c>
      <x:c r="K844" s="115" t="str">
        <x:v>Pièces décrites, murs, portes, niveaux et mobilier inspectables à l’échelle. Volumes réservés, raccord au seed, butin, rencontres et services de campagne restent à terminer.</x:v>
      </x:c>
    </x:row>
    <x:row r="845" ht="96" customHeight="1">
      <x:c r="A845" s="115" t="str">
        <x:v>EXT-MONDE-T017-V40</x:v>
      </x:c>
      <x:c r="B845" s="115" t="str">
        <x:v>EXT-MONDE-T017</x:v>
      </x:c>
      <x:c r="C845" s="115" t="str">
        <x:v>Littoral</x:v>
      </x:c>
      <x:c r="D845" s="115" t="str">
        <x:v>Phare et logements</x:v>
      </x:c>
      <x:c r="E845" s="115" t="n">
        <x:v>40</x:v>
      </x:c>
      <x:c r="F845" s="115" t="str">
        <x:v>Inspection physique</x:v>
      </x:c>
      <x:c r="G845" s="115" t="str">
        <x:v>1 niveaux ; 32 pièces ; 248 segments de mur ; 0 transitions. Inspection physique ; architecture complète encore ouverte.</x:v>
      </x:c>
      <x:c r="H845" s="115" t="str">
        <x:v>L 324 ; l 278 ; hauteur 34 m ; choix de composition auteur ; dimensions réelles à documenter</x:v>
      </x:c>
      <x:c r="I845" s="115" t="str">
        <x:v>À équilibrer</x:v>
      </x:c>
      <x:c r="J845" s="115" t="str">
        <x:v>Non</x:v>
      </x:c>
      <x:c r="K845" s="115" t="str">
        <x:v>Pièces décrites, murs, portes, niveaux et mobilier inspectables à l’échelle. Volumes réservés, raccord au seed, butin, rencontres et services de campagne restent à terminer.</x:v>
      </x:c>
    </x:row>
    <x:row r="846" ht="96" customHeight="1">
      <x:c r="A846" s="115" t="str">
        <x:v>EXT-MONDE-T017-V41</x:v>
      </x:c>
      <x:c r="B846" s="115" t="str">
        <x:v>EXT-MONDE-T017</x:v>
      </x:c>
      <x:c r="C846" s="115" t="str">
        <x:v>Littoral</x:v>
      </x:c>
      <x:c r="D846" s="115" t="str">
        <x:v>Phare et logements</x:v>
      </x:c>
      <x:c r="E846" s="115" t="n">
        <x:v>41</x:v>
      </x:c>
      <x:c r="F846" s="115" t="str">
        <x:v>Inspection physique</x:v>
      </x:c>
      <x:c r="G846" s="115" t="str">
        <x:v>1 niveaux ; 32 pièces ; 248 segments de mur ; 0 transitions. Inspection physique ; architecture complète encore ouverte.</x:v>
      </x:c>
      <x:c r="H846" s="115" t="str">
        <x:v>L 342 ; l 294 ; hauteur 36 m ; choix de composition auteur ; dimensions réelles à documenter</x:v>
      </x:c>
      <x:c r="I846" s="115" t="str">
        <x:v>À équilibrer</x:v>
      </x:c>
      <x:c r="J846" s="115" t="str">
        <x:v>Non</x:v>
      </x:c>
      <x:c r="K846" s="115" t="str">
        <x:v>Pièces décrites, murs, portes, niveaux et mobilier inspectables à l’échelle. Volumes réservés, raccord au seed, butin, rencontres et services de campagne restent à terminer.</x:v>
      </x:c>
    </x:row>
    <x:row r="847" ht="96" customHeight="1">
      <x:c r="A847" s="115" t="str">
        <x:v>EXT-MONDE-T017-V42</x:v>
      </x:c>
      <x:c r="B847" s="115" t="str">
        <x:v>EXT-MONDE-T017</x:v>
      </x:c>
      <x:c r="C847" s="115" t="str">
        <x:v>Littoral</x:v>
      </x:c>
      <x:c r="D847" s="115" t="str">
        <x:v>Phare et logements</x:v>
      </x:c>
      <x:c r="E847" s="115" t="n">
        <x:v>42</x:v>
      </x:c>
      <x:c r="F847" s="115" t="str">
        <x:v>Inspection physique</x:v>
      </x:c>
      <x:c r="G847" s="115" t="str">
        <x:v>1 niveaux ; 32 pièces ; 248 segments de mur ; 0 transitions. Inspection physique ; architecture complète encore ouverte.</x:v>
      </x:c>
      <x:c r="H847" s="115" t="str">
        <x:v>L 342 ; l 294 ; hauteur 36 m ; choix de composition auteur ; dimensions réelles à documenter</x:v>
      </x:c>
      <x:c r="I847" s="115" t="str">
        <x:v>À équilibrer</x:v>
      </x:c>
      <x:c r="J847" s="115" t="str">
        <x:v>Non</x:v>
      </x:c>
      <x:c r="K847" s="115" t="str">
        <x:v>Pièces décrites, murs, portes, niveaux et mobilier inspectables à l’échelle. Volumes réservés, raccord au seed, butin, rencontres et services de campagne restent à terminer.</x:v>
      </x:c>
    </x:row>
    <x:row r="848" ht="96" customHeight="1">
      <x:c r="A848" s="115" t="str">
        <x:v>EXT-MONDE-T017-V43</x:v>
      </x:c>
      <x:c r="B848" s="115" t="str">
        <x:v>EXT-MONDE-T017</x:v>
      </x:c>
      <x:c r="C848" s="115" t="str">
        <x:v>Littoral</x:v>
      </x:c>
      <x:c r="D848" s="115" t="str">
        <x:v>Phare et logements</x:v>
      </x:c>
      <x:c r="E848" s="115" t="n">
        <x:v>43</x:v>
      </x:c>
      <x:c r="F848" s="115" t="str">
        <x:v>Inspection physique</x:v>
      </x:c>
      <x:c r="G848" s="115" t="str">
        <x:v>1 niveaux ; 32 pièces ; 248 segments de mur ; 0 transitions. Inspection physique ; architecture complète encore ouverte.</x:v>
      </x:c>
      <x:c r="H848" s="115" t="str">
        <x:v>L 342 ; l 294 ; hauteur 36 m ; choix de composition auteur ; dimensions réelles à documenter</x:v>
      </x:c>
      <x:c r="I848" s="115" t="str">
        <x:v>À équilibrer</x:v>
      </x:c>
      <x:c r="J848" s="115" t="str">
        <x:v>Non</x:v>
      </x:c>
      <x:c r="K848" s="115" t="str">
        <x:v>Pièces décrites, murs, portes, niveaux et mobilier inspectables à l’échelle. Volumes réservés, raccord au seed, butin, rencontres et services de campagne restent à terminer.</x:v>
      </x:c>
    </x:row>
    <x:row r="849" ht="96" customHeight="1">
      <x:c r="A849" s="115" t="str">
        <x:v>EXT-MONDE-T017-V44</x:v>
      </x:c>
      <x:c r="B849" s="115" t="str">
        <x:v>EXT-MONDE-T017</x:v>
      </x:c>
      <x:c r="C849" s="115" t="str">
        <x:v>Littoral</x:v>
      </x:c>
      <x:c r="D849" s="115" t="str">
        <x:v>Phare et logements</x:v>
      </x:c>
      <x:c r="E849" s="115" t="n">
        <x:v>44</x:v>
      </x:c>
      <x:c r="F849" s="115" t="str">
        <x:v>Inspection physique</x:v>
      </x:c>
      <x:c r="G849" s="115" t="str">
        <x:v>1 niveaux ; 32 pièces ; 248 segments de mur ; 0 transitions. Inspection physique ; architecture complète encore ouverte.</x:v>
      </x:c>
      <x:c r="H849" s="115" t="str">
        <x:v>L 342 ; l 294 ; hauteur 36 m ; choix de composition auteur ; dimensions réelles à documenter</x:v>
      </x:c>
      <x:c r="I849" s="115" t="str">
        <x:v>À équilibrer</x:v>
      </x:c>
      <x:c r="J849" s="115" t="str">
        <x:v>Non</x:v>
      </x:c>
      <x:c r="K849" s="115" t="str">
        <x:v>Pièces décrites, murs, portes, niveaux et mobilier inspectables à l’échelle. Volumes réservés, raccord au seed, butin, rencontres et services de campagne restent à terminer.</x:v>
      </x:c>
    </x:row>
    <x:row r="850" ht="96" customHeight="1">
      <x:c r="A850" s="115" t="str">
        <x:v>EXT-MONDE-T017-V45</x:v>
      </x:c>
      <x:c r="B850" s="115" t="str">
        <x:v>EXT-MONDE-T017</x:v>
      </x:c>
      <x:c r="C850" s="115" t="str">
        <x:v>Littoral</x:v>
      </x:c>
      <x:c r="D850" s="115" t="str">
        <x:v>Phare et logements</x:v>
      </x:c>
      <x:c r="E850" s="115" t="n">
        <x:v>45</x:v>
      </x:c>
      <x:c r="F850" s="115" t="str">
        <x:v>Inspection physique</x:v>
      </x:c>
      <x:c r="G850" s="115" t="str">
        <x:v>1 niveaux ; 32 pièces ; 248 segments de mur ; 0 transitions. Inspection physique ; architecture complète encore ouverte.</x:v>
      </x:c>
      <x:c r="H850" s="115" t="str">
        <x:v>L 342 ; l 294 ; hauteur 36 m ; choix de composition auteur ; dimensions réelles à documenter</x:v>
      </x:c>
      <x:c r="I850" s="115" t="str">
        <x:v>À équilibrer</x:v>
      </x:c>
      <x:c r="J850" s="115" t="str">
        <x:v>Non</x:v>
      </x:c>
      <x:c r="K850" s="115" t="str">
        <x:v>Pièces décrites, murs, portes, niveaux et mobilier inspectables à l’échelle. Volumes réservés, raccord au seed, butin, rencontres et services de campagne restent à terminer.</x:v>
      </x:c>
    </x:row>
    <x:row r="851" ht="96" customHeight="1">
      <x:c r="A851" s="115" t="str">
        <x:v>EXT-MONDE-T017-V46</x:v>
      </x:c>
      <x:c r="B851" s="115" t="str">
        <x:v>EXT-MONDE-T017</x:v>
      </x:c>
      <x:c r="C851" s="115" t="str">
        <x:v>Littoral</x:v>
      </x:c>
      <x:c r="D851" s="115" t="str">
        <x:v>Phare et logements</x:v>
      </x:c>
      <x:c r="E851" s="115" t="n">
        <x:v>46</x:v>
      </x:c>
      <x:c r="F851" s="115" t="str">
        <x:v>Inspection physique</x:v>
      </x:c>
      <x:c r="G851" s="115" t="str">
        <x:v>1 niveaux ; 32 pièces ; 248 segments de mur ; 0 transitions. Inspection physique ; architecture complète encore ouverte.</x:v>
      </x:c>
      <x:c r="H851" s="115" t="str">
        <x:v>L 342 ; l 294 ; hauteur 36 m ; choix de composition auteur ; dimensions réelles à documenter</x:v>
      </x:c>
      <x:c r="I851" s="115" t="str">
        <x:v>À équilibrer</x:v>
      </x:c>
      <x:c r="J851" s="115" t="str">
        <x:v>Non</x:v>
      </x:c>
      <x:c r="K851" s="115" t="str">
        <x:v>Pièces décrites, murs, portes, niveaux et mobilier inspectables à l’échelle. Volumes réservés, raccord au seed, butin, rencontres et services de campagne restent à terminer.</x:v>
      </x:c>
    </x:row>
    <x:row r="852" ht="96" customHeight="1">
      <x:c r="A852" s="115" t="str">
        <x:v>EXT-MONDE-T017-V47</x:v>
      </x:c>
      <x:c r="B852" s="115" t="str">
        <x:v>EXT-MONDE-T017</x:v>
      </x:c>
      <x:c r="C852" s="115" t="str">
        <x:v>Littoral</x:v>
      </x:c>
      <x:c r="D852" s="115" t="str">
        <x:v>Phare et logements</x:v>
      </x:c>
      <x:c r="E852" s="115" t="n">
        <x:v>47</x:v>
      </x:c>
      <x:c r="F852" s="115" t="str">
        <x:v>Inspection physique</x:v>
      </x:c>
      <x:c r="G852" s="115" t="str">
        <x:v>1 niveaux ; 32 pièces ; 248 segments de mur ; 0 transitions. Inspection physique ; architecture complète encore ouverte.</x:v>
      </x:c>
      <x:c r="H852" s="115" t="str">
        <x:v>L 342 ; l 294 ; hauteur 36 m ; choix de composition auteur ; dimensions réelles à documenter</x:v>
      </x:c>
      <x:c r="I852" s="115" t="str">
        <x:v>À équilibrer</x:v>
      </x:c>
      <x:c r="J852" s="115" t="str">
        <x:v>Non</x:v>
      </x:c>
      <x:c r="K852" s="115" t="str">
        <x:v>Pièces décrites, murs, portes, niveaux et mobilier inspectables à l’échelle. Volumes réservés, raccord au seed, butin, rencontres et services de campagne restent à terminer.</x:v>
      </x:c>
    </x:row>
    <x:row r="853" ht="96" customHeight="1">
      <x:c r="A853" s="115" t="str">
        <x:v>EXT-MONDE-T017-V48</x:v>
      </x:c>
      <x:c r="B853" s="115" t="str">
        <x:v>EXT-MONDE-T017</x:v>
      </x:c>
      <x:c r="C853" s="115" t="str">
        <x:v>Littoral</x:v>
      </x:c>
      <x:c r="D853" s="115" t="str">
        <x:v>Phare et logements</x:v>
      </x:c>
      <x:c r="E853" s="115" t="n">
        <x:v>48</x:v>
      </x:c>
      <x:c r="F853" s="115" t="str">
        <x:v>Inspection physique</x:v>
      </x:c>
      <x:c r="G853" s="115" t="str">
        <x:v>1 niveaux ; 32 pièces ; 248 segments de mur ; 0 transitions. Inspection physique ; architecture complète encore ouverte.</x:v>
      </x:c>
      <x:c r="H853" s="115" t="str">
        <x:v>L 342 ; l 294 ; hauteur 36 m ; choix de composition auteur ; dimensions réelles à documenter</x:v>
      </x:c>
      <x:c r="I853" s="115" t="str">
        <x:v>À équilibrer</x:v>
      </x:c>
      <x:c r="J853" s="115" t="str">
        <x:v>Non</x:v>
      </x:c>
      <x:c r="K853" s="115" t="str">
        <x:v>Pièces décrites, murs, portes, niveaux et mobilier inspectables à l’échelle. Volumes réservés, raccord au seed, butin, rencontres et services de campagne restent à terminer.</x:v>
      </x:c>
    </x:row>
    <x:row r="854" ht="96" customHeight="1">
      <x:c r="A854" s="115" t="str">
        <x:v>EXT-MONDE-T017-V49</x:v>
      </x:c>
      <x:c r="B854" s="115" t="str">
        <x:v>EXT-MONDE-T017</x:v>
      </x:c>
      <x:c r="C854" s="115" t="str">
        <x:v>Littoral</x:v>
      </x:c>
      <x:c r="D854" s="115" t="str">
        <x:v>Phare et logements</x:v>
      </x:c>
      <x:c r="E854" s="115" t="n">
        <x:v>49</x:v>
      </x:c>
      <x:c r="F854" s="115" t="str">
        <x:v>Inspection physique</x:v>
      </x:c>
      <x:c r="G854" s="115" t="str">
        <x:v>1 niveaux ; 32 pièces ; 248 segments de mur ; 0 transitions. Inspection physique ; architecture complète encore ouverte.</x:v>
      </x:c>
      <x:c r="H854" s="115" t="str">
        <x:v>L 342 ; l 294 ; hauteur 36 m ; choix de composition auteur ; dimensions réelles à documenter</x:v>
      </x:c>
      <x:c r="I854" s="115" t="str">
        <x:v>À équilibrer</x:v>
      </x:c>
      <x:c r="J854" s="115" t="str">
        <x:v>Non</x:v>
      </x:c>
      <x:c r="K854" s="115" t="str">
        <x:v>Pièces décrites, murs, portes, niveaux et mobilier inspectables à l’échelle. Volumes réservés, raccord au seed, butin, rencontres et services de campagne restent à terminer.</x:v>
      </x:c>
    </x:row>
    <x:row r="855" ht="96" customHeight="1">
      <x:c r="A855" s="115" t="str">
        <x:v>EXT-MONDE-T017-V50</x:v>
      </x:c>
      <x:c r="B855" s="115" t="str">
        <x:v>EXT-MONDE-T017</x:v>
      </x:c>
      <x:c r="C855" s="115" t="str">
        <x:v>Littoral</x:v>
      </x:c>
      <x:c r="D855" s="115" t="str">
        <x:v>Phare et logements</x:v>
      </x:c>
      <x:c r="E855" s="115" t="n">
        <x:v>50</x:v>
      </x:c>
      <x:c r="F855" s="115" t="str">
        <x:v>Inspection physique</x:v>
      </x:c>
      <x:c r="G855" s="115" t="str">
        <x:v>1 niveaux ; 32 pièces ; 248 segments de mur ; 0 transitions. Inspection physique ; architecture complète encore ouverte.</x:v>
      </x:c>
      <x:c r="H855" s="115" t="str">
        <x:v>L 342 ; l 294 ; hauteur 36 m ; choix de composition auteur ; dimensions réelles à documenter</x:v>
      </x:c>
      <x:c r="I855" s="115" t="str">
        <x:v>À équilibrer</x:v>
      </x:c>
      <x:c r="J855" s="115" t="str">
        <x:v>Non</x:v>
      </x:c>
      <x:c r="K855" s="115" t="str">
        <x:v>Pièces décrites, murs, portes, niveaux et mobilier inspectables à l’échelle. Volumes réservés, raccord au seed, butin, rencontres et services de campagne restent à terminer.</x:v>
      </x:c>
    </x:row>
    <x:row r="856" ht="96" customHeight="1">
      <x:c r="A856" s="115" t="str">
        <x:v>EXT-MONDE-T018-V01</x:v>
      </x:c>
      <x:c r="B856" s="115" t="str">
        <x:v>EXT-MONDE-T018</x:v>
      </x:c>
      <x:c r="C856" s="115" t="str">
        <x:v>Littoral</x:v>
      </x:c>
      <x:c r="D856" s="115" t="str">
        <x:v>Fête foraine portuaire</x:v>
      </x:c>
      <x:c r="E856" s="115" t="n">
        <x:v>1</x:v>
      </x:c>
      <x:c r="F856" s="115" t="str">
        <x:v>Inspection physique</x:v>
      </x:c>
      <x:c r="G856" s="115" t="str">
        <x:v>1 niveaux ; 32 pièces ; 248 segments de mur ; 0 transitions. Inspection physique ; architecture complète encore ouverte.</x:v>
      </x:c>
      <x:c r="H856" s="115" t="str">
        <x:v>L 270 ; l 230 ; hauteur 24 m ; choix de composition auteur ; dimensions réelles à documenter</x:v>
      </x:c>
      <x:c r="I856" s="115" t="str">
        <x:v>À équilibrer</x:v>
      </x:c>
      <x:c r="J856" s="115" t="str">
        <x:v>Non</x:v>
      </x:c>
      <x:c r="K856" s="115" t="str">
        <x:v>Pièces décrites, murs, portes, niveaux et mobilier inspectables à l’échelle. Volumes réservés, raccord au seed, butin, rencontres et services de campagne restent à terminer.</x:v>
      </x:c>
    </x:row>
    <x:row r="857" ht="96" customHeight="1">
      <x:c r="A857" s="115" t="str">
        <x:v>EXT-MONDE-T018-V02</x:v>
      </x:c>
      <x:c r="B857" s="115" t="str">
        <x:v>EXT-MONDE-T018</x:v>
      </x:c>
      <x:c r="C857" s="115" t="str">
        <x:v>Littoral</x:v>
      </x:c>
      <x:c r="D857" s="115" t="str">
        <x:v>Fête foraine portuaire</x:v>
      </x:c>
      <x:c r="E857" s="115" t="n">
        <x:v>2</x:v>
      </x:c>
      <x:c r="F857" s="115" t="str">
        <x:v>Inspection physique</x:v>
      </x:c>
      <x:c r="G857" s="115" t="str">
        <x:v>1 niveaux ; 32 pièces ; 248 segments de mur ; 0 transitions. Inspection physique ; architecture complète encore ouverte.</x:v>
      </x:c>
      <x:c r="H857" s="115" t="str">
        <x:v>L 270 ; l 230 ; hauteur 24 m ; choix de composition auteur ; dimensions réelles à documenter</x:v>
      </x:c>
      <x:c r="I857" s="115" t="str">
        <x:v>À équilibrer</x:v>
      </x:c>
      <x:c r="J857" s="115" t="str">
        <x:v>Non</x:v>
      </x:c>
      <x:c r="K857" s="115" t="str">
        <x:v>Pièces décrites, murs, portes, niveaux et mobilier inspectables à l’échelle. Volumes réservés, raccord au seed, butin, rencontres et services de campagne restent à terminer.</x:v>
      </x:c>
    </x:row>
    <x:row r="858" ht="96" customHeight="1">
      <x:c r="A858" s="115" t="str">
        <x:v>EXT-MONDE-T018-V03</x:v>
      </x:c>
      <x:c r="B858" s="115" t="str">
        <x:v>EXT-MONDE-T018</x:v>
      </x:c>
      <x:c r="C858" s="115" t="str">
        <x:v>Littoral</x:v>
      </x:c>
      <x:c r="D858" s="115" t="str">
        <x:v>Fête foraine portuaire</x:v>
      </x:c>
      <x:c r="E858" s="115" t="n">
        <x:v>3</x:v>
      </x:c>
      <x:c r="F858" s="115" t="str">
        <x:v>Inspection physique</x:v>
      </x:c>
      <x:c r="G858" s="115" t="str">
        <x:v>1 niveaux ; 32 pièces ; 248 segments de mur ; 0 transitions. Inspection physique ; architecture complète encore ouverte.</x:v>
      </x:c>
      <x:c r="H858" s="115" t="str">
        <x:v>L 270 ; l 230 ; hauteur 24 m ; choix de composition auteur ; dimensions réelles à documenter</x:v>
      </x:c>
      <x:c r="I858" s="115" t="str">
        <x:v>À équilibrer</x:v>
      </x:c>
      <x:c r="J858" s="115" t="str">
        <x:v>Non</x:v>
      </x:c>
      <x:c r="K858" s="115" t="str">
        <x:v>Pièces décrites, murs, portes, niveaux et mobilier inspectables à l’échelle. Volumes réservés, raccord au seed, butin, rencontres et services de campagne restent à terminer.</x:v>
      </x:c>
    </x:row>
    <x:row r="859" ht="96" customHeight="1">
      <x:c r="A859" s="115" t="str">
        <x:v>EXT-MONDE-T018-V04</x:v>
      </x:c>
      <x:c r="B859" s="115" t="str">
        <x:v>EXT-MONDE-T018</x:v>
      </x:c>
      <x:c r="C859" s="115" t="str">
        <x:v>Littoral</x:v>
      </x:c>
      <x:c r="D859" s="115" t="str">
        <x:v>Fête foraine portuaire</x:v>
      </x:c>
      <x:c r="E859" s="115" t="n">
        <x:v>4</x:v>
      </x:c>
      <x:c r="F859" s="115" t="str">
        <x:v>Inspection physique</x:v>
      </x:c>
      <x:c r="G859" s="115" t="str">
        <x:v>1 niveaux ; 32 pièces ; 248 segments de mur ; 0 transitions. Inspection physique ; architecture complète encore ouverte.</x:v>
      </x:c>
      <x:c r="H859" s="115" t="str">
        <x:v>L 270 ; l 230 ; hauteur 24 m ; choix de composition auteur ; dimensions réelles à documenter</x:v>
      </x:c>
      <x:c r="I859" s="115" t="str">
        <x:v>À équilibrer</x:v>
      </x:c>
      <x:c r="J859" s="115" t="str">
        <x:v>Non</x:v>
      </x:c>
      <x:c r="K859" s="115" t="str">
        <x:v>Pièces décrites, murs, portes, niveaux et mobilier inspectables à l’échelle. Volumes réservés, raccord au seed, butin, rencontres et services de campagne restent à terminer.</x:v>
      </x:c>
    </x:row>
    <x:row r="860" ht="96" customHeight="1">
      <x:c r="A860" s="115" t="str">
        <x:v>EXT-MONDE-T018-V05</x:v>
      </x:c>
      <x:c r="B860" s="115" t="str">
        <x:v>EXT-MONDE-T018</x:v>
      </x:c>
      <x:c r="C860" s="115" t="str">
        <x:v>Littoral</x:v>
      </x:c>
      <x:c r="D860" s="115" t="str">
        <x:v>Fête foraine portuaire</x:v>
      </x:c>
      <x:c r="E860" s="115" t="n">
        <x:v>5</x:v>
      </x:c>
      <x:c r="F860" s="115" t="str">
        <x:v>Inspection physique</x:v>
      </x:c>
      <x:c r="G860" s="115" t="str">
        <x:v>1 niveaux ; 32 pièces ; 248 segments de mur ; 0 transitions. Inspection physique ; architecture complète encore ouverte.</x:v>
      </x:c>
      <x:c r="H860" s="115" t="str">
        <x:v>L 270 ; l 230 ; hauteur 24 m ; choix de composition auteur ; dimensions réelles à documenter</x:v>
      </x:c>
      <x:c r="I860" s="115" t="str">
        <x:v>À équilibrer</x:v>
      </x:c>
      <x:c r="J860" s="115" t="str">
        <x:v>Non</x:v>
      </x:c>
      <x:c r="K860" s="115" t="str">
        <x:v>Pièces décrites, murs, portes, niveaux et mobilier inspectables à l’échelle. Volumes réservés, raccord au seed, butin, rencontres et services de campagne restent à terminer.</x:v>
      </x:c>
    </x:row>
    <x:row r="861" ht="96" customHeight="1">
      <x:c r="A861" s="115" t="str">
        <x:v>EXT-MONDE-T018-V06</x:v>
      </x:c>
      <x:c r="B861" s="115" t="str">
        <x:v>EXT-MONDE-T018</x:v>
      </x:c>
      <x:c r="C861" s="115" t="str">
        <x:v>Littoral</x:v>
      </x:c>
      <x:c r="D861" s="115" t="str">
        <x:v>Fête foraine portuaire</x:v>
      </x:c>
      <x:c r="E861" s="115" t="n">
        <x:v>6</x:v>
      </x:c>
      <x:c r="F861" s="115" t="str">
        <x:v>Inspection physique</x:v>
      </x:c>
      <x:c r="G861" s="115" t="str">
        <x:v>1 niveaux ; 32 pièces ; 248 segments de mur ; 0 transitions. Inspection physique ; architecture complète encore ouverte.</x:v>
      </x:c>
      <x:c r="H861" s="115" t="str">
        <x:v>L 270 ; l 230 ; hauteur 24 m ; choix de composition auteur ; dimensions réelles à documenter</x:v>
      </x:c>
      <x:c r="I861" s="115" t="str">
        <x:v>À équilibrer</x:v>
      </x:c>
      <x:c r="J861" s="115" t="str">
        <x:v>Non</x:v>
      </x:c>
      <x:c r="K861" s="115" t="str">
        <x:v>Pièces décrites, murs, portes, niveaux et mobilier inspectables à l’échelle. Volumes réservés, raccord au seed, butin, rencontres et services de campagne restent à terminer.</x:v>
      </x:c>
    </x:row>
    <x:row r="862" ht="96" customHeight="1">
      <x:c r="A862" s="115" t="str">
        <x:v>EXT-MONDE-T018-V07</x:v>
      </x:c>
      <x:c r="B862" s="115" t="str">
        <x:v>EXT-MONDE-T018</x:v>
      </x:c>
      <x:c r="C862" s="115" t="str">
        <x:v>Littoral</x:v>
      </x:c>
      <x:c r="D862" s="115" t="str">
        <x:v>Fête foraine portuaire</x:v>
      </x:c>
      <x:c r="E862" s="115" t="n">
        <x:v>7</x:v>
      </x:c>
      <x:c r="F862" s="115" t="str">
        <x:v>Inspection physique</x:v>
      </x:c>
      <x:c r="G862" s="115" t="str">
        <x:v>1 niveaux ; 32 pièces ; 248 segments de mur ; 0 transitions. Inspection physique ; architecture complète encore ouverte.</x:v>
      </x:c>
      <x:c r="H862" s="115" t="str">
        <x:v>L 270 ; l 230 ; hauteur 24 m ; choix de composition auteur ; dimensions réelles à documenter</x:v>
      </x:c>
      <x:c r="I862" s="115" t="str">
        <x:v>À équilibrer</x:v>
      </x:c>
      <x:c r="J862" s="115" t="str">
        <x:v>Non</x:v>
      </x:c>
      <x:c r="K862" s="115" t="str">
        <x:v>Pièces décrites, murs, portes, niveaux et mobilier inspectables à l’échelle. Volumes réservés, raccord au seed, butin, rencontres et services de campagne restent à terminer.</x:v>
      </x:c>
    </x:row>
    <x:row r="863" ht="96" customHeight="1">
      <x:c r="A863" s="115" t="str">
        <x:v>EXT-MONDE-T018-V08</x:v>
      </x:c>
      <x:c r="B863" s="115" t="str">
        <x:v>EXT-MONDE-T018</x:v>
      </x:c>
      <x:c r="C863" s="115" t="str">
        <x:v>Littoral</x:v>
      </x:c>
      <x:c r="D863" s="115" t="str">
        <x:v>Fête foraine portuaire</x:v>
      </x:c>
      <x:c r="E863" s="115" t="n">
        <x:v>8</x:v>
      </x:c>
      <x:c r="F863" s="115" t="str">
        <x:v>Inspection physique</x:v>
      </x:c>
      <x:c r="G863" s="115" t="str">
        <x:v>1 niveaux ; 32 pièces ; 248 segments de mur ; 0 transitions. Inspection physique ; architecture complète encore ouverte.</x:v>
      </x:c>
      <x:c r="H863" s="115" t="str">
        <x:v>L 270 ; l 230 ; hauteur 24 m ; choix de composition auteur ; dimensions réelles à documenter</x:v>
      </x:c>
      <x:c r="I863" s="115" t="str">
        <x:v>À équilibrer</x:v>
      </x:c>
      <x:c r="J863" s="115" t="str">
        <x:v>Non</x:v>
      </x:c>
      <x:c r="K863" s="115" t="str">
        <x:v>Pièces décrites, murs, portes, niveaux et mobilier inspectables à l’échelle. Volumes réservés, raccord au seed, butin, rencontres et services de campagne restent à terminer.</x:v>
      </x:c>
    </x:row>
    <x:row r="864" ht="96" customHeight="1">
      <x:c r="A864" s="115" t="str">
        <x:v>EXT-MONDE-T018-V09</x:v>
      </x:c>
      <x:c r="B864" s="115" t="str">
        <x:v>EXT-MONDE-T018</x:v>
      </x:c>
      <x:c r="C864" s="115" t="str">
        <x:v>Littoral</x:v>
      </x:c>
      <x:c r="D864" s="115" t="str">
        <x:v>Fête foraine portuaire</x:v>
      </x:c>
      <x:c r="E864" s="115" t="n">
        <x:v>9</x:v>
      </x:c>
      <x:c r="F864" s="115" t="str">
        <x:v>Inspection physique</x:v>
      </x:c>
      <x:c r="G864" s="115" t="str">
        <x:v>1 niveaux ; 32 pièces ; 248 segments de mur ; 0 transitions. Inspection physique ; architecture complète encore ouverte.</x:v>
      </x:c>
      <x:c r="H864" s="115" t="str">
        <x:v>L 270 ; l 230 ; hauteur 24 m ; choix de composition auteur ; dimensions réelles à documenter</x:v>
      </x:c>
      <x:c r="I864" s="115" t="str">
        <x:v>À équilibrer</x:v>
      </x:c>
      <x:c r="J864" s="115" t="str">
        <x:v>Non</x:v>
      </x:c>
      <x:c r="K864" s="115" t="str">
        <x:v>Pièces décrites, murs, portes, niveaux et mobilier inspectables à l’échelle. Volumes réservés, raccord au seed, butin, rencontres et services de campagne restent à terminer.</x:v>
      </x:c>
    </x:row>
    <x:row r="865" ht="96" customHeight="1">
      <x:c r="A865" s="115" t="str">
        <x:v>EXT-MONDE-T018-V10</x:v>
      </x:c>
      <x:c r="B865" s="115" t="str">
        <x:v>EXT-MONDE-T018</x:v>
      </x:c>
      <x:c r="C865" s="115" t="str">
        <x:v>Littoral</x:v>
      </x:c>
      <x:c r="D865" s="115" t="str">
        <x:v>Fête foraine portuaire</x:v>
      </x:c>
      <x:c r="E865" s="115" t="n">
        <x:v>10</x:v>
      </x:c>
      <x:c r="F865" s="115" t="str">
        <x:v>Inspection physique</x:v>
      </x:c>
      <x:c r="G865" s="115" t="str">
        <x:v>1 niveaux ; 32 pièces ; 248 segments de mur ; 0 transitions. Inspection physique ; architecture complète encore ouverte.</x:v>
      </x:c>
      <x:c r="H865" s="115" t="str">
        <x:v>L 270 ; l 230 ; hauteur 24 m ; choix de composition auteur ; dimensions réelles à documenter</x:v>
      </x:c>
      <x:c r="I865" s="115" t="str">
        <x:v>À équilibrer</x:v>
      </x:c>
      <x:c r="J865" s="115" t="str">
        <x:v>Non</x:v>
      </x:c>
      <x:c r="K865" s="115" t="str">
        <x:v>Pièces décrites, murs, portes, niveaux et mobilier inspectables à l’échelle. Volumes réservés, raccord au seed, butin, rencontres et services de campagne restent à terminer.</x:v>
      </x:c>
    </x:row>
    <x:row r="866" ht="96" customHeight="1">
      <x:c r="A866" s="115" t="str">
        <x:v>EXT-MONDE-T018-V11</x:v>
      </x:c>
      <x:c r="B866" s="115" t="str">
        <x:v>EXT-MONDE-T018</x:v>
      </x:c>
      <x:c r="C866" s="115" t="str">
        <x:v>Littoral</x:v>
      </x:c>
      <x:c r="D866" s="115" t="str">
        <x:v>Fête foraine portuaire</x:v>
      </x:c>
      <x:c r="E866" s="115" t="n">
        <x:v>11</x:v>
      </x:c>
      <x:c r="F866" s="115" t="str">
        <x:v>Inspection physique</x:v>
      </x:c>
      <x:c r="G866" s="115" t="str">
        <x:v>1 niveaux ; 32 pièces ; 248 segments de mur ; 0 transitions. Inspection physique ; architecture complète encore ouverte.</x:v>
      </x:c>
      <x:c r="H866" s="115" t="str">
        <x:v>L 288 ; l 246 ; hauteur 24 m ; choix de composition auteur ; dimensions réelles à documenter</x:v>
      </x:c>
      <x:c r="I866" s="115" t="str">
        <x:v>À équilibrer</x:v>
      </x:c>
      <x:c r="J866" s="115" t="str">
        <x:v>Non</x:v>
      </x:c>
      <x:c r="K866" s="115" t="str">
        <x:v>Pièces décrites, murs, portes, niveaux et mobilier inspectables à l’échelle. Volumes réservés, raccord au seed, butin, rencontres et services de campagne restent à terminer.</x:v>
      </x:c>
    </x:row>
    <x:row r="867" ht="96" customHeight="1">
      <x:c r="A867" s="115" t="str">
        <x:v>EXT-MONDE-T018-V12</x:v>
      </x:c>
      <x:c r="B867" s="115" t="str">
        <x:v>EXT-MONDE-T018</x:v>
      </x:c>
      <x:c r="C867" s="115" t="str">
        <x:v>Littoral</x:v>
      </x:c>
      <x:c r="D867" s="115" t="str">
        <x:v>Fête foraine portuaire</x:v>
      </x:c>
      <x:c r="E867" s="115" t="n">
        <x:v>12</x:v>
      </x:c>
      <x:c r="F867" s="115" t="str">
        <x:v>Inspection physique</x:v>
      </x:c>
      <x:c r="G867" s="115" t="str">
        <x:v>1 niveaux ; 32 pièces ; 248 segments de mur ; 0 transitions. Inspection physique ; architecture complète encore ouverte.</x:v>
      </x:c>
      <x:c r="H867" s="115" t="str">
        <x:v>L 288 ; l 246 ; hauteur 24 m ; choix de composition auteur ; dimensions réelles à documenter</x:v>
      </x:c>
      <x:c r="I867" s="115" t="str">
        <x:v>À équilibrer</x:v>
      </x:c>
      <x:c r="J867" s="115" t="str">
        <x:v>Non</x:v>
      </x:c>
      <x:c r="K867" s="115" t="str">
        <x:v>Pièces décrites, murs, portes, niveaux et mobilier inspectables à l’échelle. Volumes réservés, raccord au seed, butin, rencontres et services de campagne restent à terminer.</x:v>
      </x:c>
    </x:row>
    <x:row r="868" ht="96" customHeight="1">
      <x:c r="A868" s="115" t="str">
        <x:v>EXT-MONDE-T018-V13</x:v>
      </x:c>
      <x:c r="B868" s="115" t="str">
        <x:v>EXT-MONDE-T018</x:v>
      </x:c>
      <x:c r="C868" s="115" t="str">
        <x:v>Littoral</x:v>
      </x:c>
      <x:c r="D868" s="115" t="str">
        <x:v>Fête foraine portuaire</x:v>
      </x:c>
      <x:c r="E868" s="115" t="n">
        <x:v>13</x:v>
      </x:c>
      <x:c r="F868" s="115" t="str">
        <x:v>Inspection physique</x:v>
      </x:c>
      <x:c r="G868" s="115" t="str">
        <x:v>1 niveaux ; 32 pièces ; 248 segments de mur ; 0 transitions. Inspection physique ; architecture complète encore ouverte.</x:v>
      </x:c>
      <x:c r="H868" s="115" t="str">
        <x:v>L 288 ; l 246 ; hauteur 24 m ; choix de composition auteur ; dimensions réelles à documenter</x:v>
      </x:c>
      <x:c r="I868" s="115" t="str">
        <x:v>À équilibrer</x:v>
      </x:c>
      <x:c r="J868" s="115" t="str">
        <x:v>Non</x:v>
      </x:c>
      <x:c r="K868" s="115" t="str">
        <x:v>Pièces décrites, murs, portes, niveaux et mobilier inspectables à l’échelle. Volumes réservés, raccord au seed, butin, rencontres et services de campagne restent à terminer.</x:v>
      </x:c>
    </x:row>
    <x:row r="869" ht="96" customHeight="1">
      <x:c r="A869" s="115" t="str">
        <x:v>EXT-MONDE-T018-V14</x:v>
      </x:c>
      <x:c r="B869" s="115" t="str">
        <x:v>EXT-MONDE-T018</x:v>
      </x:c>
      <x:c r="C869" s="115" t="str">
        <x:v>Littoral</x:v>
      </x:c>
      <x:c r="D869" s="115" t="str">
        <x:v>Fête foraine portuaire</x:v>
      </x:c>
      <x:c r="E869" s="115" t="n">
        <x:v>14</x:v>
      </x:c>
      <x:c r="F869" s="115" t="str">
        <x:v>Inspection physique</x:v>
      </x:c>
      <x:c r="G869" s="115" t="str">
        <x:v>1 niveaux ; 32 pièces ; 248 segments de mur ; 0 transitions. Inspection physique ; architecture complète encore ouverte.</x:v>
      </x:c>
      <x:c r="H869" s="115" t="str">
        <x:v>L 288 ; l 246 ; hauteur 24 m ; choix de composition auteur ; dimensions réelles à documenter</x:v>
      </x:c>
      <x:c r="I869" s="115" t="str">
        <x:v>À équilibrer</x:v>
      </x:c>
      <x:c r="J869" s="115" t="str">
        <x:v>Non</x:v>
      </x:c>
      <x:c r="K869" s="115" t="str">
        <x:v>Pièces décrites, murs, portes, niveaux et mobilier inspectables à l’échelle. Volumes réservés, raccord au seed, butin, rencontres et services de campagne restent à terminer.</x:v>
      </x:c>
    </x:row>
    <x:row r="870" ht="96" customHeight="1">
      <x:c r="A870" s="115" t="str">
        <x:v>EXT-MONDE-T018-V15</x:v>
      </x:c>
      <x:c r="B870" s="115" t="str">
        <x:v>EXT-MONDE-T018</x:v>
      </x:c>
      <x:c r="C870" s="115" t="str">
        <x:v>Littoral</x:v>
      </x:c>
      <x:c r="D870" s="115" t="str">
        <x:v>Fête foraine portuaire</x:v>
      </x:c>
      <x:c r="E870" s="115" t="n">
        <x:v>15</x:v>
      </x:c>
      <x:c r="F870" s="115" t="str">
        <x:v>Inspection physique</x:v>
      </x:c>
      <x:c r="G870" s="115" t="str">
        <x:v>1 niveaux ; 32 pièces ; 248 segments de mur ; 0 transitions. Inspection physique ; architecture complète encore ouverte.</x:v>
      </x:c>
      <x:c r="H870" s="115" t="str">
        <x:v>L 288 ; l 246 ; hauteur 24 m ; choix de composition auteur ; dimensions réelles à documenter</x:v>
      </x:c>
      <x:c r="I870" s="115" t="str">
        <x:v>À équilibrer</x:v>
      </x:c>
      <x:c r="J870" s="115" t="str">
        <x:v>Non</x:v>
      </x:c>
      <x:c r="K870" s="115" t="str">
        <x:v>Pièces décrites, murs, portes, niveaux et mobilier inspectables à l’échelle. Volumes réservés, raccord au seed, butin, rencontres et services de campagne restent à terminer.</x:v>
      </x:c>
    </x:row>
    <x:row r="871" ht="96" customHeight="1">
      <x:c r="A871" s="115" t="str">
        <x:v>EXT-MONDE-T018-V16</x:v>
      </x:c>
      <x:c r="B871" s="115" t="str">
        <x:v>EXT-MONDE-T018</x:v>
      </x:c>
      <x:c r="C871" s="115" t="str">
        <x:v>Littoral</x:v>
      </x:c>
      <x:c r="D871" s="115" t="str">
        <x:v>Fête foraine portuaire</x:v>
      </x:c>
      <x:c r="E871" s="115" t="n">
        <x:v>16</x:v>
      </x:c>
      <x:c r="F871" s="115" t="str">
        <x:v>Inspection physique</x:v>
      </x:c>
      <x:c r="G871" s="115" t="str">
        <x:v>1 niveaux ; 32 pièces ; 248 segments de mur ; 0 transitions. Inspection physique ; architecture complète encore ouverte.</x:v>
      </x:c>
      <x:c r="H871" s="115" t="str">
        <x:v>L 288 ; l 246 ; hauteur 24 m ; choix de composition auteur ; dimensions réelles à documenter</x:v>
      </x:c>
      <x:c r="I871" s="115" t="str">
        <x:v>À équilibrer</x:v>
      </x:c>
      <x:c r="J871" s="115" t="str">
        <x:v>Non</x:v>
      </x:c>
      <x:c r="K871" s="115" t="str">
        <x:v>Pièces décrites, murs, portes, niveaux et mobilier inspectables à l’échelle. Volumes réservés, raccord au seed, butin, rencontres et services de campagne restent à terminer.</x:v>
      </x:c>
    </x:row>
    <x:row r="872" ht="96" customHeight="1">
      <x:c r="A872" s="115" t="str">
        <x:v>EXT-MONDE-T018-V17</x:v>
      </x:c>
      <x:c r="B872" s="115" t="str">
        <x:v>EXT-MONDE-T018</x:v>
      </x:c>
      <x:c r="C872" s="115" t="str">
        <x:v>Littoral</x:v>
      </x:c>
      <x:c r="D872" s="115" t="str">
        <x:v>Fête foraine portuaire</x:v>
      </x:c>
      <x:c r="E872" s="115" t="n">
        <x:v>17</x:v>
      </x:c>
      <x:c r="F872" s="115" t="str">
        <x:v>Inspection physique</x:v>
      </x:c>
      <x:c r="G872" s="115" t="str">
        <x:v>1 niveaux ; 32 pièces ; 248 segments de mur ; 0 transitions. Inspection physique ; architecture complète encore ouverte.</x:v>
      </x:c>
      <x:c r="H872" s="115" t="str">
        <x:v>L 288 ; l 246 ; hauteur 24 m ; choix de composition auteur ; dimensions réelles à documenter</x:v>
      </x:c>
      <x:c r="I872" s="115" t="str">
        <x:v>À équilibrer</x:v>
      </x:c>
      <x:c r="J872" s="115" t="str">
        <x:v>Non</x:v>
      </x:c>
      <x:c r="K872" s="115" t="str">
        <x:v>Pièces décrites, murs, portes, niveaux et mobilier inspectables à l’échelle. Volumes réservés, raccord au seed, butin, rencontres et services de campagne restent à terminer.</x:v>
      </x:c>
    </x:row>
    <x:row r="873" ht="96" customHeight="1">
      <x:c r="A873" s="115" t="str">
        <x:v>EXT-MONDE-T018-V18</x:v>
      </x:c>
      <x:c r="B873" s="115" t="str">
        <x:v>EXT-MONDE-T018</x:v>
      </x:c>
      <x:c r="C873" s="115" t="str">
        <x:v>Littoral</x:v>
      </x:c>
      <x:c r="D873" s="115" t="str">
        <x:v>Fête foraine portuaire</x:v>
      </x:c>
      <x:c r="E873" s="115" t="n">
        <x:v>18</x:v>
      </x:c>
      <x:c r="F873" s="115" t="str">
        <x:v>Inspection physique</x:v>
      </x:c>
      <x:c r="G873" s="115" t="str">
        <x:v>1 niveaux ; 32 pièces ; 248 segments de mur ; 0 transitions. Inspection physique ; architecture complète encore ouverte.</x:v>
      </x:c>
      <x:c r="H873" s="115" t="str">
        <x:v>L 288 ; l 246 ; hauteur 24 m ; choix de composition auteur ; dimensions réelles à documenter</x:v>
      </x:c>
      <x:c r="I873" s="115" t="str">
        <x:v>À équilibrer</x:v>
      </x:c>
      <x:c r="J873" s="115" t="str">
        <x:v>Non</x:v>
      </x:c>
      <x:c r="K873" s="115" t="str">
        <x:v>Pièces décrites, murs, portes, niveaux et mobilier inspectables à l’échelle. Volumes réservés, raccord au seed, butin, rencontres et services de campagne restent à terminer.</x:v>
      </x:c>
    </x:row>
    <x:row r="874" ht="96" customHeight="1">
      <x:c r="A874" s="115" t="str">
        <x:v>EXT-MONDE-T018-V19</x:v>
      </x:c>
      <x:c r="B874" s="115" t="str">
        <x:v>EXT-MONDE-T018</x:v>
      </x:c>
      <x:c r="C874" s="115" t="str">
        <x:v>Littoral</x:v>
      </x:c>
      <x:c r="D874" s="115" t="str">
        <x:v>Fête foraine portuaire</x:v>
      </x:c>
      <x:c r="E874" s="115" t="n">
        <x:v>19</x:v>
      </x:c>
      <x:c r="F874" s="115" t="str">
        <x:v>Inspection physique</x:v>
      </x:c>
      <x:c r="G874" s="115" t="str">
        <x:v>1 niveaux ; 32 pièces ; 248 segments de mur ; 0 transitions. Inspection physique ; architecture complète encore ouverte.</x:v>
      </x:c>
      <x:c r="H874" s="115" t="str">
        <x:v>L 288 ; l 246 ; hauteur 24 m ; choix de composition auteur ; dimensions réelles à documenter</x:v>
      </x:c>
      <x:c r="I874" s="115" t="str">
        <x:v>À équilibrer</x:v>
      </x:c>
      <x:c r="J874" s="115" t="str">
        <x:v>Non</x:v>
      </x:c>
      <x:c r="K874" s="115" t="str">
        <x:v>Pièces décrites, murs, portes, niveaux et mobilier inspectables à l’échelle. Volumes réservés, raccord au seed, butin, rencontres et services de campagne restent à terminer.</x:v>
      </x:c>
    </x:row>
    <x:row r="875" ht="96" customHeight="1">
      <x:c r="A875" s="115" t="str">
        <x:v>EXT-MONDE-T018-V20</x:v>
      </x:c>
      <x:c r="B875" s="115" t="str">
        <x:v>EXT-MONDE-T018</x:v>
      </x:c>
      <x:c r="C875" s="115" t="str">
        <x:v>Littoral</x:v>
      </x:c>
      <x:c r="D875" s="115" t="str">
        <x:v>Fête foraine portuaire</x:v>
      </x:c>
      <x:c r="E875" s="115" t="n">
        <x:v>20</x:v>
      </x:c>
      <x:c r="F875" s="115" t="str">
        <x:v>Inspection physique</x:v>
      </x:c>
      <x:c r="G875" s="115" t="str">
        <x:v>1 niveaux ; 32 pièces ; 248 segments de mur ; 0 transitions. Inspection physique ; architecture complète encore ouverte.</x:v>
      </x:c>
      <x:c r="H875" s="115" t="str">
        <x:v>L 288 ; l 246 ; hauteur 24 m ; choix de composition auteur ; dimensions réelles à documenter</x:v>
      </x:c>
      <x:c r="I875" s="115" t="str">
        <x:v>À équilibrer</x:v>
      </x:c>
      <x:c r="J875" s="115" t="str">
        <x:v>Non</x:v>
      </x:c>
      <x:c r="K875" s="115" t="str">
        <x:v>Pièces décrites, murs, portes, niveaux et mobilier inspectables à l’échelle. Volumes réservés, raccord au seed, butin, rencontres et services de campagne restent à terminer.</x:v>
      </x:c>
    </x:row>
    <x:row r="876" ht="96" customHeight="1">
      <x:c r="A876" s="115" t="str">
        <x:v>EXT-MONDE-T018-V21</x:v>
      </x:c>
      <x:c r="B876" s="115" t="str">
        <x:v>EXT-MONDE-T018</x:v>
      </x:c>
      <x:c r="C876" s="115" t="str">
        <x:v>Littoral</x:v>
      </x:c>
      <x:c r="D876" s="115" t="str">
        <x:v>Fête foraine portuaire</x:v>
      </x:c>
      <x:c r="E876" s="115" t="n">
        <x:v>21</x:v>
      </x:c>
      <x:c r="F876" s="115" t="str">
        <x:v>Inspection physique</x:v>
      </x:c>
      <x:c r="G876" s="115" t="str">
        <x:v>1 niveaux ; 32 pièces ; 248 segments de mur ; 0 transitions. Inspection physique ; architecture complète encore ouverte.</x:v>
      </x:c>
      <x:c r="H876" s="115" t="str">
        <x:v>L 306 ; l 262 ; hauteur 24 m ; choix de composition auteur ; dimensions réelles à documenter</x:v>
      </x:c>
      <x:c r="I876" s="115" t="str">
        <x:v>À équilibrer</x:v>
      </x:c>
      <x:c r="J876" s="115" t="str">
        <x:v>Non</x:v>
      </x:c>
      <x:c r="K876" s="115" t="str">
        <x:v>Pièces décrites, murs, portes, niveaux et mobilier inspectables à l’échelle. Volumes réservés, raccord au seed, butin, rencontres et services de campagne restent à terminer.</x:v>
      </x:c>
    </x:row>
    <x:row r="877" ht="96" customHeight="1">
      <x:c r="A877" s="115" t="str">
        <x:v>EXT-MONDE-T018-V22</x:v>
      </x:c>
      <x:c r="B877" s="115" t="str">
        <x:v>EXT-MONDE-T018</x:v>
      </x:c>
      <x:c r="C877" s="115" t="str">
        <x:v>Littoral</x:v>
      </x:c>
      <x:c r="D877" s="115" t="str">
        <x:v>Fête foraine portuaire</x:v>
      </x:c>
      <x:c r="E877" s="115" t="n">
        <x:v>22</x:v>
      </x:c>
      <x:c r="F877" s="115" t="str">
        <x:v>Inspection physique</x:v>
      </x:c>
      <x:c r="G877" s="115" t="str">
        <x:v>1 niveaux ; 32 pièces ; 248 segments de mur ; 0 transitions. Inspection physique ; architecture complète encore ouverte.</x:v>
      </x:c>
      <x:c r="H877" s="115" t="str">
        <x:v>L 306 ; l 262 ; hauteur 24 m ; choix de composition auteur ; dimensions réelles à documenter</x:v>
      </x:c>
      <x:c r="I877" s="115" t="str">
        <x:v>À équilibrer</x:v>
      </x:c>
      <x:c r="J877" s="115" t="str">
        <x:v>Non</x:v>
      </x:c>
      <x:c r="K877" s="115" t="str">
        <x:v>Pièces décrites, murs, portes, niveaux et mobilier inspectables à l’échelle. Volumes réservés, raccord au seed, butin, rencontres et services de campagne restent à terminer.</x:v>
      </x:c>
    </x:row>
    <x:row r="878" ht="96" customHeight="1">
      <x:c r="A878" s="115" t="str">
        <x:v>EXT-MONDE-T018-V23</x:v>
      </x:c>
      <x:c r="B878" s="115" t="str">
        <x:v>EXT-MONDE-T018</x:v>
      </x:c>
      <x:c r="C878" s="115" t="str">
        <x:v>Littoral</x:v>
      </x:c>
      <x:c r="D878" s="115" t="str">
        <x:v>Fête foraine portuaire</x:v>
      </x:c>
      <x:c r="E878" s="115" t="n">
        <x:v>23</x:v>
      </x:c>
      <x:c r="F878" s="115" t="str">
        <x:v>Inspection physique</x:v>
      </x:c>
      <x:c r="G878" s="115" t="str">
        <x:v>1 niveaux ; 32 pièces ; 248 segments de mur ; 0 transitions. Inspection physique ; architecture complète encore ouverte.</x:v>
      </x:c>
      <x:c r="H878" s="115" t="str">
        <x:v>L 306 ; l 262 ; hauteur 24 m ; choix de composition auteur ; dimensions réelles à documenter</x:v>
      </x:c>
      <x:c r="I878" s="115" t="str">
        <x:v>À équilibrer</x:v>
      </x:c>
      <x:c r="J878" s="115" t="str">
        <x:v>Non</x:v>
      </x:c>
      <x:c r="K878" s="115" t="str">
        <x:v>Pièces décrites, murs, portes, niveaux et mobilier inspectables à l’échelle. Volumes réservés, raccord au seed, butin, rencontres et services de campagne restent à terminer.</x:v>
      </x:c>
    </x:row>
    <x:row r="879" ht="96" customHeight="1">
      <x:c r="A879" s="115" t="str">
        <x:v>EXT-MONDE-T018-V24</x:v>
      </x:c>
      <x:c r="B879" s="115" t="str">
        <x:v>EXT-MONDE-T018</x:v>
      </x:c>
      <x:c r="C879" s="115" t="str">
        <x:v>Littoral</x:v>
      </x:c>
      <x:c r="D879" s="115" t="str">
        <x:v>Fête foraine portuaire</x:v>
      </x:c>
      <x:c r="E879" s="115" t="n">
        <x:v>24</x:v>
      </x:c>
      <x:c r="F879" s="115" t="str">
        <x:v>Inspection physique</x:v>
      </x:c>
      <x:c r="G879" s="115" t="str">
        <x:v>1 niveaux ; 32 pièces ; 248 segments de mur ; 0 transitions. Inspection physique ; architecture complète encore ouverte.</x:v>
      </x:c>
      <x:c r="H879" s="115" t="str">
        <x:v>L 306 ; l 262 ; hauteur 24 m ; choix de composition auteur ; dimensions réelles à documenter</x:v>
      </x:c>
      <x:c r="I879" s="115" t="str">
        <x:v>À équilibrer</x:v>
      </x:c>
      <x:c r="J879" s="115" t="str">
        <x:v>Non</x:v>
      </x:c>
      <x:c r="K879" s="115" t="str">
        <x:v>Pièces décrites, murs, portes, niveaux et mobilier inspectables à l’échelle. Volumes réservés, raccord au seed, butin, rencontres et services de campagne restent à terminer.</x:v>
      </x:c>
    </x:row>
    <x:row r="880" ht="96" customHeight="1">
      <x:c r="A880" s="115" t="str">
        <x:v>EXT-MONDE-T018-V25</x:v>
      </x:c>
      <x:c r="B880" s="115" t="str">
        <x:v>EXT-MONDE-T018</x:v>
      </x:c>
      <x:c r="C880" s="115" t="str">
        <x:v>Littoral</x:v>
      </x:c>
      <x:c r="D880" s="115" t="str">
        <x:v>Fête foraine portuaire</x:v>
      </x:c>
      <x:c r="E880" s="115" t="n">
        <x:v>25</x:v>
      </x:c>
      <x:c r="F880" s="115" t="str">
        <x:v>Inspection physique</x:v>
      </x:c>
      <x:c r="G880" s="115" t="str">
        <x:v>1 niveaux ; 32 pièces ; 248 segments de mur ; 0 transitions. Inspection physique ; architecture complète encore ouverte.</x:v>
      </x:c>
      <x:c r="H880" s="115" t="str">
        <x:v>L 306 ; l 262 ; hauteur 24 m ; choix de composition auteur ; dimensions réelles à documenter</x:v>
      </x:c>
      <x:c r="I880" s="115" t="str">
        <x:v>À équilibrer</x:v>
      </x:c>
      <x:c r="J880" s="115" t="str">
        <x:v>Non</x:v>
      </x:c>
      <x:c r="K880" s="115" t="str">
        <x:v>Pièces décrites, murs, portes, niveaux et mobilier inspectables à l’échelle. Volumes réservés, raccord au seed, butin, rencontres et services de campagne restent à terminer.</x:v>
      </x:c>
    </x:row>
    <x:row r="881" ht="96" customHeight="1">
      <x:c r="A881" s="115" t="str">
        <x:v>EXT-MONDE-T018-V26</x:v>
      </x:c>
      <x:c r="B881" s="115" t="str">
        <x:v>EXT-MONDE-T018</x:v>
      </x:c>
      <x:c r="C881" s="115" t="str">
        <x:v>Littoral</x:v>
      </x:c>
      <x:c r="D881" s="115" t="str">
        <x:v>Fête foraine portuaire</x:v>
      </x:c>
      <x:c r="E881" s="115" t="n">
        <x:v>26</x:v>
      </x:c>
      <x:c r="F881" s="115" t="str">
        <x:v>Inspection physique</x:v>
      </x:c>
      <x:c r="G881" s="115" t="str">
        <x:v>1 niveaux ; 32 pièces ; 248 segments de mur ; 0 transitions. Inspection physique ; architecture complète encore ouverte.</x:v>
      </x:c>
      <x:c r="H881" s="115" t="str">
        <x:v>L 306 ; l 262 ; hauteur 24 m ; choix de composition auteur ; dimensions réelles à documenter</x:v>
      </x:c>
      <x:c r="I881" s="115" t="str">
        <x:v>À équilibrer</x:v>
      </x:c>
      <x:c r="J881" s="115" t="str">
        <x:v>Non</x:v>
      </x:c>
      <x:c r="K881" s="115" t="str">
        <x:v>Pièces décrites, murs, portes, niveaux et mobilier inspectables à l’échelle. Volumes réservés, raccord au seed, butin, rencontres et services de campagne restent à terminer.</x:v>
      </x:c>
    </x:row>
    <x:row r="882" ht="96" customHeight="1">
      <x:c r="A882" s="115" t="str">
        <x:v>EXT-MONDE-T018-V27</x:v>
      </x:c>
      <x:c r="B882" s="115" t="str">
        <x:v>EXT-MONDE-T018</x:v>
      </x:c>
      <x:c r="C882" s="115" t="str">
        <x:v>Littoral</x:v>
      </x:c>
      <x:c r="D882" s="115" t="str">
        <x:v>Fête foraine portuaire</x:v>
      </x:c>
      <x:c r="E882" s="115" t="n">
        <x:v>27</x:v>
      </x:c>
      <x:c r="F882" s="115" t="str">
        <x:v>Inspection physique</x:v>
      </x:c>
      <x:c r="G882" s="115" t="str">
        <x:v>1 niveaux ; 32 pièces ; 248 segments de mur ; 0 transitions. Inspection physique ; architecture complète encore ouverte.</x:v>
      </x:c>
      <x:c r="H882" s="115" t="str">
        <x:v>L 306 ; l 262 ; hauteur 24 m ; choix de composition auteur ; dimensions réelles à documenter</x:v>
      </x:c>
      <x:c r="I882" s="115" t="str">
        <x:v>À équilibrer</x:v>
      </x:c>
      <x:c r="J882" s="115" t="str">
        <x:v>Non</x:v>
      </x:c>
      <x:c r="K882" s="115" t="str">
        <x:v>Pièces décrites, murs, portes, niveaux et mobilier inspectables à l’échelle. Volumes réservés, raccord au seed, butin, rencontres et services de campagne restent à terminer.</x:v>
      </x:c>
    </x:row>
    <x:row r="883" ht="96" customHeight="1">
      <x:c r="A883" s="115" t="str">
        <x:v>EXT-MONDE-T018-V28</x:v>
      </x:c>
      <x:c r="B883" s="115" t="str">
        <x:v>EXT-MONDE-T018</x:v>
      </x:c>
      <x:c r="C883" s="115" t="str">
        <x:v>Littoral</x:v>
      </x:c>
      <x:c r="D883" s="115" t="str">
        <x:v>Fête foraine portuaire</x:v>
      </x:c>
      <x:c r="E883" s="115" t="n">
        <x:v>28</x:v>
      </x:c>
      <x:c r="F883" s="115" t="str">
        <x:v>Inspection physique</x:v>
      </x:c>
      <x:c r="G883" s="115" t="str">
        <x:v>1 niveaux ; 32 pièces ; 248 segments de mur ; 0 transitions. Inspection physique ; architecture complète encore ouverte.</x:v>
      </x:c>
      <x:c r="H883" s="115" t="str">
        <x:v>L 306 ; l 262 ; hauteur 24 m ; choix de composition auteur ; dimensions réelles à documenter</x:v>
      </x:c>
      <x:c r="I883" s="115" t="str">
        <x:v>À équilibrer</x:v>
      </x:c>
      <x:c r="J883" s="115" t="str">
        <x:v>Non</x:v>
      </x:c>
      <x:c r="K883" s="115" t="str">
        <x:v>Pièces décrites, murs, portes, niveaux et mobilier inspectables à l’échelle. Volumes réservés, raccord au seed, butin, rencontres et services de campagne restent à terminer.</x:v>
      </x:c>
    </x:row>
    <x:row r="884" ht="96" customHeight="1">
      <x:c r="A884" s="115" t="str">
        <x:v>EXT-MONDE-T018-V29</x:v>
      </x:c>
      <x:c r="B884" s="115" t="str">
        <x:v>EXT-MONDE-T018</x:v>
      </x:c>
      <x:c r="C884" s="115" t="str">
        <x:v>Littoral</x:v>
      </x:c>
      <x:c r="D884" s="115" t="str">
        <x:v>Fête foraine portuaire</x:v>
      </x:c>
      <x:c r="E884" s="115" t="n">
        <x:v>29</x:v>
      </x:c>
      <x:c r="F884" s="115" t="str">
        <x:v>Inspection physique</x:v>
      </x:c>
      <x:c r="G884" s="115" t="str">
        <x:v>1 niveaux ; 32 pièces ; 248 segments de mur ; 0 transitions. Inspection physique ; architecture complète encore ouverte.</x:v>
      </x:c>
      <x:c r="H884" s="115" t="str">
        <x:v>L 306 ; l 262 ; hauteur 24 m ; choix de composition auteur ; dimensions réelles à documenter</x:v>
      </x:c>
      <x:c r="I884" s="115" t="str">
        <x:v>À équilibrer</x:v>
      </x:c>
      <x:c r="J884" s="115" t="str">
        <x:v>Non</x:v>
      </x:c>
      <x:c r="K884" s="115" t="str">
        <x:v>Pièces décrites, murs, portes, niveaux et mobilier inspectables à l’échelle. Volumes réservés, raccord au seed, butin, rencontres et services de campagne restent à terminer.</x:v>
      </x:c>
    </x:row>
    <x:row r="885" ht="96" customHeight="1">
      <x:c r="A885" s="115" t="str">
        <x:v>EXT-MONDE-T018-V30</x:v>
      </x:c>
      <x:c r="B885" s="115" t="str">
        <x:v>EXT-MONDE-T018</x:v>
      </x:c>
      <x:c r="C885" s="115" t="str">
        <x:v>Littoral</x:v>
      </x:c>
      <x:c r="D885" s="115" t="str">
        <x:v>Fête foraine portuaire</x:v>
      </x:c>
      <x:c r="E885" s="115" t="n">
        <x:v>30</x:v>
      </x:c>
      <x:c r="F885" s="115" t="str">
        <x:v>Inspection physique</x:v>
      </x:c>
      <x:c r="G885" s="115" t="str">
        <x:v>1 niveaux ; 32 pièces ; 248 segments de mur ; 0 transitions. Inspection physique ; architecture complète encore ouverte.</x:v>
      </x:c>
      <x:c r="H885" s="115" t="str">
        <x:v>L 306 ; l 262 ; hauteur 24 m ; choix de composition auteur ; dimensions réelles à documenter</x:v>
      </x:c>
      <x:c r="I885" s="115" t="str">
        <x:v>À équilibrer</x:v>
      </x:c>
      <x:c r="J885" s="115" t="str">
        <x:v>Non</x:v>
      </x:c>
      <x:c r="K885" s="115" t="str">
        <x:v>Pièces décrites, murs, portes, niveaux et mobilier inspectables à l’échelle. Volumes réservés, raccord au seed, butin, rencontres et services de campagne restent à terminer.</x:v>
      </x:c>
    </x:row>
    <x:row r="886" ht="96" customHeight="1">
      <x:c r="A886" s="115" t="str">
        <x:v>EXT-MONDE-T018-V31</x:v>
      </x:c>
      <x:c r="B886" s="115" t="str">
        <x:v>EXT-MONDE-T018</x:v>
      </x:c>
      <x:c r="C886" s="115" t="str">
        <x:v>Littoral</x:v>
      </x:c>
      <x:c r="D886" s="115" t="str">
        <x:v>Fête foraine portuaire</x:v>
      </x:c>
      <x:c r="E886" s="115" t="n">
        <x:v>31</x:v>
      </x:c>
      <x:c r="F886" s="115" t="str">
        <x:v>Inspection physique</x:v>
      </x:c>
      <x:c r="G886" s="115" t="str">
        <x:v>1 niveaux ; 32 pièces ; 248 segments de mur ; 0 transitions. Inspection physique ; architecture complète encore ouverte.</x:v>
      </x:c>
      <x:c r="H886" s="115" t="str">
        <x:v>L 324 ; l 278 ; hauteur 24 m ; choix de composition auteur ; dimensions réelles à documenter</x:v>
      </x:c>
      <x:c r="I886" s="115" t="str">
        <x:v>À équilibrer</x:v>
      </x:c>
      <x:c r="J886" s="115" t="str">
        <x:v>Non</x:v>
      </x:c>
      <x:c r="K886" s="115" t="str">
        <x:v>Pièces décrites, murs, portes, niveaux et mobilier inspectables à l’échelle. Volumes réservés, raccord au seed, butin, rencontres et services de campagne restent à terminer.</x:v>
      </x:c>
    </x:row>
    <x:row r="887" ht="96" customHeight="1">
      <x:c r="A887" s="115" t="str">
        <x:v>EXT-MONDE-T018-V32</x:v>
      </x:c>
      <x:c r="B887" s="115" t="str">
        <x:v>EXT-MONDE-T018</x:v>
      </x:c>
      <x:c r="C887" s="115" t="str">
        <x:v>Littoral</x:v>
      </x:c>
      <x:c r="D887" s="115" t="str">
        <x:v>Fête foraine portuaire</x:v>
      </x:c>
      <x:c r="E887" s="115" t="n">
        <x:v>32</x:v>
      </x:c>
      <x:c r="F887" s="115" t="str">
        <x:v>Inspection physique</x:v>
      </x:c>
      <x:c r="G887" s="115" t="str">
        <x:v>1 niveaux ; 32 pièces ; 248 segments de mur ; 0 transitions. Inspection physique ; architecture complète encore ouverte.</x:v>
      </x:c>
      <x:c r="H887" s="115" t="str">
        <x:v>L 324 ; l 278 ; hauteur 24 m ; choix de composition auteur ; dimensions réelles à documenter</x:v>
      </x:c>
      <x:c r="I887" s="115" t="str">
        <x:v>À équilibrer</x:v>
      </x:c>
      <x:c r="J887" s="115" t="str">
        <x:v>Non</x:v>
      </x:c>
      <x:c r="K887" s="115" t="str">
        <x:v>Pièces décrites, murs, portes, niveaux et mobilier inspectables à l’échelle. Volumes réservés, raccord au seed, butin, rencontres et services de campagne restent à terminer.</x:v>
      </x:c>
    </x:row>
    <x:row r="888" ht="96" customHeight="1">
      <x:c r="A888" s="115" t="str">
        <x:v>EXT-MONDE-T018-V33</x:v>
      </x:c>
      <x:c r="B888" s="115" t="str">
        <x:v>EXT-MONDE-T018</x:v>
      </x:c>
      <x:c r="C888" s="115" t="str">
        <x:v>Littoral</x:v>
      </x:c>
      <x:c r="D888" s="115" t="str">
        <x:v>Fête foraine portuaire</x:v>
      </x:c>
      <x:c r="E888" s="115" t="n">
        <x:v>33</x:v>
      </x:c>
      <x:c r="F888" s="115" t="str">
        <x:v>Inspection physique</x:v>
      </x:c>
      <x:c r="G888" s="115" t="str">
        <x:v>1 niveaux ; 32 pièces ; 248 segments de mur ; 0 transitions. Inspection physique ; architecture complète encore ouverte.</x:v>
      </x:c>
      <x:c r="H888" s="115" t="str">
        <x:v>L 324 ; l 278 ; hauteur 24 m ; choix de composition auteur ; dimensions réelles à documenter</x:v>
      </x:c>
      <x:c r="I888" s="115" t="str">
        <x:v>À équilibrer</x:v>
      </x:c>
      <x:c r="J888" s="115" t="str">
        <x:v>Non</x:v>
      </x:c>
      <x:c r="K888" s="115" t="str">
        <x:v>Pièces décrites, murs, portes, niveaux et mobilier inspectables à l’échelle. Volumes réservés, raccord au seed, butin, rencontres et services de campagne restent à terminer.</x:v>
      </x:c>
    </x:row>
    <x:row r="889" ht="96" customHeight="1">
      <x:c r="A889" s="115" t="str">
        <x:v>EXT-MONDE-T018-V34</x:v>
      </x:c>
      <x:c r="B889" s="115" t="str">
        <x:v>EXT-MONDE-T018</x:v>
      </x:c>
      <x:c r="C889" s="115" t="str">
        <x:v>Littoral</x:v>
      </x:c>
      <x:c r="D889" s="115" t="str">
        <x:v>Fête foraine portuaire</x:v>
      </x:c>
      <x:c r="E889" s="115" t="n">
        <x:v>34</x:v>
      </x:c>
      <x:c r="F889" s="115" t="str">
        <x:v>Inspection physique</x:v>
      </x:c>
      <x:c r="G889" s="115" t="str">
        <x:v>1 niveaux ; 32 pièces ; 248 segments de mur ; 0 transitions. Inspection physique ; architecture complète encore ouverte.</x:v>
      </x:c>
      <x:c r="H889" s="115" t="str">
        <x:v>L 324 ; l 278 ; hauteur 24 m ; choix de composition auteur ; dimensions réelles à documenter</x:v>
      </x:c>
      <x:c r="I889" s="115" t="str">
        <x:v>À équilibrer</x:v>
      </x:c>
      <x:c r="J889" s="115" t="str">
        <x:v>Non</x:v>
      </x:c>
      <x:c r="K889" s="115" t="str">
        <x:v>Pièces décrites, murs, portes, niveaux et mobilier inspectables à l’échelle. Volumes réservés, raccord au seed, butin, rencontres et services de campagne restent à terminer.</x:v>
      </x:c>
    </x:row>
    <x:row r="890" ht="96" customHeight="1">
      <x:c r="A890" s="115" t="str">
        <x:v>EXT-MONDE-T018-V35</x:v>
      </x:c>
      <x:c r="B890" s="115" t="str">
        <x:v>EXT-MONDE-T018</x:v>
      </x:c>
      <x:c r="C890" s="115" t="str">
        <x:v>Littoral</x:v>
      </x:c>
      <x:c r="D890" s="115" t="str">
        <x:v>Fête foraine portuaire</x:v>
      </x:c>
      <x:c r="E890" s="115" t="n">
        <x:v>35</x:v>
      </x:c>
      <x:c r="F890" s="115" t="str">
        <x:v>Inspection physique</x:v>
      </x:c>
      <x:c r="G890" s="115" t="str">
        <x:v>1 niveaux ; 32 pièces ; 248 segments de mur ; 0 transitions. Inspection physique ; architecture complète encore ouverte.</x:v>
      </x:c>
      <x:c r="H890" s="115" t="str">
        <x:v>L 324 ; l 278 ; hauteur 24 m ; choix de composition auteur ; dimensions réelles à documenter</x:v>
      </x:c>
      <x:c r="I890" s="115" t="str">
        <x:v>À équilibrer</x:v>
      </x:c>
      <x:c r="J890" s="115" t="str">
        <x:v>Non</x:v>
      </x:c>
      <x:c r="K890" s="115" t="str">
        <x:v>Pièces décrites, murs, portes, niveaux et mobilier inspectables à l’échelle. Volumes réservés, raccord au seed, butin, rencontres et services de campagne restent à terminer.</x:v>
      </x:c>
    </x:row>
    <x:row r="891" ht="96" customHeight="1">
      <x:c r="A891" s="115" t="str">
        <x:v>EXT-MONDE-T018-V36</x:v>
      </x:c>
      <x:c r="B891" s="115" t="str">
        <x:v>EXT-MONDE-T018</x:v>
      </x:c>
      <x:c r="C891" s="115" t="str">
        <x:v>Littoral</x:v>
      </x:c>
      <x:c r="D891" s="115" t="str">
        <x:v>Fête foraine portuaire</x:v>
      </x:c>
      <x:c r="E891" s="115" t="n">
        <x:v>36</x:v>
      </x:c>
      <x:c r="F891" s="115" t="str">
        <x:v>Inspection physique</x:v>
      </x:c>
      <x:c r="G891" s="115" t="str">
        <x:v>1 niveaux ; 32 pièces ; 248 segments de mur ; 0 transitions. Inspection physique ; architecture complète encore ouverte.</x:v>
      </x:c>
      <x:c r="H891" s="115" t="str">
        <x:v>L 324 ; l 278 ; hauteur 24 m ; choix de composition auteur ; dimensions réelles à documenter</x:v>
      </x:c>
      <x:c r="I891" s="115" t="str">
        <x:v>À équilibrer</x:v>
      </x:c>
      <x:c r="J891" s="115" t="str">
        <x:v>Non</x:v>
      </x:c>
      <x:c r="K891" s="115" t="str">
        <x:v>Pièces décrites, murs, portes, niveaux et mobilier inspectables à l’échelle. Volumes réservés, raccord au seed, butin, rencontres et services de campagne restent à terminer.</x:v>
      </x:c>
    </x:row>
    <x:row r="892" ht="96" customHeight="1">
      <x:c r="A892" s="115" t="str">
        <x:v>EXT-MONDE-T018-V37</x:v>
      </x:c>
      <x:c r="B892" s="115" t="str">
        <x:v>EXT-MONDE-T018</x:v>
      </x:c>
      <x:c r="C892" s="115" t="str">
        <x:v>Littoral</x:v>
      </x:c>
      <x:c r="D892" s="115" t="str">
        <x:v>Fête foraine portuaire</x:v>
      </x:c>
      <x:c r="E892" s="115" t="n">
        <x:v>37</x:v>
      </x:c>
      <x:c r="F892" s="115" t="str">
        <x:v>Inspection physique</x:v>
      </x:c>
      <x:c r="G892" s="115" t="str">
        <x:v>1 niveaux ; 32 pièces ; 248 segments de mur ; 0 transitions. Inspection physique ; architecture complète encore ouverte.</x:v>
      </x:c>
      <x:c r="H892" s="115" t="str">
        <x:v>L 324 ; l 278 ; hauteur 24 m ; choix de composition auteur ; dimensions réelles à documenter</x:v>
      </x:c>
      <x:c r="I892" s="115" t="str">
        <x:v>À équilibrer</x:v>
      </x:c>
      <x:c r="J892" s="115" t="str">
        <x:v>Non</x:v>
      </x:c>
      <x:c r="K892" s="115" t="str">
        <x:v>Pièces décrites, murs, portes, niveaux et mobilier inspectables à l’échelle. Volumes réservés, raccord au seed, butin, rencontres et services de campagne restent à terminer.</x:v>
      </x:c>
    </x:row>
    <x:row r="893" ht="96" customHeight="1">
      <x:c r="A893" s="115" t="str">
        <x:v>EXT-MONDE-T018-V38</x:v>
      </x:c>
      <x:c r="B893" s="115" t="str">
        <x:v>EXT-MONDE-T018</x:v>
      </x:c>
      <x:c r="C893" s="115" t="str">
        <x:v>Littoral</x:v>
      </x:c>
      <x:c r="D893" s="115" t="str">
        <x:v>Fête foraine portuaire</x:v>
      </x:c>
      <x:c r="E893" s="115" t="n">
        <x:v>38</x:v>
      </x:c>
      <x:c r="F893" s="115" t="str">
        <x:v>Inspection physique</x:v>
      </x:c>
      <x:c r="G893" s="115" t="str">
        <x:v>1 niveaux ; 32 pièces ; 248 segments de mur ; 0 transitions. Inspection physique ; architecture complète encore ouverte.</x:v>
      </x:c>
      <x:c r="H893" s="115" t="str">
        <x:v>L 324 ; l 278 ; hauteur 24 m ; choix de composition auteur ; dimensions réelles à documenter</x:v>
      </x:c>
      <x:c r="I893" s="115" t="str">
        <x:v>À équilibrer</x:v>
      </x:c>
      <x:c r="J893" s="115" t="str">
        <x:v>Non</x:v>
      </x:c>
      <x:c r="K893" s="115" t="str">
        <x:v>Pièces décrites, murs, portes, niveaux et mobilier inspectables à l’échelle. Volumes réservés, raccord au seed, butin, rencontres et services de campagne restent à terminer.</x:v>
      </x:c>
    </x:row>
    <x:row r="894" ht="96" customHeight="1">
      <x:c r="A894" s="115" t="str">
        <x:v>EXT-MONDE-T018-V39</x:v>
      </x:c>
      <x:c r="B894" s="115" t="str">
        <x:v>EXT-MONDE-T018</x:v>
      </x:c>
      <x:c r="C894" s="115" t="str">
        <x:v>Littoral</x:v>
      </x:c>
      <x:c r="D894" s="115" t="str">
        <x:v>Fête foraine portuaire</x:v>
      </x:c>
      <x:c r="E894" s="115" t="n">
        <x:v>39</x:v>
      </x:c>
      <x:c r="F894" s="115" t="str">
        <x:v>Inspection physique</x:v>
      </x:c>
      <x:c r="G894" s="115" t="str">
        <x:v>1 niveaux ; 32 pièces ; 248 segments de mur ; 0 transitions. Inspection physique ; architecture complète encore ouverte.</x:v>
      </x:c>
      <x:c r="H894" s="115" t="str">
        <x:v>L 324 ; l 278 ; hauteur 24 m ; choix de composition auteur ; dimensions réelles à documenter</x:v>
      </x:c>
      <x:c r="I894" s="115" t="str">
        <x:v>À équilibrer</x:v>
      </x:c>
      <x:c r="J894" s="115" t="str">
        <x:v>Non</x:v>
      </x:c>
      <x:c r="K894" s="115" t="str">
        <x:v>Pièces décrites, murs, portes, niveaux et mobilier inspectables à l’échelle. Volumes réservés, raccord au seed, butin, rencontres et services de campagne restent à terminer.</x:v>
      </x:c>
    </x:row>
    <x:row r="895" ht="96" customHeight="1">
      <x:c r="A895" s="115" t="str">
        <x:v>EXT-MONDE-T018-V40</x:v>
      </x:c>
      <x:c r="B895" s="115" t="str">
        <x:v>EXT-MONDE-T018</x:v>
      </x:c>
      <x:c r="C895" s="115" t="str">
        <x:v>Littoral</x:v>
      </x:c>
      <x:c r="D895" s="115" t="str">
        <x:v>Fête foraine portuaire</x:v>
      </x:c>
      <x:c r="E895" s="115" t="n">
        <x:v>40</x:v>
      </x:c>
      <x:c r="F895" s="115" t="str">
        <x:v>Inspection physique</x:v>
      </x:c>
      <x:c r="G895" s="115" t="str">
        <x:v>1 niveaux ; 32 pièces ; 248 segments de mur ; 0 transitions. Inspection physique ; architecture complète encore ouverte.</x:v>
      </x:c>
      <x:c r="H895" s="115" t="str">
        <x:v>L 324 ; l 278 ; hauteur 24 m ; choix de composition auteur ; dimensions réelles à documenter</x:v>
      </x:c>
      <x:c r="I895" s="115" t="str">
        <x:v>À équilibrer</x:v>
      </x:c>
      <x:c r="J895" s="115" t="str">
        <x:v>Non</x:v>
      </x:c>
      <x:c r="K895" s="115" t="str">
        <x:v>Pièces décrites, murs, portes, niveaux et mobilier inspectables à l’échelle. Volumes réservés, raccord au seed, butin, rencontres et services de campagne restent à terminer.</x:v>
      </x:c>
    </x:row>
    <x:row r="896" ht="96" customHeight="1">
      <x:c r="A896" s="115" t="str">
        <x:v>EXT-MONDE-T018-V41</x:v>
      </x:c>
      <x:c r="B896" s="115" t="str">
        <x:v>EXT-MONDE-T018</x:v>
      </x:c>
      <x:c r="C896" s="115" t="str">
        <x:v>Littoral</x:v>
      </x:c>
      <x:c r="D896" s="115" t="str">
        <x:v>Fête foraine portuaire</x:v>
      </x:c>
      <x:c r="E896" s="115" t="n">
        <x:v>41</x:v>
      </x:c>
      <x:c r="F896" s="115" t="str">
        <x:v>Inspection physique</x:v>
      </x:c>
      <x:c r="G896" s="115" t="str">
        <x:v>1 niveaux ; 32 pièces ; 248 segments de mur ; 0 transitions. Inspection physique ; architecture complète encore ouverte.</x:v>
      </x:c>
      <x:c r="H896" s="115" t="str">
        <x:v>L 342 ; l 294 ; hauteur 24 m ; choix de composition auteur ; dimensions réelles à documenter</x:v>
      </x:c>
      <x:c r="I896" s="115" t="str">
        <x:v>À équilibrer</x:v>
      </x:c>
      <x:c r="J896" s="115" t="str">
        <x:v>Non</x:v>
      </x:c>
      <x:c r="K896" s="115" t="str">
        <x:v>Pièces décrites, murs, portes, niveaux et mobilier inspectables à l’échelle. Volumes réservés, raccord au seed, butin, rencontres et services de campagne restent à terminer.</x:v>
      </x:c>
    </x:row>
    <x:row r="897" ht="96" customHeight="1">
      <x:c r="A897" s="115" t="str">
        <x:v>EXT-MONDE-T018-V42</x:v>
      </x:c>
      <x:c r="B897" s="115" t="str">
        <x:v>EXT-MONDE-T018</x:v>
      </x:c>
      <x:c r="C897" s="115" t="str">
        <x:v>Littoral</x:v>
      </x:c>
      <x:c r="D897" s="115" t="str">
        <x:v>Fête foraine portuaire</x:v>
      </x:c>
      <x:c r="E897" s="115" t="n">
        <x:v>42</x:v>
      </x:c>
      <x:c r="F897" s="115" t="str">
        <x:v>Inspection physique</x:v>
      </x:c>
      <x:c r="G897" s="115" t="str">
        <x:v>1 niveaux ; 32 pièces ; 248 segments de mur ; 0 transitions. Inspection physique ; architecture complète encore ouverte.</x:v>
      </x:c>
      <x:c r="H897" s="115" t="str">
        <x:v>L 342 ; l 294 ; hauteur 24 m ; choix de composition auteur ; dimensions réelles à documenter</x:v>
      </x:c>
      <x:c r="I897" s="115" t="str">
        <x:v>À équilibrer</x:v>
      </x:c>
      <x:c r="J897" s="115" t="str">
        <x:v>Non</x:v>
      </x:c>
      <x:c r="K897" s="115" t="str">
        <x:v>Pièces décrites, murs, portes, niveaux et mobilier inspectables à l’échelle. Volumes réservés, raccord au seed, butin, rencontres et services de campagne restent à terminer.</x:v>
      </x:c>
    </x:row>
    <x:row r="898" ht="96" customHeight="1">
      <x:c r="A898" s="115" t="str">
        <x:v>EXT-MONDE-T018-V43</x:v>
      </x:c>
      <x:c r="B898" s="115" t="str">
        <x:v>EXT-MONDE-T018</x:v>
      </x:c>
      <x:c r="C898" s="115" t="str">
        <x:v>Littoral</x:v>
      </x:c>
      <x:c r="D898" s="115" t="str">
        <x:v>Fête foraine portuaire</x:v>
      </x:c>
      <x:c r="E898" s="115" t="n">
        <x:v>43</x:v>
      </x:c>
      <x:c r="F898" s="115" t="str">
        <x:v>Inspection physique</x:v>
      </x:c>
      <x:c r="G898" s="115" t="str">
        <x:v>1 niveaux ; 32 pièces ; 248 segments de mur ; 0 transitions. Inspection physique ; architecture complète encore ouverte.</x:v>
      </x:c>
      <x:c r="H898" s="115" t="str">
        <x:v>L 342 ; l 294 ; hauteur 24 m ; choix de composition auteur ; dimensions réelles à documenter</x:v>
      </x:c>
      <x:c r="I898" s="115" t="str">
        <x:v>À équilibrer</x:v>
      </x:c>
      <x:c r="J898" s="115" t="str">
        <x:v>Non</x:v>
      </x:c>
      <x:c r="K898" s="115" t="str">
        <x:v>Pièces décrites, murs, portes, niveaux et mobilier inspectables à l’échelle. Volumes réservés, raccord au seed, butin, rencontres et services de campagne restent à terminer.</x:v>
      </x:c>
    </x:row>
    <x:row r="899" ht="96" customHeight="1">
      <x:c r="A899" s="115" t="str">
        <x:v>EXT-MONDE-T018-V44</x:v>
      </x:c>
      <x:c r="B899" s="115" t="str">
        <x:v>EXT-MONDE-T018</x:v>
      </x:c>
      <x:c r="C899" s="115" t="str">
        <x:v>Littoral</x:v>
      </x:c>
      <x:c r="D899" s="115" t="str">
        <x:v>Fête foraine portuaire</x:v>
      </x:c>
      <x:c r="E899" s="115" t="n">
        <x:v>44</x:v>
      </x:c>
      <x:c r="F899" s="115" t="str">
        <x:v>Inspection physique</x:v>
      </x:c>
      <x:c r="G899" s="115" t="str">
        <x:v>1 niveaux ; 32 pièces ; 248 segments de mur ; 0 transitions. Inspection physique ; architecture complète encore ouverte.</x:v>
      </x:c>
      <x:c r="H899" s="115" t="str">
        <x:v>L 342 ; l 294 ; hauteur 24 m ; choix de composition auteur ; dimensions réelles à documenter</x:v>
      </x:c>
      <x:c r="I899" s="115" t="str">
        <x:v>À équilibrer</x:v>
      </x:c>
      <x:c r="J899" s="115" t="str">
        <x:v>Non</x:v>
      </x:c>
      <x:c r="K899" s="115" t="str">
        <x:v>Pièces décrites, murs, portes, niveaux et mobilier inspectables à l’échelle. Volumes réservés, raccord au seed, butin, rencontres et services de campagne restent à terminer.</x:v>
      </x:c>
    </x:row>
    <x:row r="900" ht="96" customHeight="1">
      <x:c r="A900" s="115" t="str">
        <x:v>EXT-MONDE-T018-V45</x:v>
      </x:c>
      <x:c r="B900" s="115" t="str">
        <x:v>EXT-MONDE-T018</x:v>
      </x:c>
      <x:c r="C900" s="115" t="str">
        <x:v>Littoral</x:v>
      </x:c>
      <x:c r="D900" s="115" t="str">
        <x:v>Fête foraine portuaire</x:v>
      </x:c>
      <x:c r="E900" s="115" t="n">
        <x:v>45</x:v>
      </x:c>
      <x:c r="F900" s="115" t="str">
        <x:v>Inspection physique</x:v>
      </x:c>
      <x:c r="G900" s="115" t="str">
        <x:v>1 niveaux ; 32 pièces ; 248 segments de mur ; 0 transitions. Inspection physique ; architecture complète encore ouverte.</x:v>
      </x:c>
      <x:c r="H900" s="115" t="str">
        <x:v>L 342 ; l 294 ; hauteur 24 m ; choix de composition auteur ; dimensions réelles à documenter</x:v>
      </x:c>
      <x:c r="I900" s="115" t="str">
        <x:v>À équilibrer</x:v>
      </x:c>
      <x:c r="J900" s="115" t="str">
        <x:v>Non</x:v>
      </x:c>
      <x:c r="K900" s="115" t="str">
        <x:v>Pièces décrites, murs, portes, niveaux et mobilier inspectables à l’échelle. Volumes réservés, raccord au seed, butin, rencontres et services de campagne restent à terminer.</x:v>
      </x:c>
    </x:row>
    <x:row r="901" ht="96" customHeight="1">
      <x:c r="A901" s="115" t="str">
        <x:v>EXT-MONDE-T018-V46</x:v>
      </x:c>
      <x:c r="B901" s="115" t="str">
        <x:v>EXT-MONDE-T018</x:v>
      </x:c>
      <x:c r="C901" s="115" t="str">
        <x:v>Littoral</x:v>
      </x:c>
      <x:c r="D901" s="115" t="str">
        <x:v>Fête foraine portuaire</x:v>
      </x:c>
      <x:c r="E901" s="115" t="n">
        <x:v>46</x:v>
      </x:c>
      <x:c r="F901" s="115" t="str">
        <x:v>Inspection physique</x:v>
      </x:c>
      <x:c r="G901" s="115" t="str">
        <x:v>1 niveaux ; 32 pièces ; 248 segments de mur ; 0 transitions. Inspection physique ; architecture complète encore ouverte.</x:v>
      </x:c>
      <x:c r="H901" s="115" t="str">
        <x:v>L 342 ; l 294 ; hauteur 24 m ; choix de composition auteur ; dimensions réelles à documenter</x:v>
      </x:c>
      <x:c r="I901" s="115" t="str">
        <x:v>À équilibrer</x:v>
      </x:c>
      <x:c r="J901" s="115" t="str">
        <x:v>Non</x:v>
      </x:c>
      <x:c r="K901" s="115" t="str">
        <x:v>Pièces décrites, murs, portes, niveaux et mobilier inspectables à l’échelle. Volumes réservés, raccord au seed, butin, rencontres et services de campagne restent à terminer.</x:v>
      </x:c>
    </x:row>
    <x:row r="902" ht="96" customHeight="1">
      <x:c r="A902" s="115" t="str">
        <x:v>EXT-MONDE-T018-V47</x:v>
      </x:c>
      <x:c r="B902" s="115" t="str">
        <x:v>EXT-MONDE-T018</x:v>
      </x:c>
      <x:c r="C902" s="115" t="str">
        <x:v>Littoral</x:v>
      </x:c>
      <x:c r="D902" s="115" t="str">
        <x:v>Fête foraine portuaire</x:v>
      </x:c>
      <x:c r="E902" s="115" t="n">
        <x:v>47</x:v>
      </x:c>
      <x:c r="F902" s="115" t="str">
        <x:v>Inspection physique</x:v>
      </x:c>
      <x:c r="G902" s="115" t="str">
        <x:v>1 niveaux ; 32 pièces ; 248 segments de mur ; 0 transitions. Inspection physique ; architecture complète encore ouverte.</x:v>
      </x:c>
      <x:c r="H902" s="115" t="str">
        <x:v>L 342 ; l 294 ; hauteur 24 m ; choix de composition auteur ; dimensions réelles à documenter</x:v>
      </x:c>
      <x:c r="I902" s="115" t="str">
        <x:v>À équilibrer</x:v>
      </x:c>
      <x:c r="J902" s="115" t="str">
        <x:v>Non</x:v>
      </x:c>
      <x:c r="K902" s="115" t="str">
        <x:v>Pièces décrites, murs, portes, niveaux et mobilier inspectables à l’échelle. Volumes réservés, raccord au seed, butin, rencontres et services de campagne restent à terminer.</x:v>
      </x:c>
    </x:row>
    <x:row r="903" ht="96" customHeight="1">
      <x:c r="A903" s="115" t="str">
        <x:v>EXT-MONDE-T018-V48</x:v>
      </x:c>
      <x:c r="B903" s="115" t="str">
        <x:v>EXT-MONDE-T018</x:v>
      </x:c>
      <x:c r="C903" s="115" t="str">
        <x:v>Littoral</x:v>
      </x:c>
      <x:c r="D903" s="115" t="str">
        <x:v>Fête foraine portuaire</x:v>
      </x:c>
      <x:c r="E903" s="115" t="n">
        <x:v>48</x:v>
      </x:c>
      <x:c r="F903" s="115" t="str">
        <x:v>Inspection physique</x:v>
      </x:c>
      <x:c r="G903" s="115" t="str">
        <x:v>1 niveaux ; 32 pièces ; 248 segments de mur ; 0 transitions. Inspection physique ; architecture complète encore ouverte.</x:v>
      </x:c>
      <x:c r="H903" s="115" t="str">
        <x:v>L 342 ; l 294 ; hauteur 24 m ; choix de composition auteur ; dimensions réelles à documenter</x:v>
      </x:c>
      <x:c r="I903" s="115" t="str">
        <x:v>À équilibrer</x:v>
      </x:c>
      <x:c r="J903" s="115" t="str">
        <x:v>Non</x:v>
      </x:c>
      <x:c r="K903" s="115" t="str">
        <x:v>Pièces décrites, murs, portes, niveaux et mobilier inspectables à l’échelle. Volumes réservés, raccord au seed, butin, rencontres et services de campagne restent à terminer.</x:v>
      </x:c>
    </x:row>
    <x:row r="904" ht="96" customHeight="1">
      <x:c r="A904" s="115" t="str">
        <x:v>EXT-MONDE-T018-V49</x:v>
      </x:c>
      <x:c r="B904" s="115" t="str">
        <x:v>EXT-MONDE-T018</x:v>
      </x:c>
      <x:c r="C904" s="115" t="str">
        <x:v>Littoral</x:v>
      </x:c>
      <x:c r="D904" s="115" t="str">
        <x:v>Fête foraine portuaire</x:v>
      </x:c>
      <x:c r="E904" s="115" t="n">
        <x:v>49</x:v>
      </x:c>
      <x:c r="F904" s="115" t="str">
        <x:v>Inspection physique</x:v>
      </x:c>
      <x:c r="G904" s="115" t="str">
        <x:v>1 niveaux ; 32 pièces ; 248 segments de mur ; 0 transitions. Inspection physique ; architecture complète encore ouverte.</x:v>
      </x:c>
      <x:c r="H904" s="115" t="str">
        <x:v>L 342 ; l 294 ; hauteur 24 m ; choix de composition auteur ; dimensions réelles à documenter</x:v>
      </x:c>
      <x:c r="I904" s="115" t="str">
        <x:v>À équilibrer</x:v>
      </x:c>
      <x:c r="J904" s="115" t="str">
        <x:v>Non</x:v>
      </x:c>
      <x:c r="K904" s="115" t="str">
        <x:v>Pièces décrites, murs, portes, niveaux et mobilier inspectables à l’échelle. Volumes réservés, raccord au seed, butin, rencontres et services de campagne restent à terminer.</x:v>
      </x:c>
    </x:row>
    <x:row r="905" ht="96" customHeight="1">
      <x:c r="A905" s="115" t="str">
        <x:v>EXT-MONDE-T018-V50</x:v>
      </x:c>
      <x:c r="B905" s="115" t="str">
        <x:v>EXT-MONDE-T018</x:v>
      </x:c>
      <x:c r="C905" s="115" t="str">
        <x:v>Littoral</x:v>
      </x:c>
      <x:c r="D905" s="115" t="str">
        <x:v>Fête foraine portuaire</x:v>
      </x:c>
      <x:c r="E905" s="115" t="n">
        <x:v>50</x:v>
      </x:c>
      <x:c r="F905" s="115" t="str">
        <x:v>Inspection physique</x:v>
      </x:c>
      <x:c r="G905" s="115" t="str">
        <x:v>1 niveaux ; 32 pièces ; 248 segments de mur ; 0 transitions. Inspection physique ; architecture complète encore ouverte.</x:v>
      </x:c>
      <x:c r="H905" s="115" t="str">
        <x:v>L 342 ; l 294 ; hauteur 24 m ; choix de composition auteur ; dimensions réelles à documenter</x:v>
      </x:c>
      <x:c r="I905" s="115" t="str">
        <x:v>À équilibrer</x:v>
      </x:c>
      <x:c r="J905" s="115" t="str">
        <x:v>Non</x:v>
      </x:c>
      <x:c r="K905" s="115" t="str">
        <x:v>Pièces décrites, murs, portes, niveaux et mobilier inspectables à l’échelle. Volumes réservés, raccord au seed, butin, rencontres et services de campagne restent à terminer.</x:v>
      </x:c>
    </x:row>
    <x:row r="906" ht="96" customHeight="1">
      <x:c r="A906" s="115" t="str">
        <x:v>EXT-MONDE-T019-V01</x:v>
      </x:c>
      <x:c r="B906" s="115" t="str">
        <x:v>EXT-MONDE-T019</x:v>
      </x:c>
      <x:c r="C906" s="115" t="str">
        <x:v>Littoral</x:v>
      </x:c>
      <x:c r="D906" s="115" t="str">
        <x:v>Chantier naval côtier</x:v>
      </x:c>
      <x:c r="E906" s="115" t="n">
        <x:v>1</x:v>
      </x:c>
      <x:c r="F906" s="115" t="str">
        <x:v>Inspection physique</x:v>
      </x:c>
      <x:c r="G906" s="115" t="str">
        <x:v>1 niveaux ; 32 pièces ; 248 segments de mur ; 0 transitions. Inspection physique ; architecture complète encore ouverte.</x:v>
      </x:c>
      <x:c r="H906" s="115" t="str">
        <x:v>L 270 ; l 230 ; hauteur 18 m ; choix de composition auteur ; dimensions réelles à documenter</x:v>
      </x:c>
      <x:c r="I906" s="115" t="str">
        <x:v>À équilibrer</x:v>
      </x:c>
      <x:c r="J906" s="115" t="str">
        <x:v>Non</x:v>
      </x:c>
      <x:c r="K906" s="115" t="str">
        <x:v>Pièces décrites, murs, portes, niveaux et mobilier inspectables à l’échelle. Volumes réservés, raccord au seed, butin, rencontres et services de campagne restent à terminer.</x:v>
      </x:c>
    </x:row>
    <x:row r="907" ht="96" customHeight="1">
      <x:c r="A907" s="115" t="str">
        <x:v>EXT-MONDE-T019-V02</x:v>
      </x:c>
      <x:c r="B907" s="115" t="str">
        <x:v>EXT-MONDE-T019</x:v>
      </x:c>
      <x:c r="C907" s="115" t="str">
        <x:v>Littoral</x:v>
      </x:c>
      <x:c r="D907" s="115" t="str">
        <x:v>Chantier naval côtier</x:v>
      </x:c>
      <x:c r="E907" s="115" t="n">
        <x:v>2</x:v>
      </x:c>
      <x:c r="F907" s="115" t="str">
        <x:v>Inspection physique</x:v>
      </x:c>
      <x:c r="G907" s="115" t="str">
        <x:v>1 niveaux ; 32 pièces ; 248 segments de mur ; 0 transitions. Inspection physique ; architecture complète encore ouverte.</x:v>
      </x:c>
      <x:c r="H907" s="115" t="str">
        <x:v>L 270 ; l 230 ; hauteur 18 m ; choix de composition auteur ; dimensions réelles à documenter</x:v>
      </x:c>
      <x:c r="I907" s="115" t="str">
        <x:v>À équilibrer</x:v>
      </x:c>
      <x:c r="J907" s="115" t="str">
        <x:v>Non</x:v>
      </x:c>
      <x:c r="K907" s="115" t="str">
        <x:v>Pièces décrites, murs, portes, niveaux et mobilier inspectables à l’échelle. Volumes réservés, raccord au seed, butin, rencontres et services de campagne restent à terminer.</x:v>
      </x:c>
    </x:row>
    <x:row r="908" ht="96" customHeight="1">
      <x:c r="A908" s="115" t="str">
        <x:v>EXT-MONDE-T019-V03</x:v>
      </x:c>
      <x:c r="B908" s="115" t="str">
        <x:v>EXT-MONDE-T019</x:v>
      </x:c>
      <x:c r="C908" s="115" t="str">
        <x:v>Littoral</x:v>
      </x:c>
      <x:c r="D908" s="115" t="str">
        <x:v>Chantier naval côtier</x:v>
      </x:c>
      <x:c r="E908" s="115" t="n">
        <x:v>3</x:v>
      </x:c>
      <x:c r="F908" s="115" t="str">
        <x:v>Inspection physique</x:v>
      </x:c>
      <x:c r="G908" s="115" t="str">
        <x:v>1 niveaux ; 32 pièces ; 248 segments de mur ; 0 transitions. Inspection physique ; architecture complète encore ouverte.</x:v>
      </x:c>
      <x:c r="H908" s="115" t="str">
        <x:v>L 270 ; l 230 ; hauteur 18 m ; choix de composition auteur ; dimensions réelles à documenter</x:v>
      </x:c>
      <x:c r="I908" s="115" t="str">
        <x:v>À équilibrer</x:v>
      </x:c>
      <x:c r="J908" s="115" t="str">
        <x:v>Non</x:v>
      </x:c>
      <x:c r="K908" s="115" t="str">
        <x:v>Pièces décrites, murs, portes, niveaux et mobilier inspectables à l’échelle. Volumes réservés, raccord au seed, butin, rencontres et services de campagne restent à terminer.</x:v>
      </x:c>
    </x:row>
    <x:row r="909" ht="96" customHeight="1">
      <x:c r="A909" s="115" t="str">
        <x:v>EXT-MONDE-T019-V04</x:v>
      </x:c>
      <x:c r="B909" s="115" t="str">
        <x:v>EXT-MONDE-T019</x:v>
      </x:c>
      <x:c r="C909" s="115" t="str">
        <x:v>Littoral</x:v>
      </x:c>
      <x:c r="D909" s="115" t="str">
        <x:v>Chantier naval côtier</x:v>
      </x:c>
      <x:c r="E909" s="115" t="n">
        <x:v>4</x:v>
      </x:c>
      <x:c r="F909" s="115" t="str">
        <x:v>Inspection physique</x:v>
      </x:c>
      <x:c r="G909" s="115" t="str">
        <x:v>1 niveaux ; 32 pièces ; 248 segments de mur ; 0 transitions. Inspection physique ; architecture complète encore ouverte.</x:v>
      </x:c>
      <x:c r="H909" s="115" t="str">
        <x:v>L 270 ; l 230 ; hauteur 18 m ; choix de composition auteur ; dimensions réelles à documenter</x:v>
      </x:c>
      <x:c r="I909" s="115" t="str">
        <x:v>À équilibrer</x:v>
      </x:c>
      <x:c r="J909" s="115" t="str">
        <x:v>Non</x:v>
      </x:c>
      <x:c r="K909" s="115" t="str">
        <x:v>Pièces décrites, murs, portes, niveaux et mobilier inspectables à l’échelle. Volumes réservés, raccord au seed, butin, rencontres et services de campagne restent à terminer.</x:v>
      </x:c>
    </x:row>
    <x:row r="910" ht="96" customHeight="1">
      <x:c r="A910" s="115" t="str">
        <x:v>EXT-MONDE-T019-V05</x:v>
      </x:c>
      <x:c r="B910" s="115" t="str">
        <x:v>EXT-MONDE-T019</x:v>
      </x:c>
      <x:c r="C910" s="115" t="str">
        <x:v>Littoral</x:v>
      </x:c>
      <x:c r="D910" s="115" t="str">
        <x:v>Chantier naval côtier</x:v>
      </x:c>
      <x:c r="E910" s="115" t="n">
        <x:v>5</x:v>
      </x:c>
      <x:c r="F910" s="115" t="str">
        <x:v>Inspection physique</x:v>
      </x:c>
      <x:c r="G910" s="115" t="str">
        <x:v>1 niveaux ; 32 pièces ; 248 segments de mur ; 0 transitions. Inspection physique ; architecture complète encore ouverte.</x:v>
      </x:c>
      <x:c r="H910" s="115" t="str">
        <x:v>L 270 ; l 230 ; hauteur 18 m ; choix de composition auteur ; dimensions réelles à documenter</x:v>
      </x:c>
      <x:c r="I910" s="115" t="str">
        <x:v>À équilibrer</x:v>
      </x:c>
      <x:c r="J910" s="115" t="str">
        <x:v>Non</x:v>
      </x:c>
      <x:c r="K910" s="115" t="str">
        <x:v>Pièces décrites, murs, portes, niveaux et mobilier inspectables à l’échelle. Volumes réservés, raccord au seed, butin, rencontres et services de campagne restent à terminer.</x:v>
      </x:c>
    </x:row>
    <x:row r="911" ht="96" customHeight="1">
      <x:c r="A911" s="115" t="str">
        <x:v>EXT-MONDE-T019-V06</x:v>
      </x:c>
      <x:c r="B911" s="115" t="str">
        <x:v>EXT-MONDE-T019</x:v>
      </x:c>
      <x:c r="C911" s="115" t="str">
        <x:v>Littoral</x:v>
      </x:c>
      <x:c r="D911" s="115" t="str">
        <x:v>Chantier naval côtier</x:v>
      </x:c>
      <x:c r="E911" s="115" t="n">
        <x:v>6</x:v>
      </x:c>
      <x:c r="F911" s="115" t="str">
        <x:v>Inspection physique</x:v>
      </x:c>
      <x:c r="G911" s="115" t="str">
        <x:v>1 niveaux ; 32 pièces ; 248 segments de mur ; 0 transitions. Inspection physique ; architecture complète encore ouverte.</x:v>
      </x:c>
      <x:c r="H911" s="115" t="str">
        <x:v>L 270 ; l 230 ; hauteur 18 m ; choix de composition auteur ; dimensions réelles à documenter</x:v>
      </x:c>
      <x:c r="I911" s="115" t="str">
        <x:v>À équilibrer</x:v>
      </x:c>
      <x:c r="J911" s="115" t="str">
        <x:v>Non</x:v>
      </x:c>
      <x:c r="K911" s="115" t="str">
        <x:v>Pièces décrites, murs, portes, niveaux et mobilier inspectables à l’échelle. Volumes réservés, raccord au seed, butin, rencontres et services de campagne restent à terminer.</x:v>
      </x:c>
    </x:row>
    <x:row r="912" ht="96" customHeight="1">
      <x:c r="A912" s="115" t="str">
        <x:v>EXT-MONDE-T019-V07</x:v>
      </x:c>
      <x:c r="B912" s="115" t="str">
        <x:v>EXT-MONDE-T019</x:v>
      </x:c>
      <x:c r="C912" s="115" t="str">
        <x:v>Littoral</x:v>
      </x:c>
      <x:c r="D912" s="115" t="str">
        <x:v>Chantier naval côtier</x:v>
      </x:c>
      <x:c r="E912" s="115" t="n">
        <x:v>7</x:v>
      </x:c>
      <x:c r="F912" s="115" t="str">
        <x:v>Inspection physique</x:v>
      </x:c>
      <x:c r="G912" s="115" t="str">
        <x:v>1 niveaux ; 32 pièces ; 248 segments de mur ; 0 transitions. Inspection physique ; architecture complète encore ouverte.</x:v>
      </x:c>
      <x:c r="H912" s="115" t="str">
        <x:v>L 270 ; l 230 ; hauteur 18 m ; choix de composition auteur ; dimensions réelles à documenter</x:v>
      </x:c>
      <x:c r="I912" s="115" t="str">
        <x:v>À équilibrer</x:v>
      </x:c>
      <x:c r="J912" s="115" t="str">
        <x:v>Non</x:v>
      </x:c>
      <x:c r="K912" s="115" t="str">
        <x:v>Pièces décrites, murs, portes, niveaux et mobilier inspectables à l’échelle. Volumes réservés, raccord au seed, butin, rencontres et services de campagne restent à terminer.</x:v>
      </x:c>
    </x:row>
    <x:row r="913" ht="96" customHeight="1">
      <x:c r="A913" s="115" t="str">
        <x:v>EXT-MONDE-T019-V08</x:v>
      </x:c>
      <x:c r="B913" s="115" t="str">
        <x:v>EXT-MONDE-T019</x:v>
      </x:c>
      <x:c r="C913" s="115" t="str">
        <x:v>Littoral</x:v>
      </x:c>
      <x:c r="D913" s="115" t="str">
        <x:v>Chantier naval côtier</x:v>
      </x:c>
      <x:c r="E913" s="115" t="n">
        <x:v>8</x:v>
      </x:c>
      <x:c r="F913" s="115" t="str">
        <x:v>Inspection physique</x:v>
      </x:c>
      <x:c r="G913" s="115" t="str">
        <x:v>1 niveaux ; 32 pièces ; 248 segments de mur ; 0 transitions. Inspection physique ; architecture complète encore ouverte.</x:v>
      </x:c>
      <x:c r="H913" s="115" t="str">
        <x:v>L 270 ; l 230 ; hauteur 18 m ; choix de composition auteur ; dimensions réelles à documenter</x:v>
      </x:c>
      <x:c r="I913" s="115" t="str">
        <x:v>À équilibrer</x:v>
      </x:c>
      <x:c r="J913" s="115" t="str">
        <x:v>Non</x:v>
      </x:c>
      <x:c r="K913" s="115" t="str">
        <x:v>Pièces décrites, murs, portes, niveaux et mobilier inspectables à l’échelle. Volumes réservés, raccord au seed, butin, rencontres et services de campagne restent à terminer.</x:v>
      </x:c>
    </x:row>
    <x:row r="914" ht="96" customHeight="1">
      <x:c r="A914" s="115" t="str">
        <x:v>EXT-MONDE-T019-V09</x:v>
      </x:c>
      <x:c r="B914" s="115" t="str">
        <x:v>EXT-MONDE-T019</x:v>
      </x:c>
      <x:c r="C914" s="115" t="str">
        <x:v>Littoral</x:v>
      </x:c>
      <x:c r="D914" s="115" t="str">
        <x:v>Chantier naval côtier</x:v>
      </x:c>
      <x:c r="E914" s="115" t="n">
        <x:v>9</x:v>
      </x:c>
      <x:c r="F914" s="115" t="str">
        <x:v>Inspection physique</x:v>
      </x:c>
      <x:c r="G914" s="115" t="str">
        <x:v>1 niveaux ; 32 pièces ; 248 segments de mur ; 0 transitions. Inspection physique ; architecture complète encore ouverte.</x:v>
      </x:c>
      <x:c r="H914" s="115" t="str">
        <x:v>L 270 ; l 230 ; hauteur 18 m ; choix de composition auteur ; dimensions réelles à documenter</x:v>
      </x:c>
      <x:c r="I914" s="115" t="str">
        <x:v>À équilibrer</x:v>
      </x:c>
      <x:c r="J914" s="115" t="str">
        <x:v>Non</x:v>
      </x:c>
      <x:c r="K914" s="115" t="str">
        <x:v>Pièces décrites, murs, portes, niveaux et mobilier inspectables à l’échelle. Volumes réservés, raccord au seed, butin, rencontres et services de campagne restent à terminer.</x:v>
      </x:c>
    </x:row>
    <x:row r="915" ht="96" customHeight="1">
      <x:c r="A915" s="115" t="str">
        <x:v>EXT-MONDE-T019-V10</x:v>
      </x:c>
      <x:c r="B915" s="115" t="str">
        <x:v>EXT-MONDE-T019</x:v>
      </x:c>
      <x:c r="C915" s="115" t="str">
        <x:v>Littoral</x:v>
      </x:c>
      <x:c r="D915" s="115" t="str">
        <x:v>Chantier naval côtier</x:v>
      </x:c>
      <x:c r="E915" s="115" t="n">
        <x:v>10</x:v>
      </x:c>
      <x:c r="F915" s="115" t="str">
        <x:v>Inspection physique</x:v>
      </x:c>
      <x:c r="G915" s="115" t="str">
        <x:v>1 niveaux ; 32 pièces ; 248 segments de mur ; 0 transitions. Inspection physique ; architecture complète encore ouverte.</x:v>
      </x:c>
      <x:c r="H915" s="115" t="str">
        <x:v>L 270 ; l 230 ; hauteur 18 m ; choix de composition auteur ; dimensions réelles à documenter</x:v>
      </x:c>
      <x:c r="I915" s="115" t="str">
        <x:v>À équilibrer</x:v>
      </x:c>
      <x:c r="J915" s="115" t="str">
        <x:v>Non</x:v>
      </x:c>
      <x:c r="K915" s="115" t="str">
        <x:v>Pièces décrites, murs, portes, niveaux et mobilier inspectables à l’échelle. Volumes réservés, raccord au seed, butin, rencontres et services de campagne restent à terminer.</x:v>
      </x:c>
    </x:row>
    <x:row r="916" ht="96" customHeight="1">
      <x:c r="A916" s="115" t="str">
        <x:v>EXT-MONDE-T019-V11</x:v>
      </x:c>
      <x:c r="B916" s="115" t="str">
        <x:v>EXT-MONDE-T019</x:v>
      </x:c>
      <x:c r="C916" s="115" t="str">
        <x:v>Littoral</x:v>
      </x:c>
      <x:c r="D916" s="115" t="str">
        <x:v>Chantier naval côtier</x:v>
      </x:c>
      <x:c r="E916" s="115" t="n">
        <x:v>11</x:v>
      </x:c>
      <x:c r="F916" s="115" t="str">
        <x:v>Inspection physique</x:v>
      </x:c>
      <x:c r="G916" s="115" t="str">
        <x:v>1 niveaux ; 32 pièces ; 248 segments de mur ; 0 transitions. Inspection physique ; architecture complète encore ouverte.</x:v>
      </x:c>
      <x:c r="H916" s="115" t="str">
        <x:v>L 288 ; l 246 ; hauteur 18 m ; choix de composition auteur ; dimensions réelles à documenter</x:v>
      </x:c>
      <x:c r="I916" s="115" t="str">
        <x:v>À équilibrer</x:v>
      </x:c>
      <x:c r="J916" s="115" t="str">
        <x:v>Non</x:v>
      </x:c>
      <x:c r="K916" s="115" t="str">
        <x:v>Pièces décrites, murs, portes, niveaux et mobilier inspectables à l’échelle. Volumes réservés, raccord au seed, butin, rencontres et services de campagne restent à terminer.</x:v>
      </x:c>
    </x:row>
    <x:row r="917" ht="96" customHeight="1">
      <x:c r="A917" s="115" t="str">
        <x:v>EXT-MONDE-T019-V12</x:v>
      </x:c>
      <x:c r="B917" s="115" t="str">
        <x:v>EXT-MONDE-T019</x:v>
      </x:c>
      <x:c r="C917" s="115" t="str">
        <x:v>Littoral</x:v>
      </x:c>
      <x:c r="D917" s="115" t="str">
        <x:v>Chantier naval côtier</x:v>
      </x:c>
      <x:c r="E917" s="115" t="n">
        <x:v>12</x:v>
      </x:c>
      <x:c r="F917" s="115" t="str">
        <x:v>Inspection physique</x:v>
      </x:c>
      <x:c r="G917" s="115" t="str">
        <x:v>1 niveaux ; 32 pièces ; 248 segments de mur ; 0 transitions. Inspection physique ; architecture complète encore ouverte.</x:v>
      </x:c>
      <x:c r="H917" s="115" t="str">
        <x:v>L 288 ; l 246 ; hauteur 18 m ; choix de composition auteur ; dimensions réelles à documenter</x:v>
      </x:c>
      <x:c r="I917" s="115" t="str">
        <x:v>À équilibrer</x:v>
      </x:c>
      <x:c r="J917" s="115" t="str">
        <x:v>Non</x:v>
      </x:c>
      <x:c r="K917" s="115" t="str">
        <x:v>Pièces décrites, murs, portes, niveaux et mobilier inspectables à l’échelle. Volumes réservés, raccord au seed, butin, rencontres et services de campagne restent à terminer.</x:v>
      </x:c>
    </x:row>
    <x:row r="918" ht="96" customHeight="1">
      <x:c r="A918" s="115" t="str">
        <x:v>EXT-MONDE-T019-V13</x:v>
      </x:c>
      <x:c r="B918" s="115" t="str">
        <x:v>EXT-MONDE-T019</x:v>
      </x:c>
      <x:c r="C918" s="115" t="str">
        <x:v>Littoral</x:v>
      </x:c>
      <x:c r="D918" s="115" t="str">
        <x:v>Chantier naval côtier</x:v>
      </x:c>
      <x:c r="E918" s="115" t="n">
        <x:v>13</x:v>
      </x:c>
      <x:c r="F918" s="115" t="str">
        <x:v>Inspection physique</x:v>
      </x:c>
      <x:c r="G918" s="115" t="str">
        <x:v>1 niveaux ; 32 pièces ; 248 segments de mur ; 0 transitions. Inspection physique ; architecture complète encore ouverte.</x:v>
      </x:c>
      <x:c r="H918" s="115" t="str">
        <x:v>L 288 ; l 246 ; hauteur 18 m ; choix de composition auteur ; dimensions réelles à documenter</x:v>
      </x:c>
      <x:c r="I918" s="115" t="str">
        <x:v>À équilibrer</x:v>
      </x:c>
      <x:c r="J918" s="115" t="str">
        <x:v>Non</x:v>
      </x:c>
      <x:c r="K918" s="115" t="str">
        <x:v>Pièces décrites, murs, portes, niveaux et mobilier inspectables à l’échelle. Volumes réservés, raccord au seed, butin, rencontres et services de campagne restent à terminer.</x:v>
      </x:c>
    </x:row>
    <x:row r="919" ht="96" customHeight="1">
      <x:c r="A919" s="115" t="str">
        <x:v>EXT-MONDE-T019-V14</x:v>
      </x:c>
      <x:c r="B919" s="115" t="str">
        <x:v>EXT-MONDE-T019</x:v>
      </x:c>
      <x:c r="C919" s="115" t="str">
        <x:v>Littoral</x:v>
      </x:c>
      <x:c r="D919" s="115" t="str">
        <x:v>Chantier naval côtier</x:v>
      </x:c>
      <x:c r="E919" s="115" t="n">
        <x:v>14</x:v>
      </x:c>
      <x:c r="F919" s="115" t="str">
        <x:v>Inspection physique</x:v>
      </x:c>
      <x:c r="G919" s="115" t="str">
        <x:v>1 niveaux ; 32 pièces ; 248 segments de mur ; 0 transitions. Inspection physique ; architecture complète encore ouverte.</x:v>
      </x:c>
      <x:c r="H919" s="115" t="str">
        <x:v>L 288 ; l 246 ; hauteur 18 m ; choix de composition auteur ; dimensions réelles à documenter</x:v>
      </x:c>
      <x:c r="I919" s="115" t="str">
        <x:v>À équilibrer</x:v>
      </x:c>
      <x:c r="J919" s="115" t="str">
        <x:v>Non</x:v>
      </x:c>
      <x:c r="K919" s="115" t="str">
        <x:v>Pièces décrites, murs, portes, niveaux et mobilier inspectables à l’échelle. Volumes réservés, raccord au seed, butin, rencontres et services de campagne restent à terminer.</x:v>
      </x:c>
    </x:row>
    <x:row r="920" ht="96" customHeight="1">
      <x:c r="A920" s="115" t="str">
        <x:v>EXT-MONDE-T019-V15</x:v>
      </x:c>
      <x:c r="B920" s="115" t="str">
        <x:v>EXT-MONDE-T019</x:v>
      </x:c>
      <x:c r="C920" s="115" t="str">
        <x:v>Littoral</x:v>
      </x:c>
      <x:c r="D920" s="115" t="str">
        <x:v>Chantier naval côtier</x:v>
      </x:c>
      <x:c r="E920" s="115" t="n">
        <x:v>15</x:v>
      </x:c>
      <x:c r="F920" s="115" t="str">
        <x:v>Inspection physique</x:v>
      </x:c>
      <x:c r="G920" s="115" t="str">
        <x:v>1 niveaux ; 32 pièces ; 248 segments de mur ; 0 transitions. Inspection physique ; architecture complète encore ouverte.</x:v>
      </x:c>
      <x:c r="H920" s="115" t="str">
        <x:v>L 288 ; l 246 ; hauteur 18 m ; choix de composition auteur ; dimensions réelles à documenter</x:v>
      </x:c>
      <x:c r="I920" s="115" t="str">
        <x:v>À équilibrer</x:v>
      </x:c>
      <x:c r="J920" s="115" t="str">
        <x:v>Non</x:v>
      </x:c>
      <x:c r="K920" s="115" t="str">
        <x:v>Pièces décrites, murs, portes, niveaux et mobilier inspectables à l’échelle. Volumes réservés, raccord au seed, butin, rencontres et services de campagne restent à terminer.</x:v>
      </x:c>
    </x:row>
    <x:row r="921" ht="96" customHeight="1">
      <x:c r="A921" s="115" t="str">
        <x:v>EXT-MONDE-T019-V16</x:v>
      </x:c>
      <x:c r="B921" s="115" t="str">
        <x:v>EXT-MONDE-T019</x:v>
      </x:c>
      <x:c r="C921" s="115" t="str">
        <x:v>Littoral</x:v>
      </x:c>
      <x:c r="D921" s="115" t="str">
        <x:v>Chantier naval côtier</x:v>
      </x:c>
      <x:c r="E921" s="115" t="n">
        <x:v>16</x:v>
      </x:c>
      <x:c r="F921" s="115" t="str">
        <x:v>Inspection physique</x:v>
      </x:c>
      <x:c r="G921" s="115" t="str">
        <x:v>1 niveaux ; 32 pièces ; 248 segments de mur ; 0 transitions. Inspection physique ; architecture complète encore ouverte.</x:v>
      </x:c>
      <x:c r="H921" s="115" t="str">
        <x:v>L 288 ; l 246 ; hauteur 18 m ; choix de composition auteur ; dimensions réelles à documenter</x:v>
      </x:c>
      <x:c r="I921" s="115" t="str">
        <x:v>À équilibrer</x:v>
      </x:c>
      <x:c r="J921" s="115" t="str">
        <x:v>Non</x:v>
      </x:c>
      <x:c r="K921" s="115" t="str">
        <x:v>Pièces décrites, murs, portes, niveaux et mobilier inspectables à l’échelle. Volumes réservés, raccord au seed, butin, rencontres et services de campagne restent à terminer.</x:v>
      </x:c>
    </x:row>
    <x:row r="922" ht="96" customHeight="1">
      <x:c r="A922" s="115" t="str">
        <x:v>EXT-MONDE-T019-V17</x:v>
      </x:c>
      <x:c r="B922" s="115" t="str">
        <x:v>EXT-MONDE-T019</x:v>
      </x:c>
      <x:c r="C922" s="115" t="str">
        <x:v>Littoral</x:v>
      </x:c>
      <x:c r="D922" s="115" t="str">
        <x:v>Chantier naval côtier</x:v>
      </x:c>
      <x:c r="E922" s="115" t="n">
        <x:v>17</x:v>
      </x:c>
      <x:c r="F922" s="115" t="str">
        <x:v>Inspection physique</x:v>
      </x:c>
      <x:c r="G922" s="115" t="str">
        <x:v>1 niveaux ; 32 pièces ; 248 segments de mur ; 0 transitions. Inspection physique ; architecture complète encore ouverte.</x:v>
      </x:c>
      <x:c r="H922" s="115" t="str">
        <x:v>L 288 ; l 246 ; hauteur 18 m ; choix de composition auteur ; dimensions réelles à documenter</x:v>
      </x:c>
      <x:c r="I922" s="115" t="str">
        <x:v>À équilibrer</x:v>
      </x:c>
      <x:c r="J922" s="115" t="str">
        <x:v>Non</x:v>
      </x:c>
      <x:c r="K922" s="115" t="str">
        <x:v>Pièces décrites, murs, portes, niveaux et mobilier inspectables à l’échelle. Volumes réservés, raccord au seed, butin, rencontres et services de campagne restent à terminer.</x:v>
      </x:c>
    </x:row>
    <x:row r="923" ht="96" customHeight="1">
      <x:c r="A923" s="115" t="str">
        <x:v>EXT-MONDE-T019-V18</x:v>
      </x:c>
      <x:c r="B923" s="115" t="str">
        <x:v>EXT-MONDE-T019</x:v>
      </x:c>
      <x:c r="C923" s="115" t="str">
        <x:v>Littoral</x:v>
      </x:c>
      <x:c r="D923" s="115" t="str">
        <x:v>Chantier naval côtier</x:v>
      </x:c>
      <x:c r="E923" s="115" t="n">
        <x:v>18</x:v>
      </x:c>
      <x:c r="F923" s="115" t="str">
        <x:v>Inspection physique</x:v>
      </x:c>
      <x:c r="G923" s="115" t="str">
        <x:v>1 niveaux ; 32 pièces ; 248 segments de mur ; 0 transitions. Inspection physique ; architecture complète encore ouverte.</x:v>
      </x:c>
      <x:c r="H923" s="115" t="str">
        <x:v>L 288 ; l 246 ; hauteur 18 m ; choix de composition auteur ; dimensions réelles à documenter</x:v>
      </x:c>
      <x:c r="I923" s="115" t="str">
        <x:v>À équilibrer</x:v>
      </x:c>
      <x:c r="J923" s="115" t="str">
        <x:v>Non</x:v>
      </x:c>
      <x:c r="K923" s="115" t="str">
        <x:v>Pièces décrites, murs, portes, niveaux et mobilier inspectables à l’échelle. Volumes réservés, raccord au seed, butin, rencontres et services de campagne restent à terminer.</x:v>
      </x:c>
    </x:row>
    <x:row r="924" ht="96" customHeight="1">
      <x:c r="A924" s="115" t="str">
        <x:v>EXT-MONDE-T019-V19</x:v>
      </x:c>
      <x:c r="B924" s="115" t="str">
        <x:v>EXT-MONDE-T019</x:v>
      </x:c>
      <x:c r="C924" s="115" t="str">
        <x:v>Littoral</x:v>
      </x:c>
      <x:c r="D924" s="115" t="str">
        <x:v>Chantier naval côtier</x:v>
      </x:c>
      <x:c r="E924" s="115" t="n">
        <x:v>19</x:v>
      </x:c>
      <x:c r="F924" s="115" t="str">
        <x:v>Inspection physique</x:v>
      </x:c>
      <x:c r="G924" s="115" t="str">
        <x:v>1 niveaux ; 32 pièces ; 248 segments de mur ; 0 transitions. Inspection physique ; architecture complète encore ouverte.</x:v>
      </x:c>
      <x:c r="H924" s="115" t="str">
        <x:v>L 288 ; l 246 ; hauteur 18 m ; choix de composition auteur ; dimensions réelles à documenter</x:v>
      </x:c>
      <x:c r="I924" s="115" t="str">
        <x:v>À équilibrer</x:v>
      </x:c>
      <x:c r="J924" s="115" t="str">
        <x:v>Non</x:v>
      </x:c>
      <x:c r="K924" s="115" t="str">
        <x:v>Pièces décrites, murs, portes, niveaux et mobilier inspectables à l’échelle. Volumes réservés, raccord au seed, butin, rencontres et services de campagne restent à terminer.</x:v>
      </x:c>
    </x:row>
    <x:row r="925" ht="96" customHeight="1">
      <x:c r="A925" s="115" t="str">
        <x:v>EXT-MONDE-T019-V20</x:v>
      </x:c>
      <x:c r="B925" s="115" t="str">
        <x:v>EXT-MONDE-T019</x:v>
      </x:c>
      <x:c r="C925" s="115" t="str">
        <x:v>Littoral</x:v>
      </x:c>
      <x:c r="D925" s="115" t="str">
        <x:v>Chantier naval côtier</x:v>
      </x:c>
      <x:c r="E925" s="115" t="n">
        <x:v>20</x:v>
      </x:c>
      <x:c r="F925" s="115" t="str">
        <x:v>Inspection physique</x:v>
      </x:c>
      <x:c r="G925" s="115" t="str">
        <x:v>1 niveaux ; 32 pièces ; 248 segments de mur ; 0 transitions. Inspection physique ; architecture complète encore ouverte.</x:v>
      </x:c>
      <x:c r="H925" s="115" t="str">
        <x:v>L 288 ; l 246 ; hauteur 18 m ; choix de composition auteur ; dimensions réelles à documenter</x:v>
      </x:c>
      <x:c r="I925" s="115" t="str">
        <x:v>À équilibrer</x:v>
      </x:c>
      <x:c r="J925" s="115" t="str">
        <x:v>Non</x:v>
      </x:c>
      <x:c r="K925" s="115" t="str">
        <x:v>Pièces décrites, murs, portes, niveaux et mobilier inspectables à l’échelle. Volumes réservés, raccord au seed, butin, rencontres et services de campagne restent à terminer.</x:v>
      </x:c>
    </x:row>
    <x:row r="926" ht="96" customHeight="1">
      <x:c r="A926" s="115" t="str">
        <x:v>EXT-MONDE-T019-V21</x:v>
      </x:c>
      <x:c r="B926" s="115" t="str">
        <x:v>EXT-MONDE-T019</x:v>
      </x:c>
      <x:c r="C926" s="115" t="str">
        <x:v>Littoral</x:v>
      </x:c>
      <x:c r="D926" s="115" t="str">
        <x:v>Chantier naval côtier</x:v>
      </x:c>
      <x:c r="E926" s="115" t="n">
        <x:v>21</x:v>
      </x:c>
      <x:c r="F926" s="115" t="str">
        <x:v>Inspection physique</x:v>
      </x:c>
      <x:c r="G926" s="115" t="str">
        <x:v>1 niveaux ; 32 pièces ; 248 segments de mur ; 0 transitions. Inspection physique ; architecture complète encore ouverte.</x:v>
      </x:c>
      <x:c r="H926" s="115" t="str">
        <x:v>L 306 ; l 262 ; hauteur 18 m ; choix de composition auteur ; dimensions réelles à documenter</x:v>
      </x:c>
      <x:c r="I926" s="115" t="str">
        <x:v>À équilibrer</x:v>
      </x:c>
      <x:c r="J926" s="115" t="str">
        <x:v>Non</x:v>
      </x:c>
      <x:c r="K926" s="115" t="str">
        <x:v>Pièces décrites, murs, portes, niveaux et mobilier inspectables à l’échelle. Volumes réservés, raccord au seed, butin, rencontres et services de campagne restent à terminer.</x:v>
      </x:c>
    </x:row>
    <x:row r="927" ht="96" customHeight="1">
      <x:c r="A927" s="115" t="str">
        <x:v>EXT-MONDE-T019-V22</x:v>
      </x:c>
      <x:c r="B927" s="115" t="str">
        <x:v>EXT-MONDE-T019</x:v>
      </x:c>
      <x:c r="C927" s="115" t="str">
        <x:v>Littoral</x:v>
      </x:c>
      <x:c r="D927" s="115" t="str">
        <x:v>Chantier naval côtier</x:v>
      </x:c>
      <x:c r="E927" s="115" t="n">
        <x:v>22</x:v>
      </x:c>
      <x:c r="F927" s="115" t="str">
        <x:v>Inspection physique</x:v>
      </x:c>
      <x:c r="G927" s="115" t="str">
        <x:v>1 niveaux ; 32 pièces ; 248 segments de mur ; 0 transitions. Inspection physique ; architecture complète encore ouverte.</x:v>
      </x:c>
      <x:c r="H927" s="115" t="str">
        <x:v>L 306 ; l 262 ; hauteur 18 m ; choix de composition auteur ; dimensions réelles à documenter</x:v>
      </x:c>
      <x:c r="I927" s="115" t="str">
        <x:v>À équilibrer</x:v>
      </x:c>
      <x:c r="J927" s="115" t="str">
        <x:v>Non</x:v>
      </x:c>
      <x:c r="K927" s="115" t="str">
        <x:v>Pièces décrites, murs, portes, niveaux et mobilier inspectables à l’échelle. Volumes réservés, raccord au seed, butin, rencontres et services de campagne restent à terminer.</x:v>
      </x:c>
    </x:row>
    <x:row r="928" ht="96" customHeight="1">
      <x:c r="A928" s="115" t="str">
        <x:v>EXT-MONDE-T019-V23</x:v>
      </x:c>
      <x:c r="B928" s="115" t="str">
        <x:v>EXT-MONDE-T019</x:v>
      </x:c>
      <x:c r="C928" s="115" t="str">
        <x:v>Littoral</x:v>
      </x:c>
      <x:c r="D928" s="115" t="str">
        <x:v>Chantier naval côtier</x:v>
      </x:c>
      <x:c r="E928" s="115" t="n">
        <x:v>23</x:v>
      </x:c>
      <x:c r="F928" s="115" t="str">
        <x:v>Inspection physique</x:v>
      </x:c>
      <x:c r="G928" s="115" t="str">
        <x:v>1 niveaux ; 32 pièces ; 248 segments de mur ; 0 transitions. Inspection physique ; architecture complète encore ouverte.</x:v>
      </x:c>
      <x:c r="H928" s="115" t="str">
        <x:v>L 306 ; l 262 ; hauteur 18 m ; choix de composition auteur ; dimensions réelles à documenter</x:v>
      </x:c>
      <x:c r="I928" s="115" t="str">
        <x:v>À équilibrer</x:v>
      </x:c>
      <x:c r="J928" s="115" t="str">
        <x:v>Non</x:v>
      </x:c>
      <x:c r="K928" s="115" t="str">
        <x:v>Pièces décrites, murs, portes, niveaux et mobilier inspectables à l’échelle. Volumes réservés, raccord au seed, butin, rencontres et services de campagne restent à terminer.</x:v>
      </x:c>
    </x:row>
    <x:row r="929" ht="96" customHeight="1">
      <x:c r="A929" s="115" t="str">
        <x:v>EXT-MONDE-T019-V24</x:v>
      </x:c>
      <x:c r="B929" s="115" t="str">
        <x:v>EXT-MONDE-T019</x:v>
      </x:c>
      <x:c r="C929" s="115" t="str">
        <x:v>Littoral</x:v>
      </x:c>
      <x:c r="D929" s="115" t="str">
        <x:v>Chantier naval côtier</x:v>
      </x:c>
      <x:c r="E929" s="115" t="n">
        <x:v>24</x:v>
      </x:c>
      <x:c r="F929" s="115" t="str">
        <x:v>Inspection physique</x:v>
      </x:c>
      <x:c r="G929" s="115" t="str">
        <x:v>1 niveaux ; 32 pièces ; 248 segments de mur ; 0 transitions. Inspection physique ; architecture complète encore ouverte.</x:v>
      </x:c>
      <x:c r="H929" s="115" t="str">
        <x:v>L 306 ; l 262 ; hauteur 18 m ; choix de composition auteur ; dimensions réelles à documenter</x:v>
      </x:c>
      <x:c r="I929" s="115" t="str">
        <x:v>À équilibrer</x:v>
      </x:c>
      <x:c r="J929" s="115" t="str">
        <x:v>Non</x:v>
      </x:c>
      <x:c r="K929" s="115" t="str">
        <x:v>Pièces décrites, murs, portes, niveaux et mobilier inspectables à l’échelle. Volumes réservés, raccord au seed, butin, rencontres et services de campagne restent à terminer.</x:v>
      </x:c>
    </x:row>
    <x:row r="930" ht="96" customHeight="1">
      <x:c r="A930" s="115" t="str">
        <x:v>EXT-MONDE-T019-V25</x:v>
      </x:c>
      <x:c r="B930" s="115" t="str">
        <x:v>EXT-MONDE-T019</x:v>
      </x:c>
      <x:c r="C930" s="115" t="str">
        <x:v>Littoral</x:v>
      </x:c>
      <x:c r="D930" s="115" t="str">
        <x:v>Chantier naval côtier</x:v>
      </x:c>
      <x:c r="E930" s="115" t="n">
        <x:v>25</x:v>
      </x:c>
      <x:c r="F930" s="115" t="str">
        <x:v>Inspection physique</x:v>
      </x:c>
      <x:c r="G930" s="115" t="str">
        <x:v>1 niveaux ; 32 pièces ; 248 segments de mur ; 0 transitions. Inspection physique ; architecture complète encore ouverte.</x:v>
      </x:c>
      <x:c r="H930" s="115" t="str">
        <x:v>L 306 ; l 262 ; hauteur 18 m ; choix de composition auteur ; dimensions réelles à documenter</x:v>
      </x:c>
      <x:c r="I930" s="115" t="str">
        <x:v>À équilibrer</x:v>
      </x:c>
      <x:c r="J930" s="115" t="str">
        <x:v>Non</x:v>
      </x:c>
      <x:c r="K930" s="115" t="str">
        <x:v>Pièces décrites, murs, portes, niveaux et mobilier inspectables à l’échelle. Volumes réservés, raccord au seed, butin, rencontres et services de campagne restent à terminer.</x:v>
      </x:c>
    </x:row>
    <x:row r="931" ht="96" customHeight="1">
      <x:c r="A931" s="115" t="str">
        <x:v>EXT-MONDE-T019-V26</x:v>
      </x:c>
      <x:c r="B931" s="115" t="str">
        <x:v>EXT-MONDE-T019</x:v>
      </x:c>
      <x:c r="C931" s="115" t="str">
        <x:v>Littoral</x:v>
      </x:c>
      <x:c r="D931" s="115" t="str">
        <x:v>Chantier naval côtier</x:v>
      </x:c>
      <x:c r="E931" s="115" t="n">
        <x:v>26</x:v>
      </x:c>
      <x:c r="F931" s="115" t="str">
        <x:v>Inspection physique</x:v>
      </x:c>
      <x:c r="G931" s="115" t="str">
        <x:v>1 niveaux ; 32 pièces ; 248 segments de mur ; 0 transitions. Inspection physique ; architecture complète encore ouverte.</x:v>
      </x:c>
      <x:c r="H931" s="115" t="str">
        <x:v>L 306 ; l 262 ; hauteur 18 m ; choix de composition auteur ; dimensions réelles à documenter</x:v>
      </x:c>
      <x:c r="I931" s="115" t="str">
        <x:v>À équilibrer</x:v>
      </x:c>
      <x:c r="J931" s="115" t="str">
        <x:v>Non</x:v>
      </x:c>
      <x:c r="K931" s="115" t="str">
        <x:v>Pièces décrites, murs, portes, niveaux et mobilier inspectables à l’échelle. Volumes réservés, raccord au seed, butin, rencontres et services de campagne restent à terminer.</x:v>
      </x:c>
    </x:row>
    <x:row r="932" ht="96" customHeight="1">
      <x:c r="A932" s="115" t="str">
        <x:v>EXT-MONDE-T019-V27</x:v>
      </x:c>
      <x:c r="B932" s="115" t="str">
        <x:v>EXT-MONDE-T019</x:v>
      </x:c>
      <x:c r="C932" s="115" t="str">
        <x:v>Littoral</x:v>
      </x:c>
      <x:c r="D932" s="115" t="str">
        <x:v>Chantier naval côtier</x:v>
      </x:c>
      <x:c r="E932" s="115" t="n">
        <x:v>27</x:v>
      </x:c>
      <x:c r="F932" s="115" t="str">
        <x:v>Inspection physique</x:v>
      </x:c>
      <x:c r="G932" s="115" t="str">
        <x:v>1 niveaux ; 32 pièces ; 248 segments de mur ; 0 transitions. Inspection physique ; architecture complète encore ouverte.</x:v>
      </x:c>
      <x:c r="H932" s="115" t="str">
        <x:v>L 306 ; l 262 ; hauteur 18 m ; choix de composition auteur ; dimensions réelles à documenter</x:v>
      </x:c>
      <x:c r="I932" s="115" t="str">
        <x:v>À équilibrer</x:v>
      </x:c>
      <x:c r="J932" s="115" t="str">
        <x:v>Non</x:v>
      </x:c>
      <x:c r="K932" s="115" t="str">
        <x:v>Pièces décrites, murs, portes, niveaux et mobilier inspectables à l’échelle. Volumes réservés, raccord au seed, butin, rencontres et services de campagne restent à terminer.</x:v>
      </x:c>
    </x:row>
    <x:row r="933" ht="96" customHeight="1">
      <x:c r="A933" s="115" t="str">
        <x:v>EXT-MONDE-T019-V28</x:v>
      </x:c>
      <x:c r="B933" s="115" t="str">
        <x:v>EXT-MONDE-T019</x:v>
      </x:c>
      <x:c r="C933" s="115" t="str">
        <x:v>Littoral</x:v>
      </x:c>
      <x:c r="D933" s="115" t="str">
        <x:v>Chantier naval côtier</x:v>
      </x:c>
      <x:c r="E933" s="115" t="n">
        <x:v>28</x:v>
      </x:c>
      <x:c r="F933" s="115" t="str">
        <x:v>Inspection physique</x:v>
      </x:c>
      <x:c r="G933" s="115" t="str">
        <x:v>1 niveaux ; 32 pièces ; 248 segments de mur ; 0 transitions. Inspection physique ; architecture complète encore ouverte.</x:v>
      </x:c>
      <x:c r="H933" s="115" t="str">
        <x:v>L 306 ; l 262 ; hauteur 18 m ; choix de composition auteur ; dimensions réelles à documenter</x:v>
      </x:c>
      <x:c r="I933" s="115" t="str">
        <x:v>À équilibrer</x:v>
      </x:c>
      <x:c r="J933" s="115" t="str">
        <x:v>Non</x:v>
      </x:c>
      <x:c r="K933" s="115" t="str">
        <x:v>Pièces décrites, murs, portes, niveaux et mobilier inspectables à l’échelle. Volumes réservés, raccord au seed, butin, rencontres et services de campagne restent à terminer.</x:v>
      </x:c>
    </x:row>
    <x:row r="934" ht="96" customHeight="1">
      <x:c r="A934" s="115" t="str">
        <x:v>EXT-MONDE-T019-V29</x:v>
      </x:c>
      <x:c r="B934" s="115" t="str">
        <x:v>EXT-MONDE-T019</x:v>
      </x:c>
      <x:c r="C934" s="115" t="str">
        <x:v>Littoral</x:v>
      </x:c>
      <x:c r="D934" s="115" t="str">
        <x:v>Chantier naval côtier</x:v>
      </x:c>
      <x:c r="E934" s="115" t="n">
        <x:v>29</x:v>
      </x:c>
      <x:c r="F934" s="115" t="str">
        <x:v>Inspection physique</x:v>
      </x:c>
      <x:c r="G934" s="115" t="str">
        <x:v>1 niveaux ; 32 pièces ; 248 segments de mur ; 0 transitions. Inspection physique ; architecture complète encore ouverte.</x:v>
      </x:c>
      <x:c r="H934" s="115" t="str">
        <x:v>L 306 ; l 262 ; hauteur 18 m ; choix de composition auteur ; dimensions réelles à documenter</x:v>
      </x:c>
      <x:c r="I934" s="115" t="str">
        <x:v>À équilibrer</x:v>
      </x:c>
      <x:c r="J934" s="115" t="str">
        <x:v>Non</x:v>
      </x:c>
      <x:c r="K934" s="115" t="str">
        <x:v>Pièces décrites, murs, portes, niveaux et mobilier inspectables à l’échelle. Volumes réservés, raccord au seed, butin, rencontres et services de campagne restent à terminer.</x:v>
      </x:c>
    </x:row>
    <x:row r="935" ht="96" customHeight="1">
      <x:c r="A935" s="115" t="str">
        <x:v>EXT-MONDE-T019-V30</x:v>
      </x:c>
      <x:c r="B935" s="115" t="str">
        <x:v>EXT-MONDE-T019</x:v>
      </x:c>
      <x:c r="C935" s="115" t="str">
        <x:v>Littoral</x:v>
      </x:c>
      <x:c r="D935" s="115" t="str">
        <x:v>Chantier naval côtier</x:v>
      </x:c>
      <x:c r="E935" s="115" t="n">
        <x:v>30</x:v>
      </x:c>
      <x:c r="F935" s="115" t="str">
        <x:v>Inspection physique</x:v>
      </x:c>
      <x:c r="G935" s="115" t="str">
        <x:v>1 niveaux ; 32 pièces ; 248 segments de mur ; 0 transitions. Inspection physique ; architecture complète encore ouverte.</x:v>
      </x:c>
      <x:c r="H935" s="115" t="str">
        <x:v>L 306 ; l 262 ; hauteur 18 m ; choix de composition auteur ; dimensions réelles à documenter</x:v>
      </x:c>
      <x:c r="I935" s="115" t="str">
        <x:v>À équilibrer</x:v>
      </x:c>
      <x:c r="J935" s="115" t="str">
        <x:v>Non</x:v>
      </x:c>
      <x:c r="K935" s="115" t="str">
        <x:v>Pièces décrites, murs, portes, niveaux et mobilier inspectables à l’échelle. Volumes réservés, raccord au seed, butin, rencontres et services de campagne restent à terminer.</x:v>
      </x:c>
    </x:row>
    <x:row r="936" ht="96" customHeight="1">
      <x:c r="A936" s="115" t="str">
        <x:v>EXT-MONDE-T019-V31</x:v>
      </x:c>
      <x:c r="B936" s="115" t="str">
        <x:v>EXT-MONDE-T019</x:v>
      </x:c>
      <x:c r="C936" s="115" t="str">
        <x:v>Littoral</x:v>
      </x:c>
      <x:c r="D936" s="115" t="str">
        <x:v>Chantier naval côtier</x:v>
      </x:c>
      <x:c r="E936" s="115" t="n">
        <x:v>31</x:v>
      </x:c>
      <x:c r="F936" s="115" t="str">
        <x:v>Inspection physique</x:v>
      </x:c>
      <x:c r="G936" s="115" t="str">
        <x:v>1 niveaux ; 32 pièces ; 248 segments de mur ; 0 transitions. Inspection physique ; architecture complète encore ouverte.</x:v>
      </x:c>
      <x:c r="H936" s="115" t="str">
        <x:v>L 324 ; l 278 ; hauteur 18 m ; choix de composition auteur ; dimensions réelles à documenter</x:v>
      </x:c>
      <x:c r="I936" s="115" t="str">
        <x:v>À équilibrer</x:v>
      </x:c>
      <x:c r="J936" s="115" t="str">
        <x:v>Non</x:v>
      </x:c>
      <x:c r="K936" s="115" t="str">
        <x:v>Pièces décrites, murs, portes, niveaux et mobilier inspectables à l’échelle. Volumes réservés, raccord au seed, butin, rencontres et services de campagne restent à terminer.</x:v>
      </x:c>
    </x:row>
    <x:row r="937" ht="96" customHeight="1">
      <x:c r="A937" s="115" t="str">
        <x:v>EXT-MONDE-T019-V32</x:v>
      </x:c>
      <x:c r="B937" s="115" t="str">
        <x:v>EXT-MONDE-T019</x:v>
      </x:c>
      <x:c r="C937" s="115" t="str">
        <x:v>Littoral</x:v>
      </x:c>
      <x:c r="D937" s="115" t="str">
        <x:v>Chantier naval côtier</x:v>
      </x:c>
      <x:c r="E937" s="115" t="n">
        <x:v>32</x:v>
      </x:c>
      <x:c r="F937" s="115" t="str">
        <x:v>Inspection physique</x:v>
      </x:c>
      <x:c r="G937" s="115" t="str">
        <x:v>1 niveaux ; 32 pièces ; 248 segments de mur ; 0 transitions. Inspection physique ; architecture complète encore ouverte.</x:v>
      </x:c>
      <x:c r="H937" s="115" t="str">
        <x:v>L 324 ; l 278 ; hauteur 18 m ; choix de composition auteur ; dimensions réelles à documenter</x:v>
      </x:c>
      <x:c r="I937" s="115" t="str">
        <x:v>À équilibrer</x:v>
      </x:c>
      <x:c r="J937" s="115" t="str">
        <x:v>Non</x:v>
      </x:c>
      <x:c r="K937" s="115" t="str">
        <x:v>Pièces décrites, murs, portes, niveaux et mobilier inspectables à l’échelle. Volumes réservés, raccord au seed, butin, rencontres et services de campagne restent à terminer.</x:v>
      </x:c>
    </x:row>
    <x:row r="938" ht="96" customHeight="1">
      <x:c r="A938" s="115" t="str">
        <x:v>EXT-MONDE-T019-V33</x:v>
      </x:c>
      <x:c r="B938" s="115" t="str">
        <x:v>EXT-MONDE-T019</x:v>
      </x:c>
      <x:c r="C938" s="115" t="str">
        <x:v>Littoral</x:v>
      </x:c>
      <x:c r="D938" s="115" t="str">
        <x:v>Chantier naval côtier</x:v>
      </x:c>
      <x:c r="E938" s="115" t="n">
        <x:v>33</x:v>
      </x:c>
      <x:c r="F938" s="115" t="str">
        <x:v>Inspection physique</x:v>
      </x:c>
      <x:c r="G938" s="115" t="str">
        <x:v>1 niveaux ; 32 pièces ; 248 segments de mur ; 0 transitions. Inspection physique ; architecture complète encore ouverte.</x:v>
      </x:c>
      <x:c r="H938" s="115" t="str">
        <x:v>L 324 ; l 278 ; hauteur 18 m ; choix de composition auteur ; dimensions réelles à documenter</x:v>
      </x:c>
      <x:c r="I938" s="115" t="str">
        <x:v>À équilibrer</x:v>
      </x:c>
      <x:c r="J938" s="115" t="str">
        <x:v>Non</x:v>
      </x:c>
      <x:c r="K938" s="115" t="str">
        <x:v>Pièces décrites, murs, portes, niveaux et mobilier inspectables à l’échelle. Volumes réservés, raccord au seed, butin, rencontres et services de campagne restent à terminer.</x:v>
      </x:c>
    </x:row>
    <x:row r="939" ht="96" customHeight="1">
      <x:c r="A939" s="115" t="str">
        <x:v>EXT-MONDE-T019-V34</x:v>
      </x:c>
      <x:c r="B939" s="115" t="str">
        <x:v>EXT-MONDE-T019</x:v>
      </x:c>
      <x:c r="C939" s="115" t="str">
        <x:v>Littoral</x:v>
      </x:c>
      <x:c r="D939" s="115" t="str">
        <x:v>Chantier naval côtier</x:v>
      </x:c>
      <x:c r="E939" s="115" t="n">
        <x:v>34</x:v>
      </x:c>
      <x:c r="F939" s="115" t="str">
        <x:v>Inspection physique</x:v>
      </x:c>
      <x:c r="G939" s="115" t="str">
        <x:v>1 niveaux ; 32 pièces ; 248 segments de mur ; 0 transitions. Inspection physique ; architecture complète encore ouverte.</x:v>
      </x:c>
      <x:c r="H939" s="115" t="str">
        <x:v>L 324 ; l 278 ; hauteur 18 m ; choix de composition auteur ; dimensions réelles à documenter</x:v>
      </x:c>
      <x:c r="I939" s="115" t="str">
        <x:v>À équilibrer</x:v>
      </x:c>
      <x:c r="J939" s="115" t="str">
        <x:v>Non</x:v>
      </x:c>
      <x:c r="K939" s="115" t="str">
        <x:v>Pièces décrites, murs, portes, niveaux et mobilier inspectables à l’échelle. Volumes réservés, raccord au seed, butin, rencontres et services de campagne restent à terminer.</x:v>
      </x:c>
    </x:row>
    <x:row r="940" ht="96" customHeight="1">
      <x:c r="A940" s="115" t="str">
        <x:v>EXT-MONDE-T019-V35</x:v>
      </x:c>
      <x:c r="B940" s="115" t="str">
        <x:v>EXT-MONDE-T019</x:v>
      </x:c>
      <x:c r="C940" s="115" t="str">
        <x:v>Littoral</x:v>
      </x:c>
      <x:c r="D940" s="115" t="str">
        <x:v>Chantier naval côtier</x:v>
      </x:c>
      <x:c r="E940" s="115" t="n">
        <x:v>35</x:v>
      </x:c>
      <x:c r="F940" s="115" t="str">
        <x:v>Inspection physique</x:v>
      </x:c>
      <x:c r="G940" s="115" t="str">
        <x:v>1 niveaux ; 32 pièces ; 248 segments de mur ; 0 transitions. Inspection physique ; architecture complète encore ouverte.</x:v>
      </x:c>
      <x:c r="H940" s="115" t="str">
        <x:v>L 324 ; l 278 ; hauteur 18 m ; choix de composition auteur ; dimensions réelles à documenter</x:v>
      </x:c>
      <x:c r="I940" s="115" t="str">
        <x:v>À équilibrer</x:v>
      </x:c>
      <x:c r="J940" s="115" t="str">
        <x:v>Non</x:v>
      </x:c>
      <x:c r="K940" s="115" t="str">
        <x:v>Pièces décrites, murs, portes, niveaux et mobilier inspectables à l’échelle. Volumes réservés, raccord au seed, butin, rencontres et services de campagne restent à terminer.</x:v>
      </x:c>
    </x:row>
    <x:row r="941" ht="96" customHeight="1">
      <x:c r="A941" s="115" t="str">
        <x:v>EXT-MONDE-T019-V36</x:v>
      </x:c>
      <x:c r="B941" s="115" t="str">
        <x:v>EXT-MONDE-T019</x:v>
      </x:c>
      <x:c r="C941" s="115" t="str">
        <x:v>Littoral</x:v>
      </x:c>
      <x:c r="D941" s="115" t="str">
        <x:v>Chantier naval côtier</x:v>
      </x:c>
      <x:c r="E941" s="115" t="n">
        <x:v>36</x:v>
      </x:c>
      <x:c r="F941" s="115" t="str">
        <x:v>Inspection physique</x:v>
      </x:c>
      <x:c r="G941" s="115" t="str">
        <x:v>1 niveaux ; 32 pièces ; 248 segments de mur ; 0 transitions. Inspection physique ; architecture complète encore ouverte.</x:v>
      </x:c>
      <x:c r="H941" s="115" t="str">
        <x:v>L 324 ; l 278 ; hauteur 18 m ; choix de composition auteur ; dimensions réelles à documenter</x:v>
      </x:c>
      <x:c r="I941" s="115" t="str">
        <x:v>À équilibrer</x:v>
      </x:c>
      <x:c r="J941" s="115" t="str">
        <x:v>Non</x:v>
      </x:c>
      <x:c r="K941" s="115" t="str">
        <x:v>Pièces décrites, murs, portes, niveaux et mobilier inspectables à l’échelle. Volumes réservés, raccord au seed, butin, rencontres et services de campagne restent à terminer.</x:v>
      </x:c>
    </x:row>
    <x:row r="942" ht="96" customHeight="1">
      <x:c r="A942" s="115" t="str">
        <x:v>EXT-MONDE-T019-V37</x:v>
      </x:c>
      <x:c r="B942" s="115" t="str">
        <x:v>EXT-MONDE-T019</x:v>
      </x:c>
      <x:c r="C942" s="115" t="str">
        <x:v>Littoral</x:v>
      </x:c>
      <x:c r="D942" s="115" t="str">
        <x:v>Chantier naval côtier</x:v>
      </x:c>
      <x:c r="E942" s="115" t="n">
        <x:v>37</x:v>
      </x:c>
      <x:c r="F942" s="115" t="str">
        <x:v>Inspection physique</x:v>
      </x:c>
      <x:c r="G942" s="115" t="str">
        <x:v>1 niveaux ; 32 pièces ; 248 segments de mur ; 0 transitions. Inspection physique ; architecture complète encore ouverte.</x:v>
      </x:c>
      <x:c r="H942" s="115" t="str">
        <x:v>L 324 ; l 278 ; hauteur 18 m ; choix de composition auteur ; dimensions réelles à documenter</x:v>
      </x:c>
      <x:c r="I942" s="115" t="str">
        <x:v>À équilibrer</x:v>
      </x:c>
      <x:c r="J942" s="115" t="str">
        <x:v>Non</x:v>
      </x:c>
      <x:c r="K942" s="115" t="str">
        <x:v>Pièces décrites, murs, portes, niveaux et mobilier inspectables à l’échelle. Volumes réservés, raccord au seed, butin, rencontres et services de campagne restent à terminer.</x:v>
      </x:c>
    </x:row>
    <x:row r="943" ht="96" customHeight="1">
      <x:c r="A943" s="115" t="str">
        <x:v>EXT-MONDE-T019-V38</x:v>
      </x:c>
      <x:c r="B943" s="115" t="str">
        <x:v>EXT-MONDE-T019</x:v>
      </x:c>
      <x:c r="C943" s="115" t="str">
        <x:v>Littoral</x:v>
      </x:c>
      <x:c r="D943" s="115" t="str">
        <x:v>Chantier naval côtier</x:v>
      </x:c>
      <x:c r="E943" s="115" t="n">
        <x:v>38</x:v>
      </x:c>
      <x:c r="F943" s="115" t="str">
        <x:v>Inspection physique</x:v>
      </x:c>
      <x:c r="G943" s="115" t="str">
        <x:v>1 niveaux ; 32 pièces ; 248 segments de mur ; 0 transitions. Inspection physique ; architecture complète encore ouverte.</x:v>
      </x:c>
      <x:c r="H943" s="115" t="str">
        <x:v>L 324 ; l 278 ; hauteur 18 m ; choix de composition auteur ; dimensions réelles à documenter</x:v>
      </x:c>
      <x:c r="I943" s="115" t="str">
        <x:v>À équilibrer</x:v>
      </x:c>
      <x:c r="J943" s="115" t="str">
        <x:v>Non</x:v>
      </x:c>
      <x:c r="K943" s="115" t="str">
        <x:v>Pièces décrites, murs, portes, niveaux et mobilier inspectables à l’échelle. Volumes réservés, raccord au seed, butin, rencontres et services de campagne restent à terminer.</x:v>
      </x:c>
    </x:row>
    <x:row r="944" ht="96" customHeight="1">
      <x:c r="A944" s="115" t="str">
        <x:v>EXT-MONDE-T019-V39</x:v>
      </x:c>
      <x:c r="B944" s="115" t="str">
        <x:v>EXT-MONDE-T019</x:v>
      </x:c>
      <x:c r="C944" s="115" t="str">
        <x:v>Littoral</x:v>
      </x:c>
      <x:c r="D944" s="115" t="str">
        <x:v>Chantier naval côtier</x:v>
      </x:c>
      <x:c r="E944" s="115" t="n">
        <x:v>39</x:v>
      </x:c>
      <x:c r="F944" s="115" t="str">
        <x:v>Inspection physique</x:v>
      </x:c>
      <x:c r="G944" s="115" t="str">
        <x:v>1 niveaux ; 32 pièces ; 248 segments de mur ; 0 transitions. Inspection physique ; architecture complète encore ouverte.</x:v>
      </x:c>
      <x:c r="H944" s="115" t="str">
        <x:v>L 324 ; l 278 ; hauteur 18 m ; choix de composition auteur ; dimensions réelles à documenter</x:v>
      </x:c>
      <x:c r="I944" s="115" t="str">
        <x:v>À équilibrer</x:v>
      </x:c>
      <x:c r="J944" s="115" t="str">
        <x:v>Non</x:v>
      </x:c>
      <x:c r="K944" s="115" t="str">
        <x:v>Pièces décrites, murs, portes, niveaux et mobilier inspectables à l’échelle. Volumes réservés, raccord au seed, butin, rencontres et services de campagne restent à terminer.</x:v>
      </x:c>
    </x:row>
    <x:row r="945" ht="96" customHeight="1">
      <x:c r="A945" s="115" t="str">
        <x:v>EXT-MONDE-T019-V40</x:v>
      </x:c>
      <x:c r="B945" s="115" t="str">
        <x:v>EXT-MONDE-T019</x:v>
      </x:c>
      <x:c r="C945" s="115" t="str">
        <x:v>Littoral</x:v>
      </x:c>
      <x:c r="D945" s="115" t="str">
        <x:v>Chantier naval côtier</x:v>
      </x:c>
      <x:c r="E945" s="115" t="n">
        <x:v>40</x:v>
      </x:c>
      <x:c r="F945" s="115" t="str">
        <x:v>Inspection physique</x:v>
      </x:c>
      <x:c r="G945" s="115" t="str">
        <x:v>1 niveaux ; 32 pièces ; 248 segments de mur ; 0 transitions. Inspection physique ; architecture complète encore ouverte.</x:v>
      </x:c>
      <x:c r="H945" s="115" t="str">
        <x:v>L 324 ; l 278 ; hauteur 18 m ; choix de composition auteur ; dimensions réelles à documenter</x:v>
      </x:c>
      <x:c r="I945" s="115" t="str">
        <x:v>À équilibrer</x:v>
      </x:c>
      <x:c r="J945" s="115" t="str">
        <x:v>Non</x:v>
      </x:c>
      <x:c r="K945" s="115" t="str">
        <x:v>Pièces décrites, murs, portes, niveaux et mobilier inspectables à l’échelle. Volumes réservés, raccord au seed, butin, rencontres et services de campagne restent à terminer.</x:v>
      </x:c>
    </x:row>
    <x:row r="946" ht="96" customHeight="1">
      <x:c r="A946" s="115" t="str">
        <x:v>EXT-MONDE-T019-V41</x:v>
      </x:c>
      <x:c r="B946" s="115" t="str">
        <x:v>EXT-MONDE-T019</x:v>
      </x:c>
      <x:c r="C946" s="115" t="str">
        <x:v>Littoral</x:v>
      </x:c>
      <x:c r="D946" s="115" t="str">
        <x:v>Chantier naval côtier</x:v>
      </x:c>
      <x:c r="E946" s="115" t="n">
        <x:v>41</x:v>
      </x:c>
      <x:c r="F946" s="115" t="str">
        <x:v>Inspection physique</x:v>
      </x:c>
      <x:c r="G946" s="115" t="str">
        <x:v>1 niveaux ; 32 pièces ; 248 segments de mur ; 0 transitions. Inspection physique ; architecture complète encore ouverte.</x:v>
      </x:c>
      <x:c r="H946" s="115" t="str">
        <x:v>L 342 ; l 294 ; hauteur 18 m ; choix de composition auteur ; dimensions réelles à documenter</x:v>
      </x:c>
      <x:c r="I946" s="115" t="str">
        <x:v>À équilibrer</x:v>
      </x:c>
      <x:c r="J946" s="115" t="str">
        <x:v>Non</x:v>
      </x:c>
      <x:c r="K946" s="115" t="str">
        <x:v>Pièces décrites, murs, portes, niveaux et mobilier inspectables à l’échelle. Volumes réservés, raccord au seed, butin, rencontres et services de campagne restent à terminer.</x:v>
      </x:c>
    </x:row>
    <x:row r="947" ht="96" customHeight="1">
      <x:c r="A947" s="115" t="str">
        <x:v>EXT-MONDE-T019-V42</x:v>
      </x:c>
      <x:c r="B947" s="115" t="str">
        <x:v>EXT-MONDE-T019</x:v>
      </x:c>
      <x:c r="C947" s="115" t="str">
        <x:v>Littoral</x:v>
      </x:c>
      <x:c r="D947" s="115" t="str">
        <x:v>Chantier naval côtier</x:v>
      </x:c>
      <x:c r="E947" s="115" t="n">
        <x:v>42</x:v>
      </x:c>
      <x:c r="F947" s="115" t="str">
        <x:v>Inspection physique</x:v>
      </x:c>
      <x:c r="G947" s="115" t="str">
        <x:v>1 niveaux ; 32 pièces ; 248 segments de mur ; 0 transitions. Inspection physique ; architecture complète encore ouverte.</x:v>
      </x:c>
      <x:c r="H947" s="115" t="str">
        <x:v>L 342 ; l 294 ; hauteur 18 m ; choix de composition auteur ; dimensions réelles à documenter</x:v>
      </x:c>
      <x:c r="I947" s="115" t="str">
        <x:v>À équilibrer</x:v>
      </x:c>
      <x:c r="J947" s="115" t="str">
        <x:v>Non</x:v>
      </x:c>
      <x:c r="K947" s="115" t="str">
        <x:v>Pièces décrites, murs, portes, niveaux et mobilier inspectables à l’échelle. Volumes réservés, raccord au seed, butin, rencontres et services de campagne restent à terminer.</x:v>
      </x:c>
    </x:row>
    <x:row r="948" ht="96" customHeight="1">
      <x:c r="A948" s="115" t="str">
        <x:v>EXT-MONDE-T019-V43</x:v>
      </x:c>
      <x:c r="B948" s="115" t="str">
        <x:v>EXT-MONDE-T019</x:v>
      </x:c>
      <x:c r="C948" s="115" t="str">
        <x:v>Littoral</x:v>
      </x:c>
      <x:c r="D948" s="115" t="str">
        <x:v>Chantier naval côtier</x:v>
      </x:c>
      <x:c r="E948" s="115" t="n">
        <x:v>43</x:v>
      </x:c>
      <x:c r="F948" s="115" t="str">
        <x:v>Inspection physique</x:v>
      </x:c>
      <x:c r="G948" s="115" t="str">
        <x:v>1 niveaux ; 32 pièces ; 248 segments de mur ; 0 transitions. Inspection physique ; architecture complète encore ouverte.</x:v>
      </x:c>
      <x:c r="H948" s="115" t="str">
        <x:v>L 342 ; l 294 ; hauteur 18 m ; choix de composition auteur ; dimensions réelles à documenter</x:v>
      </x:c>
      <x:c r="I948" s="115" t="str">
        <x:v>À équilibrer</x:v>
      </x:c>
      <x:c r="J948" s="115" t="str">
        <x:v>Non</x:v>
      </x:c>
      <x:c r="K948" s="115" t="str">
        <x:v>Pièces décrites, murs, portes, niveaux et mobilier inspectables à l’échelle. Volumes réservés, raccord au seed, butin, rencontres et services de campagne restent à terminer.</x:v>
      </x:c>
    </x:row>
    <x:row r="949" ht="96" customHeight="1">
      <x:c r="A949" s="115" t="str">
        <x:v>EXT-MONDE-T019-V44</x:v>
      </x:c>
      <x:c r="B949" s="115" t="str">
        <x:v>EXT-MONDE-T019</x:v>
      </x:c>
      <x:c r="C949" s="115" t="str">
        <x:v>Littoral</x:v>
      </x:c>
      <x:c r="D949" s="115" t="str">
        <x:v>Chantier naval côtier</x:v>
      </x:c>
      <x:c r="E949" s="115" t="n">
        <x:v>44</x:v>
      </x:c>
      <x:c r="F949" s="115" t="str">
        <x:v>Inspection physique</x:v>
      </x:c>
      <x:c r="G949" s="115" t="str">
        <x:v>1 niveaux ; 32 pièces ; 248 segments de mur ; 0 transitions. Inspection physique ; architecture complète encore ouverte.</x:v>
      </x:c>
      <x:c r="H949" s="115" t="str">
        <x:v>L 342 ; l 294 ; hauteur 18 m ; choix de composition auteur ; dimensions réelles à documenter</x:v>
      </x:c>
      <x:c r="I949" s="115" t="str">
        <x:v>À équilibrer</x:v>
      </x:c>
      <x:c r="J949" s="115" t="str">
        <x:v>Non</x:v>
      </x:c>
      <x:c r="K949" s="115" t="str">
        <x:v>Pièces décrites, murs, portes, niveaux et mobilier inspectables à l’échelle. Volumes réservés, raccord au seed, butin, rencontres et services de campagne restent à terminer.</x:v>
      </x:c>
    </x:row>
    <x:row r="950" ht="96" customHeight="1">
      <x:c r="A950" s="115" t="str">
        <x:v>EXT-MONDE-T019-V45</x:v>
      </x:c>
      <x:c r="B950" s="115" t="str">
        <x:v>EXT-MONDE-T019</x:v>
      </x:c>
      <x:c r="C950" s="115" t="str">
        <x:v>Littoral</x:v>
      </x:c>
      <x:c r="D950" s="115" t="str">
        <x:v>Chantier naval côtier</x:v>
      </x:c>
      <x:c r="E950" s="115" t="n">
        <x:v>45</x:v>
      </x:c>
      <x:c r="F950" s="115" t="str">
        <x:v>Inspection physique</x:v>
      </x:c>
      <x:c r="G950" s="115" t="str">
        <x:v>1 niveaux ; 32 pièces ; 248 segments de mur ; 0 transitions. Inspection physique ; architecture complète encore ouverte.</x:v>
      </x:c>
      <x:c r="H950" s="115" t="str">
        <x:v>L 342 ; l 294 ; hauteur 18 m ; choix de composition auteur ; dimensions réelles à documenter</x:v>
      </x:c>
      <x:c r="I950" s="115" t="str">
        <x:v>À équilibrer</x:v>
      </x:c>
      <x:c r="J950" s="115" t="str">
        <x:v>Non</x:v>
      </x:c>
      <x:c r="K950" s="115" t="str">
        <x:v>Pièces décrites, murs, portes, niveaux et mobilier inspectables à l’échelle. Volumes réservés, raccord au seed, butin, rencontres et services de campagne restent à terminer.</x:v>
      </x:c>
    </x:row>
    <x:row r="951" ht="96" customHeight="1">
      <x:c r="A951" s="115" t="str">
        <x:v>EXT-MONDE-T019-V46</x:v>
      </x:c>
      <x:c r="B951" s="115" t="str">
        <x:v>EXT-MONDE-T019</x:v>
      </x:c>
      <x:c r="C951" s="115" t="str">
        <x:v>Littoral</x:v>
      </x:c>
      <x:c r="D951" s="115" t="str">
        <x:v>Chantier naval côtier</x:v>
      </x:c>
      <x:c r="E951" s="115" t="n">
        <x:v>46</x:v>
      </x:c>
      <x:c r="F951" s="115" t="str">
        <x:v>Inspection physique</x:v>
      </x:c>
      <x:c r="G951" s="115" t="str">
        <x:v>1 niveaux ; 32 pièces ; 248 segments de mur ; 0 transitions. Inspection physique ; architecture complète encore ouverte.</x:v>
      </x:c>
      <x:c r="H951" s="115" t="str">
        <x:v>L 342 ; l 294 ; hauteur 18 m ; choix de composition auteur ; dimensions réelles à documenter</x:v>
      </x:c>
      <x:c r="I951" s="115" t="str">
        <x:v>À équilibrer</x:v>
      </x:c>
      <x:c r="J951" s="115" t="str">
        <x:v>Non</x:v>
      </x:c>
      <x:c r="K951" s="115" t="str">
        <x:v>Pièces décrites, murs, portes, niveaux et mobilier inspectables à l’échelle. Volumes réservés, raccord au seed, butin, rencontres et services de campagne restent à terminer.</x:v>
      </x:c>
    </x:row>
    <x:row r="952" ht="96" customHeight="1">
      <x:c r="A952" s="115" t="str">
        <x:v>EXT-MONDE-T019-V47</x:v>
      </x:c>
      <x:c r="B952" s="115" t="str">
        <x:v>EXT-MONDE-T019</x:v>
      </x:c>
      <x:c r="C952" s="115" t="str">
        <x:v>Littoral</x:v>
      </x:c>
      <x:c r="D952" s="115" t="str">
        <x:v>Chantier naval côtier</x:v>
      </x:c>
      <x:c r="E952" s="115" t="n">
        <x:v>47</x:v>
      </x:c>
      <x:c r="F952" s="115" t="str">
        <x:v>Inspection physique</x:v>
      </x:c>
      <x:c r="G952" s="115" t="str">
        <x:v>1 niveaux ; 32 pièces ; 248 segments de mur ; 0 transitions. Inspection physique ; architecture complète encore ouverte.</x:v>
      </x:c>
      <x:c r="H952" s="115" t="str">
        <x:v>L 342 ; l 294 ; hauteur 18 m ; choix de composition auteur ; dimensions réelles à documenter</x:v>
      </x:c>
      <x:c r="I952" s="115" t="str">
        <x:v>À équilibrer</x:v>
      </x:c>
      <x:c r="J952" s="115" t="str">
        <x:v>Non</x:v>
      </x:c>
      <x:c r="K952" s="115" t="str">
        <x:v>Pièces décrites, murs, portes, niveaux et mobilier inspectables à l’échelle. Volumes réservés, raccord au seed, butin, rencontres et services de campagne restent à terminer.</x:v>
      </x:c>
    </x:row>
    <x:row r="953" ht="96" customHeight="1">
      <x:c r="A953" s="115" t="str">
        <x:v>EXT-MONDE-T019-V48</x:v>
      </x:c>
      <x:c r="B953" s="115" t="str">
        <x:v>EXT-MONDE-T019</x:v>
      </x:c>
      <x:c r="C953" s="115" t="str">
        <x:v>Littoral</x:v>
      </x:c>
      <x:c r="D953" s="115" t="str">
        <x:v>Chantier naval côtier</x:v>
      </x:c>
      <x:c r="E953" s="115" t="n">
        <x:v>48</x:v>
      </x:c>
      <x:c r="F953" s="115" t="str">
        <x:v>Inspection physique</x:v>
      </x:c>
      <x:c r="G953" s="115" t="str">
        <x:v>1 niveaux ; 32 pièces ; 248 segments de mur ; 0 transitions. Inspection physique ; architecture complète encore ouverte.</x:v>
      </x:c>
      <x:c r="H953" s="115" t="str">
        <x:v>L 342 ; l 294 ; hauteur 18 m ; choix de composition auteur ; dimensions réelles à documenter</x:v>
      </x:c>
      <x:c r="I953" s="115" t="str">
        <x:v>À équilibrer</x:v>
      </x:c>
      <x:c r="J953" s="115" t="str">
        <x:v>Non</x:v>
      </x:c>
      <x:c r="K953" s="115" t="str">
        <x:v>Pièces décrites, murs, portes, niveaux et mobilier inspectables à l’échelle. Volumes réservés, raccord au seed, butin, rencontres et services de campagne restent à terminer.</x:v>
      </x:c>
    </x:row>
    <x:row r="954" ht="96" customHeight="1">
      <x:c r="A954" s="115" t="str">
        <x:v>EXT-MONDE-T019-V49</x:v>
      </x:c>
      <x:c r="B954" s="115" t="str">
        <x:v>EXT-MONDE-T019</x:v>
      </x:c>
      <x:c r="C954" s="115" t="str">
        <x:v>Littoral</x:v>
      </x:c>
      <x:c r="D954" s="115" t="str">
        <x:v>Chantier naval côtier</x:v>
      </x:c>
      <x:c r="E954" s="115" t="n">
        <x:v>49</x:v>
      </x:c>
      <x:c r="F954" s="115" t="str">
        <x:v>Inspection physique</x:v>
      </x:c>
      <x:c r="G954" s="115" t="str">
        <x:v>1 niveaux ; 32 pièces ; 248 segments de mur ; 0 transitions. Inspection physique ; architecture complète encore ouverte.</x:v>
      </x:c>
      <x:c r="H954" s="115" t="str">
        <x:v>L 342 ; l 294 ; hauteur 18 m ; choix de composition auteur ; dimensions réelles à documenter</x:v>
      </x:c>
      <x:c r="I954" s="115" t="str">
        <x:v>À équilibrer</x:v>
      </x:c>
      <x:c r="J954" s="115" t="str">
        <x:v>Non</x:v>
      </x:c>
      <x:c r="K954" s="115" t="str">
        <x:v>Pièces décrites, murs, portes, niveaux et mobilier inspectables à l’échelle. Volumes réservés, raccord au seed, butin, rencontres et services de campagne restent à terminer.</x:v>
      </x:c>
    </x:row>
    <x:row r="955" ht="96" customHeight="1">
      <x:c r="A955" s="115" t="str">
        <x:v>EXT-MONDE-T019-V50</x:v>
      </x:c>
      <x:c r="B955" s="115" t="str">
        <x:v>EXT-MONDE-T019</x:v>
      </x:c>
      <x:c r="C955" s="115" t="str">
        <x:v>Littoral</x:v>
      </x:c>
      <x:c r="D955" s="115" t="str">
        <x:v>Chantier naval côtier</x:v>
      </x:c>
      <x:c r="E955" s="115" t="n">
        <x:v>50</x:v>
      </x:c>
      <x:c r="F955" s="115" t="str">
        <x:v>Inspection physique</x:v>
      </x:c>
      <x:c r="G955" s="115" t="str">
        <x:v>1 niveaux ; 32 pièces ; 248 segments de mur ; 0 transitions. Inspection physique ; architecture complète encore ouverte.</x:v>
      </x:c>
      <x:c r="H955" s="115" t="str">
        <x:v>L 342 ; l 294 ; hauteur 18 m ; choix de composition auteur ; dimensions réelles à documenter</x:v>
      </x:c>
      <x:c r="I955" s="115" t="str">
        <x:v>À équilibrer</x:v>
      </x:c>
      <x:c r="J955" s="115" t="str">
        <x:v>Non</x:v>
      </x:c>
      <x:c r="K955" s="115" t="str">
        <x:v>Pièces décrites, murs, portes, niveaux et mobilier inspectables à l’échelle. Volumes réservés, raccord au seed, butin, rencontres et services de campagne restent à terminer.</x:v>
      </x:c>
    </x:row>
    <x:row r="956" ht="96" customHeight="1">
      <x:c r="A956" s="115" t="str">
        <x:v>EXT-MONDE-T020-V01</x:v>
      </x:c>
      <x:c r="B956" s="115" t="str">
        <x:v>EXT-MONDE-T020</x:v>
      </x:c>
      <x:c r="C956" s="115" t="str">
        <x:v>Littoral</x:v>
      </x:c>
      <x:c r="D956" s="115" t="str">
        <x:v>Baie avec village côtier</x:v>
      </x:c>
      <x:c r="E956" s="115" t="n">
        <x:v>1</x:v>
      </x:c>
      <x:c r="F956" s="115" t="str">
        <x:v>Inspection physique</x:v>
      </x:c>
      <x:c r="G956" s="115" t="str">
        <x:v>1 niveaux ; 32 pièces ; 248 segments de mur ; 0 transitions. Inspection physique ; architecture complète encore ouverte.</x:v>
      </x:c>
      <x:c r="H956" s="115" t="str">
        <x:v>L 270 ; l 230 ; hauteur 4,4 m ; choix de composition auteur ; dimensions réelles à documenter</x:v>
      </x:c>
      <x:c r="I956" s="115" t="str">
        <x:v>À équilibrer</x:v>
      </x:c>
      <x:c r="J956" s="115" t="str">
        <x:v>Non</x:v>
      </x:c>
      <x:c r="K956" s="115" t="str">
        <x:v>Pièces décrites, murs, portes, niveaux et mobilier inspectables à l’échelle. Volumes réservés, raccord au seed, butin, rencontres et services de campagne restent à terminer.</x:v>
      </x:c>
    </x:row>
    <x:row r="957" ht="96" customHeight="1">
      <x:c r="A957" s="115" t="str">
        <x:v>EXT-MONDE-T020-V02</x:v>
      </x:c>
      <x:c r="B957" s="115" t="str">
        <x:v>EXT-MONDE-T020</x:v>
      </x:c>
      <x:c r="C957" s="115" t="str">
        <x:v>Littoral</x:v>
      </x:c>
      <x:c r="D957" s="115" t="str">
        <x:v>Baie avec village côtier</x:v>
      </x:c>
      <x:c r="E957" s="115" t="n">
        <x:v>2</x:v>
      </x:c>
      <x:c r="F957" s="115" t="str">
        <x:v>Inspection physique</x:v>
      </x:c>
      <x:c r="G957" s="115" t="str">
        <x:v>1 niveaux ; 32 pièces ; 248 segments de mur ; 0 transitions. Inspection physique ; architecture complète encore ouverte.</x:v>
      </x:c>
      <x:c r="H957" s="115" t="str">
        <x:v>L 270 ; l 230 ; hauteur 4,4 m ; choix de composition auteur ; dimensions réelles à documenter</x:v>
      </x:c>
      <x:c r="I957" s="115" t="str">
        <x:v>À équilibrer</x:v>
      </x:c>
      <x:c r="J957" s="115" t="str">
        <x:v>Non</x:v>
      </x:c>
      <x:c r="K957" s="115" t="str">
        <x:v>Pièces décrites, murs, portes, niveaux et mobilier inspectables à l’échelle. Volumes réservés, raccord au seed, butin, rencontres et services de campagne restent à terminer.</x:v>
      </x:c>
    </x:row>
    <x:row r="958" ht="96" customHeight="1">
      <x:c r="A958" s="115" t="str">
        <x:v>EXT-MONDE-T020-V03</x:v>
      </x:c>
      <x:c r="B958" s="115" t="str">
        <x:v>EXT-MONDE-T020</x:v>
      </x:c>
      <x:c r="C958" s="115" t="str">
        <x:v>Littoral</x:v>
      </x:c>
      <x:c r="D958" s="115" t="str">
        <x:v>Baie avec village côtier</x:v>
      </x:c>
      <x:c r="E958" s="115" t="n">
        <x:v>3</x:v>
      </x:c>
      <x:c r="F958" s="115" t="str">
        <x:v>Inspection physique</x:v>
      </x:c>
      <x:c r="G958" s="115" t="str">
        <x:v>1 niveaux ; 32 pièces ; 248 segments de mur ; 0 transitions. Inspection physique ; architecture complète encore ouverte.</x:v>
      </x:c>
      <x:c r="H958" s="115" t="str">
        <x:v>L 270 ; l 230 ; hauteur 4,4 m ; choix de composition auteur ; dimensions réelles à documenter</x:v>
      </x:c>
      <x:c r="I958" s="115" t="str">
        <x:v>À équilibrer</x:v>
      </x:c>
      <x:c r="J958" s="115" t="str">
        <x:v>Non</x:v>
      </x:c>
      <x:c r="K958" s="115" t="str">
        <x:v>Pièces décrites, murs, portes, niveaux et mobilier inspectables à l’échelle. Volumes réservés, raccord au seed, butin, rencontres et services de campagne restent à terminer.</x:v>
      </x:c>
    </x:row>
    <x:row r="959" ht="96" customHeight="1">
      <x:c r="A959" s="115" t="str">
        <x:v>EXT-MONDE-T020-V04</x:v>
      </x:c>
      <x:c r="B959" s="115" t="str">
        <x:v>EXT-MONDE-T020</x:v>
      </x:c>
      <x:c r="C959" s="115" t="str">
        <x:v>Littoral</x:v>
      </x:c>
      <x:c r="D959" s="115" t="str">
        <x:v>Baie avec village côtier</x:v>
      </x:c>
      <x:c r="E959" s="115" t="n">
        <x:v>4</x:v>
      </x:c>
      <x:c r="F959" s="115" t="str">
        <x:v>Inspection physique</x:v>
      </x:c>
      <x:c r="G959" s="115" t="str">
        <x:v>1 niveaux ; 32 pièces ; 248 segments de mur ; 0 transitions. Inspection physique ; architecture complète encore ouverte.</x:v>
      </x:c>
      <x:c r="H959" s="115" t="str">
        <x:v>L 270 ; l 230 ; hauteur 4,4 m ; choix de composition auteur ; dimensions réelles à documenter</x:v>
      </x:c>
      <x:c r="I959" s="115" t="str">
        <x:v>À équilibrer</x:v>
      </x:c>
      <x:c r="J959" s="115" t="str">
        <x:v>Non</x:v>
      </x:c>
      <x:c r="K959" s="115" t="str">
        <x:v>Pièces décrites, murs, portes, niveaux et mobilier inspectables à l’échelle. Volumes réservés, raccord au seed, butin, rencontres et services de campagne restent à terminer.</x:v>
      </x:c>
    </x:row>
    <x:row r="960" ht="96" customHeight="1">
      <x:c r="A960" s="115" t="str">
        <x:v>EXT-MONDE-T020-V05</x:v>
      </x:c>
      <x:c r="B960" s="115" t="str">
        <x:v>EXT-MONDE-T020</x:v>
      </x:c>
      <x:c r="C960" s="115" t="str">
        <x:v>Littoral</x:v>
      </x:c>
      <x:c r="D960" s="115" t="str">
        <x:v>Baie avec village côtier</x:v>
      </x:c>
      <x:c r="E960" s="115" t="n">
        <x:v>5</x:v>
      </x:c>
      <x:c r="F960" s="115" t="str">
        <x:v>Inspection physique</x:v>
      </x:c>
      <x:c r="G960" s="115" t="str">
        <x:v>1 niveaux ; 32 pièces ; 248 segments de mur ; 0 transitions. Inspection physique ; architecture complète encore ouverte.</x:v>
      </x:c>
      <x:c r="H960" s="115" t="str">
        <x:v>L 270 ; l 230 ; hauteur 4,4 m ; choix de composition auteur ; dimensions réelles à documenter</x:v>
      </x:c>
      <x:c r="I960" s="115" t="str">
        <x:v>À équilibrer</x:v>
      </x:c>
      <x:c r="J960" s="115" t="str">
        <x:v>Non</x:v>
      </x:c>
      <x:c r="K960" s="115" t="str">
        <x:v>Pièces décrites, murs, portes, niveaux et mobilier inspectables à l’échelle. Volumes réservés, raccord au seed, butin, rencontres et services de campagne restent à terminer.</x:v>
      </x:c>
    </x:row>
    <x:row r="961" ht="96" customHeight="1">
      <x:c r="A961" s="115" t="str">
        <x:v>EXT-MONDE-T020-V06</x:v>
      </x:c>
      <x:c r="B961" s="115" t="str">
        <x:v>EXT-MONDE-T020</x:v>
      </x:c>
      <x:c r="C961" s="115" t="str">
        <x:v>Littoral</x:v>
      </x:c>
      <x:c r="D961" s="115" t="str">
        <x:v>Baie avec village côtier</x:v>
      </x:c>
      <x:c r="E961" s="115" t="n">
        <x:v>6</x:v>
      </x:c>
      <x:c r="F961" s="115" t="str">
        <x:v>Inspection physique</x:v>
      </x:c>
      <x:c r="G961" s="115" t="str">
        <x:v>1 niveaux ; 32 pièces ; 248 segments de mur ; 0 transitions. Inspection physique ; architecture complète encore ouverte.</x:v>
      </x:c>
      <x:c r="H961" s="115" t="str">
        <x:v>L 270 ; l 230 ; hauteur 4,4 m ; choix de composition auteur ; dimensions réelles à documenter</x:v>
      </x:c>
      <x:c r="I961" s="115" t="str">
        <x:v>À équilibrer</x:v>
      </x:c>
      <x:c r="J961" s="115" t="str">
        <x:v>Non</x:v>
      </x:c>
      <x:c r="K961" s="115" t="str">
        <x:v>Pièces décrites, murs, portes, niveaux et mobilier inspectables à l’échelle. Volumes réservés, raccord au seed, butin, rencontres et services de campagne restent à terminer.</x:v>
      </x:c>
    </x:row>
    <x:row r="962" ht="96" customHeight="1">
      <x:c r="A962" s="115" t="str">
        <x:v>EXT-MONDE-T020-V07</x:v>
      </x:c>
      <x:c r="B962" s="115" t="str">
        <x:v>EXT-MONDE-T020</x:v>
      </x:c>
      <x:c r="C962" s="115" t="str">
        <x:v>Littoral</x:v>
      </x:c>
      <x:c r="D962" s="115" t="str">
        <x:v>Baie avec village côtier</x:v>
      </x:c>
      <x:c r="E962" s="115" t="n">
        <x:v>7</x:v>
      </x:c>
      <x:c r="F962" s="115" t="str">
        <x:v>Inspection physique</x:v>
      </x:c>
      <x:c r="G962" s="115" t="str">
        <x:v>1 niveaux ; 32 pièces ; 248 segments de mur ; 0 transitions. Inspection physique ; architecture complète encore ouverte.</x:v>
      </x:c>
      <x:c r="H962" s="115" t="str">
        <x:v>L 270 ; l 230 ; hauteur 4,4 m ; choix de composition auteur ; dimensions réelles à documenter</x:v>
      </x:c>
      <x:c r="I962" s="115" t="str">
        <x:v>À équilibrer</x:v>
      </x:c>
      <x:c r="J962" s="115" t="str">
        <x:v>Non</x:v>
      </x:c>
      <x:c r="K962" s="115" t="str">
        <x:v>Pièces décrites, murs, portes, niveaux et mobilier inspectables à l’échelle. Volumes réservés, raccord au seed, butin, rencontres et services de campagne restent à terminer.</x:v>
      </x:c>
    </x:row>
    <x:row r="963" ht="96" customHeight="1">
      <x:c r="A963" s="115" t="str">
        <x:v>EXT-MONDE-T020-V08</x:v>
      </x:c>
      <x:c r="B963" s="115" t="str">
        <x:v>EXT-MONDE-T020</x:v>
      </x:c>
      <x:c r="C963" s="115" t="str">
        <x:v>Littoral</x:v>
      </x:c>
      <x:c r="D963" s="115" t="str">
        <x:v>Baie avec village côtier</x:v>
      </x:c>
      <x:c r="E963" s="115" t="n">
        <x:v>8</x:v>
      </x:c>
      <x:c r="F963" s="115" t="str">
        <x:v>Inspection physique</x:v>
      </x:c>
      <x:c r="G963" s="115" t="str">
        <x:v>1 niveaux ; 32 pièces ; 248 segments de mur ; 0 transitions. Inspection physique ; architecture complète encore ouverte.</x:v>
      </x:c>
      <x:c r="H963" s="115" t="str">
        <x:v>L 270 ; l 230 ; hauteur 4,4 m ; choix de composition auteur ; dimensions réelles à documenter</x:v>
      </x:c>
      <x:c r="I963" s="115" t="str">
        <x:v>À équilibrer</x:v>
      </x:c>
      <x:c r="J963" s="115" t="str">
        <x:v>Non</x:v>
      </x:c>
      <x:c r="K963" s="115" t="str">
        <x:v>Pièces décrites, murs, portes, niveaux et mobilier inspectables à l’échelle. Volumes réservés, raccord au seed, butin, rencontres et services de campagne restent à terminer.</x:v>
      </x:c>
    </x:row>
    <x:row r="964" ht="96" customHeight="1">
      <x:c r="A964" s="115" t="str">
        <x:v>EXT-MONDE-T020-V09</x:v>
      </x:c>
      <x:c r="B964" s="115" t="str">
        <x:v>EXT-MONDE-T020</x:v>
      </x:c>
      <x:c r="C964" s="115" t="str">
        <x:v>Littoral</x:v>
      </x:c>
      <x:c r="D964" s="115" t="str">
        <x:v>Baie avec village côtier</x:v>
      </x:c>
      <x:c r="E964" s="115" t="n">
        <x:v>9</x:v>
      </x:c>
      <x:c r="F964" s="115" t="str">
        <x:v>Inspection physique</x:v>
      </x:c>
      <x:c r="G964" s="115" t="str">
        <x:v>1 niveaux ; 32 pièces ; 248 segments de mur ; 0 transitions. Inspection physique ; architecture complète encore ouverte.</x:v>
      </x:c>
      <x:c r="H964" s="115" t="str">
        <x:v>L 270 ; l 230 ; hauteur 4,4 m ; choix de composition auteur ; dimensions réelles à documenter</x:v>
      </x:c>
      <x:c r="I964" s="115" t="str">
        <x:v>À équilibrer</x:v>
      </x:c>
      <x:c r="J964" s="115" t="str">
        <x:v>Non</x:v>
      </x:c>
      <x:c r="K964" s="115" t="str">
        <x:v>Pièces décrites, murs, portes, niveaux et mobilier inspectables à l’échelle. Volumes réservés, raccord au seed, butin, rencontres et services de campagne restent à terminer.</x:v>
      </x:c>
    </x:row>
    <x:row r="965" ht="96" customHeight="1">
      <x:c r="A965" s="115" t="str">
        <x:v>EXT-MONDE-T020-V10</x:v>
      </x:c>
      <x:c r="B965" s="115" t="str">
        <x:v>EXT-MONDE-T020</x:v>
      </x:c>
      <x:c r="C965" s="115" t="str">
        <x:v>Littoral</x:v>
      </x:c>
      <x:c r="D965" s="115" t="str">
        <x:v>Baie avec village côtier</x:v>
      </x:c>
      <x:c r="E965" s="115" t="n">
        <x:v>10</x:v>
      </x:c>
      <x:c r="F965" s="115" t="str">
        <x:v>Inspection physique</x:v>
      </x:c>
      <x:c r="G965" s="115" t="str">
        <x:v>1 niveaux ; 32 pièces ; 248 segments de mur ; 0 transitions. Inspection physique ; architecture complète encore ouverte.</x:v>
      </x:c>
      <x:c r="H965" s="115" t="str">
        <x:v>L 270 ; l 230 ; hauteur 4,4 m ; choix de composition auteur ; dimensions réelles à documenter</x:v>
      </x:c>
      <x:c r="I965" s="115" t="str">
        <x:v>À équilibrer</x:v>
      </x:c>
      <x:c r="J965" s="115" t="str">
        <x:v>Non</x:v>
      </x:c>
      <x:c r="K965" s="115" t="str">
        <x:v>Pièces décrites, murs, portes, niveaux et mobilier inspectables à l’échelle. Volumes réservés, raccord au seed, butin, rencontres et services de campagne restent à terminer.</x:v>
      </x:c>
    </x:row>
    <x:row r="966" ht="96" customHeight="1">
      <x:c r="A966" s="115" t="str">
        <x:v>EXT-MONDE-T020-V11</x:v>
      </x:c>
      <x:c r="B966" s="115" t="str">
        <x:v>EXT-MONDE-T020</x:v>
      </x:c>
      <x:c r="C966" s="115" t="str">
        <x:v>Littoral</x:v>
      </x:c>
      <x:c r="D966" s="115" t="str">
        <x:v>Baie avec village côtier</x:v>
      </x:c>
      <x:c r="E966" s="115" t="n">
        <x:v>11</x:v>
      </x:c>
      <x:c r="F966" s="115" t="str">
        <x:v>Inspection physique</x:v>
      </x:c>
      <x:c r="G966" s="115" t="str">
        <x:v>1 niveaux ; 32 pièces ; 248 segments de mur ; 0 transitions. Inspection physique ; architecture complète encore ouverte.</x:v>
      </x:c>
      <x:c r="H966" s="115" t="str">
        <x:v>L 288 ; l 246 ; hauteur 4,4 m ; choix de composition auteur ; dimensions réelles à documenter</x:v>
      </x:c>
      <x:c r="I966" s="115" t="str">
        <x:v>À équilibrer</x:v>
      </x:c>
      <x:c r="J966" s="115" t="str">
        <x:v>Non</x:v>
      </x:c>
      <x:c r="K966" s="115" t="str">
        <x:v>Pièces décrites, murs, portes, niveaux et mobilier inspectables à l’échelle. Volumes réservés, raccord au seed, butin, rencontres et services de campagne restent à terminer.</x:v>
      </x:c>
    </x:row>
    <x:row r="967" ht="96" customHeight="1">
      <x:c r="A967" s="115" t="str">
        <x:v>EXT-MONDE-T020-V12</x:v>
      </x:c>
      <x:c r="B967" s="115" t="str">
        <x:v>EXT-MONDE-T020</x:v>
      </x:c>
      <x:c r="C967" s="115" t="str">
        <x:v>Littoral</x:v>
      </x:c>
      <x:c r="D967" s="115" t="str">
        <x:v>Baie avec village côtier</x:v>
      </x:c>
      <x:c r="E967" s="115" t="n">
        <x:v>12</x:v>
      </x:c>
      <x:c r="F967" s="115" t="str">
        <x:v>Inspection physique</x:v>
      </x:c>
      <x:c r="G967" s="115" t="str">
        <x:v>1 niveaux ; 32 pièces ; 248 segments de mur ; 0 transitions. Inspection physique ; architecture complète encore ouverte.</x:v>
      </x:c>
      <x:c r="H967" s="115" t="str">
        <x:v>L 288 ; l 246 ; hauteur 4,4 m ; choix de composition auteur ; dimensions réelles à documenter</x:v>
      </x:c>
      <x:c r="I967" s="115" t="str">
        <x:v>À équilibrer</x:v>
      </x:c>
      <x:c r="J967" s="115" t="str">
        <x:v>Non</x:v>
      </x:c>
      <x:c r="K967" s="115" t="str">
        <x:v>Pièces décrites, murs, portes, niveaux et mobilier inspectables à l’échelle. Volumes réservés, raccord au seed, butin, rencontres et services de campagne restent à terminer.</x:v>
      </x:c>
    </x:row>
    <x:row r="968" ht="96" customHeight="1">
      <x:c r="A968" s="115" t="str">
        <x:v>EXT-MONDE-T020-V13</x:v>
      </x:c>
      <x:c r="B968" s="115" t="str">
        <x:v>EXT-MONDE-T020</x:v>
      </x:c>
      <x:c r="C968" s="115" t="str">
        <x:v>Littoral</x:v>
      </x:c>
      <x:c r="D968" s="115" t="str">
        <x:v>Baie avec village côtier</x:v>
      </x:c>
      <x:c r="E968" s="115" t="n">
        <x:v>13</x:v>
      </x:c>
      <x:c r="F968" s="115" t="str">
        <x:v>Inspection physique</x:v>
      </x:c>
      <x:c r="G968" s="115" t="str">
        <x:v>1 niveaux ; 32 pièces ; 248 segments de mur ; 0 transitions. Inspection physique ; architecture complète encore ouverte.</x:v>
      </x:c>
      <x:c r="H968" s="115" t="str">
        <x:v>L 288 ; l 246 ; hauteur 4,4 m ; choix de composition auteur ; dimensions réelles à documenter</x:v>
      </x:c>
      <x:c r="I968" s="115" t="str">
        <x:v>À équilibrer</x:v>
      </x:c>
      <x:c r="J968" s="115" t="str">
        <x:v>Non</x:v>
      </x:c>
      <x:c r="K968" s="115" t="str">
        <x:v>Pièces décrites, murs, portes, niveaux et mobilier inspectables à l’échelle. Volumes réservés, raccord au seed, butin, rencontres et services de campagne restent à terminer.</x:v>
      </x:c>
    </x:row>
    <x:row r="969" ht="96" customHeight="1">
      <x:c r="A969" s="115" t="str">
        <x:v>EXT-MONDE-T020-V14</x:v>
      </x:c>
      <x:c r="B969" s="115" t="str">
        <x:v>EXT-MONDE-T020</x:v>
      </x:c>
      <x:c r="C969" s="115" t="str">
        <x:v>Littoral</x:v>
      </x:c>
      <x:c r="D969" s="115" t="str">
        <x:v>Baie avec village côtier</x:v>
      </x:c>
      <x:c r="E969" s="115" t="n">
        <x:v>14</x:v>
      </x:c>
      <x:c r="F969" s="115" t="str">
        <x:v>Inspection physique</x:v>
      </x:c>
      <x:c r="G969" s="115" t="str">
        <x:v>1 niveaux ; 32 pièces ; 248 segments de mur ; 0 transitions. Inspection physique ; architecture complète encore ouverte.</x:v>
      </x:c>
      <x:c r="H969" s="115" t="str">
        <x:v>L 288 ; l 246 ; hauteur 4,4 m ; choix de composition auteur ; dimensions réelles à documenter</x:v>
      </x:c>
      <x:c r="I969" s="115" t="str">
        <x:v>À équilibrer</x:v>
      </x:c>
      <x:c r="J969" s="115" t="str">
        <x:v>Non</x:v>
      </x:c>
      <x:c r="K969" s="115" t="str">
        <x:v>Pièces décrites, murs, portes, niveaux et mobilier inspectables à l’échelle. Volumes réservés, raccord au seed, butin, rencontres et services de campagne restent à terminer.</x:v>
      </x:c>
    </x:row>
    <x:row r="970" ht="96" customHeight="1">
      <x:c r="A970" s="115" t="str">
        <x:v>EXT-MONDE-T020-V15</x:v>
      </x:c>
      <x:c r="B970" s="115" t="str">
        <x:v>EXT-MONDE-T020</x:v>
      </x:c>
      <x:c r="C970" s="115" t="str">
        <x:v>Littoral</x:v>
      </x:c>
      <x:c r="D970" s="115" t="str">
        <x:v>Baie avec village côtier</x:v>
      </x:c>
      <x:c r="E970" s="115" t="n">
        <x:v>15</x:v>
      </x:c>
      <x:c r="F970" s="115" t="str">
        <x:v>Inspection physique</x:v>
      </x:c>
      <x:c r="G970" s="115" t="str">
        <x:v>1 niveaux ; 32 pièces ; 248 segments de mur ; 0 transitions. Inspection physique ; architecture complète encore ouverte.</x:v>
      </x:c>
      <x:c r="H970" s="115" t="str">
        <x:v>L 288 ; l 246 ; hauteur 4,4 m ; choix de composition auteur ; dimensions réelles à documenter</x:v>
      </x:c>
      <x:c r="I970" s="115" t="str">
        <x:v>À équilibrer</x:v>
      </x:c>
      <x:c r="J970" s="115" t="str">
        <x:v>Non</x:v>
      </x:c>
      <x:c r="K970" s="115" t="str">
        <x:v>Pièces décrites, murs, portes, niveaux et mobilier inspectables à l’échelle. Volumes réservés, raccord au seed, butin, rencontres et services de campagne restent à terminer.</x:v>
      </x:c>
    </x:row>
    <x:row r="971" ht="96" customHeight="1">
      <x:c r="A971" s="115" t="str">
        <x:v>EXT-MONDE-T020-V16</x:v>
      </x:c>
      <x:c r="B971" s="115" t="str">
        <x:v>EXT-MONDE-T020</x:v>
      </x:c>
      <x:c r="C971" s="115" t="str">
        <x:v>Littoral</x:v>
      </x:c>
      <x:c r="D971" s="115" t="str">
        <x:v>Baie avec village côtier</x:v>
      </x:c>
      <x:c r="E971" s="115" t="n">
        <x:v>16</x:v>
      </x:c>
      <x:c r="F971" s="115" t="str">
        <x:v>Inspection physique</x:v>
      </x:c>
      <x:c r="G971" s="115" t="str">
        <x:v>1 niveaux ; 32 pièces ; 248 segments de mur ; 0 transitions. Inspection physique ; architecture complète encore ouverte.</x:v>
      </x:c>
      <x:c r="H971" s="115" t="str">
        <x:v>L 288 ; l 246 ; hauteur 4,4 m ; choix de composition auteur ; dimensions réelles à documenter</x:v>
      </x:c>
      <x:c r="I971" s="115" t="str">
        <x:v>À équilibrer</x:v>
      </x:c>
      <x:c r="J971" s="115" t="str">
        <x:v>Non</x:v>
      </x:c>
      <x:c r="K971" s="115" t="str">
        <x:v>Pièces décrites, murs, portes, niveaux et mobilier inspectables à l’échelle. Volumes réservés, raccord au seed, butin, rencontres et services de campagne restent à terminer.</x:v>
      </x:c>
    </x:row>
    <x:row r="972" ht="96" customHeight="1">
      <x:c r="A972" s="115" t="str">
        <x:v>EXT-MONDE-T020-V17</x:v>
      </x:c>
      <x:c r="B972" s="115" t="str">
        <x:v>EXT-MONDE-T020</x:v>
      </x:c>
      <x:c r="C972" s="115" t="str">
        <x:v>Littoral</x:v>
      </x:c>
      <x:c r="D972" s="115" t="str">
        <x:v>Baie avec village côtier</x:v>
      </x:c>
      <x:c r="E972" s="115" t="n">
        <x:v>17</x:v>
      </x:c>
      <x:c r="F972" s="115" t="str">
        <x:v>Inspection physique</x:v>
      </x:c>
      <x:c r="G972" s="115" t="str">
        <x:v>1 niveaux ; 32 pièces ; 248 segments de mur ; 0 transitions. Inspection physique ; architecture complète encore ouverte.</x:v>
      </x:c>
      <x:c r="H972" s="115" t="str">
        <x:v>L 288 ; l 246 ; hauteur 4,4 m ; choix de composition auteur ; dimensions réelles à documenter</x:v>
      </x:c>
      <x:c r="I972" s="115" t="str">
        <x:v>À équilibrer</x:v>
      </x:c>
      <x:c r="J972" s="115" t="str">
        <x:v>Non</x:v>
      </x:c>
      <x:c r="K972" s="115" t="str">
        <x:v>Pièces décrites, murs, portes, niveaux et mobilier inspectables à l’échelle. Volumes réservés, raccord au seed, butin, rencontres et services de campagne restent à terminer.</x:v>
      </x:c>
    </x:row>
    <x:row r="973" ht="96" customHeight="1">
      <x:c r="A973" s="115" t="str">
        <x:v>EXT-MONDE-T020-V18</x:v>
      </x:c>
      <x:c r="B973" s="115" t="str">
        <x:v>EXT-MONDE-T020</x:v>
      </x:c>
      <x:c r="C973" s="115" t="str">
        <x:v>Littoral</x:v>
      </x:c>
      <x:c r="D973" s="115" t="str">
        <x:v>Baie avec village côtier</x:v>
      </x:c>
      <x:c r="E973" s="115" t="n">
        <x:v>18</x:v>
      </x:c>
      <x:c r="F973" s="115" t="str">
        <x:v>Inspection physique</x:v>
      </x:c>
      <x:c r="G973" s="115" t="str">
        <x:v>1 niveaux ; 32 pièces ; 248 segments de mur ; 0 transitions. Inspection physique ; architecture complète encore ouverte.</x:v>
      </x:c>
      <x:c r="H973" s="115" t="str">
        <x:v>L 288 ; l 246 ; hauteur 4,4 m ; choix de composition auteur ; dimensions réelles à documenter</x:v>
      </x:c>
      <x:c r="I973" s="115" t="str">
        <x:v>À équilibrer</x:v>
      </x:c>
      <x:c r="J973" s="115" t="str">
        <x:v>Non</x:v>
      </x:c>
      <x:c r="K973" s="115" t="str">
        <x:v>Pièces décrites, murs, portes, niveaux et mobilier inspectables à l’échelle. Volumes réservés, raccord au seed, butin, rencontres et services de campagne restent à terminer.</x:v>
      </x:c>
    </x:row>
    <x:row r="974" ht="96" customHeight="1">
      <x:c r="A974" s="115" t="str">
        <x:v>EXT-MONDE-T020-V19</x:v>
      </x:c>
      <x:c r="B974" s="115" t="str">
        <x:v>EXT-MONDE-T020</x:v>
      </x:c>
      <x:c r="C974" s="115" t="str">
        <x:v>Littoral</x:v>
      </x:c>
      <x:c r="D974" s="115" t="str">
        <x:v>Baie avec village côtier</x:v>
      </x:c>
      <x:c r="E974" s="115" t="n">
        <x:v>19</x:v>
      </x:c>
      <x:c r="F974" s="115" t="str">
        <x:v>Inspection physique</x:v>
      </x:c>
      <x:c r="G974" s="115" t="str">
        <x:v>1 niveaux ; 32 pièces ; 248 segments de mur ; 0 transitions. Inspection physique ; architecture complète encore ouverte.</x:v>
      </x:c>
      <x:c r="H974" s="115" t="str">
        <x:v>L 288 ; l 246 ; hauteur 4,4 m ; choix de composition auteur ; dimensions réelles à documenter</x:v>
      </x:c>
      <x:c r="I974" s="115" t="str">
        <x:v>À équilibrer</x:v>
      </x:c>
      <x:c r="J974" s="115" t="str">
        <x:v>Non</x:v>
      </x:c>
      <x:c r="K974" s="115" t="str">
        <x:v>Pièces décrites, murs, portes, niveaux et mobilier inspectables à l’échelle. Volumes réservés, raccord au seed, butin, rencontres et services de campagne restent à terminer.</x:v>
      </x:c>
    </x:row>
    <x:row r="975" ht="96" customHeight="1">
      <x:c r="A975" s="115" t="str">
        <x:v>EXT-MONDE-T020-V20</x:v>
      </x:c>
      <x:c r="B975" s="115" t="str">
        <x:v>EXT-MONDE-T020</x:v>
      </x:c>
      <x:c r="C975" s="115" t="str">
        <x:v>Littoral</x:v>
      </x:c>
      <x:c r="D975" s="115" t="str">
        <x:v>Baie avec village côtier</x:v>
      </x:c>
      <x:c r="E975" s="115" t="n">
        <x:v>20</x:v>
      </x:c>
      <x:c r="F975" s="115" t="str">
        <x:v>Inspection physique</x:v>
      </x:c>
      <x:c r="G975" s="115" t="str">
        <x:v>1 niveaux ; 32 pièces ; 248 segments de mur ; 0 transitions. Inspection physique ; architecture complète encore ouverte.</x:v>
      </x:c>
      <x:c r="H975" s="115" t="str">
        <x:v>L 288 ; l 246 ; hauteur 4,4 m ; choix de composition auteur ; dimensions réelles à documenter</x:v>
      </x:c>
      <x:c r="I975" s="115" t="str">
        <x:v>À équilibrer</x:v>
      </x:c>
      <x:c r="J975" s="115" t="str">
        <x:v>Non</x:v>
      </x:c>
      <x:c r="K975" s="115" t="str">
        <x:v>Pièces décrites, murs, portes, niveaux et mobilier inspectables à l’échelle. Volumes réservés, raccord au seed, butin, rencontres et services de campagne restent à terminer.</x:v>
      </x:c>
    </x:row>
    <x:row r="976" ht="96" customHeight="1">
      <x:c r="A976" s="115" t="str">
        <x:v>EXT-MONDE-T020-V21</x:v>
      </x:c>
      <x:c r="B976" s="115" t="str">
        <x:v>EXT-MONDE-T020</x:v>
      </x:c>
      <x:c r="C976" s="115" t="str">
        <x:v>Littoral</x:v>
      </x:c>
      <x:c r="D976" s="115" t="str">
        <x:v>Baie avec village côtier</x:v>
      </x:c>
      <x:c r="E976" s="115" t="n">
        <x:v>21</x:v>
      </x:c>
      <x:c r="F976" s="115" t="str">
        <x:v>Inspection physique</x:v>
      </x:c>
      <x:c r="G976" s="115" t="str">
        <x:v>1 niveaux ; 32 pièces ; 248 segments de mur ; 0 transitions. Inspection physique ; architecture complète encore ouverte.</x:v>
      </x:c>
      <x:c r="H976" s="115" t="str">
        <x:v>L 306 ; l 262 ; hauteur 4,4 m ; choix de composition auteur ; dimensions réelles à documenter</x:v>
      </x:c>
      <x:c r="I976" s="115" t="str">
        <x:v>À équilibrer</x:v>
      </x:c>
      <x:c r="J976" s="115" t="str">
        <x:v>Non</x:v>
      </x:c>
      <x:c r="K976" s="115" t="str">
        <x:v>Pièces décrites, murs, portes, niveaux et mobilier inspectables à l’échelle. Volumes réservés, raccord au seed, butin, rencontres et services de campagne restent à terminer.</x:v>
      </x:c>
    </x:row>
    <x:row r="977" ht="96" customHeight="1">
      <x:c r="A977" s="115" t="str">
        <x:v>EXT-MONDE-T020-V22</x:v>
      </x:c>
      <x:c r="B977" s="115" t="str">
        <x:v>EXT-MONDE-T020</x:v>
      </x:c>
      <x:c r="C977" s="115" t="str">
        <x:v>Littoral</x:v>
      </x:c>
      <x:c r="D977" s="115" t="str">
        <x:v>Baie avec village côtier</x:v>
      </x:c>
      <x:c r="E977" s="115" t="n">
        <x:v>22</x:v>
      </x:c>
      <x:c r="F977" s="115" t="str">
        <x:v>Inspection physique</x:v>
      </x:c>
      <x:c r="G977" s="115" t="str">
        <x:v>1 niveaux ; 32 pièces ; 248 segments de mur ; 0 transitions. Inspection physique ; architecture complète encore ouverte.</x:v>
      </x:c>
      <x:c r="H977" s="115" t="str">
        <x:v>L 306 ; l 262 ; hauteur 4,4 m ; choix de composition auteur ; dimensions réelles à documenter</x:v>
      </x:c>
      <x:c r="I977" s="115" t="str">
        <x:v>À équilibrer</x:v>
      </x:c>
      <x:c r="J977" s="115" t="str">
        <x:v>Non</x:v>
      </x:c>
      <x:c r="K977" s="115" t="str">
        <x:v>Pièces décrites, murs, portes, niveaux et mobilier inspectables à l’échelle. Volumes réservés, raccord au seed, butin, rencontres et services de campagne restent à terminer.</x:v>
      </x:c>
    </x:row>
    <x:row r="978" ht="96" customHeight="1">
      <x:c r="A978" s="115" t="str">
        <x:v>EXT-MONDE-T020-V23</x:v>
      </x:c>
      <x:c r="B978" s="115" t="str">
        <x:v>EXT-MONDE-T020</x:v>
      </x:c>
      <x:c r="C978" s="115" t="str">
        <x:v>Littoral</x:v>
      </x:c>
      <x:c r="D978" s="115" t="str">
        <x:v>Baie avec village côtier</x:v>
      </x:c>
      <x:c r="E978" s="115" t="n">
        <x:v>23</x:v>
      </x:c>
      <x:c r="F978" s="115" t="str">
        <x:v>Inspection physique</x:v>
      </x:c>
      <x:c r="G978" s="115" t="str">
        <x:v>1 niveaux ; 32 pièces ; 248 segments de mur ; 0 transitions. Inspection physique ; architecture complète encore ouverte.</x:v>
      </x:c>
      <x:c r="H978" s="115" t="str">
        <x:v>L 306 ; l 262 ; hauteur 4,4 m ; choix de composition auteur ; dimensions réelles à documenter</x:v>
      </x:c>
      <x:c r="I978" s="115" t="str">
        <x:v>À équilibrer</x:v>
      </x:c>
      <x:c r="J978" s="115" t="str">
        <x:v>Non</x:v>
      </x:c>
      <x:c r="K978" s="115" t="str">
        <x:v>Pièces décrites, murs, portes, niveaux et mobilier inspectables à l’échelle. Volumes réservés, raccord au seed, butin, rencontres et services de campagne restent à terminer.</x:v>
      </x:c>
    </x:row>
    <x:row r="979" ht="96" customHeight="1">
      <x:c r="A979" s="115" t="str">
        <x:v>EXT-MONDE-T020-V24</x:v>
      </x:c>
      <x:c r="B979" s="115" t="str">
        <x:v>EXT-MONDE-T020</x:v>
      </x:c>
      <x:c r="C979" s="115" t="str">
        <x:v>Littoral</x:v>
      </x:c>
      <x:c r="D979" s="115" t="str">
        <x:v>Baie avec village côtier</x:v>
      </x:c>
      <x:c r="E979" s="115" t="n">
        <x:v>24</x:v>
      </x:c>
      <x:c r="F979" s="115" t="str">
        <x:v>Inspection physique</x:v>
      </x:c>
      <x:c r="G979" s="115" t="str">
        <x:v>1 niveaux ; 32 pièces ; 248 segments de mur ; 0 transitions. Inspection physique ; architecture complète encore ouverte.</x:v>
      </x:c>
      <x:c r="H979" s="115" t="str">
        <x:v>L 306 ; l 262 ; hauteur 4,4 m ; choix de composition auteur ; dimensions réelles à documenter</x:v>
      </x:c>
      <x:c r="I979" s="115" t="str">
        <x:v>À équilibrer</x:v>
      </x:c>
      <x:c r="J979" s="115" t="str">
        <x:v>Non</x:v>
      </x:c>
      <x:c r="K979" s="115" t="str">
        <x:v>Pièces décrites, murs, portes, niveaux et mobilier inspectables à l’échelle. Volumes réservés, raccord au seed, butin, rencontres et services de campagne restent à terminer.</x:v>
      </x:c>
    </x:row>
    <x:row r="980" ht="96" customHeight="1">
      <x:c r="A980" s="115" t="str">
        <x:v>EXT-MONDE-T020-V25</x:v>
      </x:c>
      <x:c r="B980" s="115" t="str">
        <x:v>EXT-MONDE-T020</x:v>
      </x:c>
      <x:c r="C980" s="115" t="str">
        <x:v>Littoral</x:v>
      </x:c>
      <x:c r="D980" s="115" t="str">
        <x:v>Baie avec village côtier</x:v>
      </x:c>
      <x:c r="E980" s="115" t="n">
        <x:v>25</x:v>
      </x:c>
      <x:c r="F980" s="115" t="str">
        <x:v>Inspection physique</x:v>
      </x:c>
      <x:c r="G980" s="115" t="str">
        <x:v>1 niveaux ; 32 pièces ; 248 segments de mur ; 0 transitions. Inspection physique ; architecture complète encore ouverte.</x:v>
      </x:c>
      <x:c r="H980" s="115" t="str">
        <x:v>L 306 ; l 262 ; hauteur 4,4 m ; choix de composition auteur ; dimensions réelles à documenter</x:v>
      </x:c>
      <x:c r="I980" s="115" t="str">
        <x:v>À équilibrer</x:v>
      </x:c>
      <x:c r="J980" s="115" t="str">
        <x:v>Non</x:v>
      </x:c>
      <x:c r="K980" s="115" t="str">
        <x:v>Pièces décrites, murs, portes, niveaux et mobilier inspectables à l’échelle. Volumes réservés, raccord au seed, butin, rencontres et services de campagne restent à terminer.</x:v>
      </x:c>
    </x:row>
    <x:row r="981" ht="96" customHeight="1">
      <x:c r="A981" s="115" t="str">
        <x:v>EXT-MONDE-T020-V26</x:v>
      </x:c>
      <x:c r="B981" s="115" t="str">
        <x:v>EXT-MONDE-T020</x:v>
      </x:c>
      <x:c r="C981" s="115" t="str">
        <x:v>Littoral</x:v>
      </x:c>
      <x:c r="D981" s="115" t="str">
        <x:v>Baie avec village côtier</x:v>
      </x:c>
      <x:c r="E981" s="115" t="n">
        <x:v>26</x:v>
      </x:c>
      <x:c r="F981" s="115" t="str">
        <x:v>Inspection physique</x:v>
      </x:c>
      <x:c r="G981" s="115" t="str">
        <x:v>1 niveaux ; 32 pièces ; 248 segments de mur ; 0 transitions. Inspection physique ; architecture complète encore ouverte.</x:v>
      </x:c>
      <x:c r="H981" s="115" t="str">
        <x:v>L 306 ; l 262 ; hauteur 4,4 m ; choix de composition auteur ; dimensions réelles à documenter</x:v>
      </x:c>
      <x:c r="I981" s="115" t="str">
        <x:v>À équilibrer</x:v>
      </x:c>
      <x:c r="J981" s="115" t="str">
        <x:v>Non</x:v>
      </x:c>
      <x:c r="K981" s="115" t="str">
        <x:v>Pièces décrites, murs, portes, niveaux et mobilier inspectables à l’échelle. Volumes réservés, raccord au seed, butin, rencontres et services de campagne restent à terminer.</x:v>
      </x:c>
    </x:row>
    <x:row r="982" ht="96" customHeight="1">
      <x:c r="A982" s="115" t="str">
        <x:v>EXT-MONDE-T020-V27</x:v>
      </x:c>
      <x:c r="B982" s="115" t="str">
        <x:v>EXT-MONDE-T020</x:v>
      </x:c>
      <x:c r="C982" s="115" t="str">
        <x:v>Littoral</x:v>
      </x:c>
      <x:c r="D982" s="115" t="str">
        <x:v>Baie avec village côtier</x:v>
      </x:c>
      <x:c r="E982" s="115" t="n">
        <x:v>27</x:v>
      </x:c>
      <x:c r="F982" s="115" t="str">
        <x:v>Inspection physique</x:v>
      </x:c>
      <x:c r="G982" s="115" t="str">
        <x:v>1 niveaux ; 32 pièces ; 248 segments de mur ; 0 transitions. Inspection physique ; architecture complète encore ouverte.</x:v>
      </x:c>
      <x:c r="H982" s="115" t="str">
        <x:v>L 306 ; l 262 ; hauteur 4,4 m ; choix de composition auteur ; dimensions réelles à documenter</x:v>
      </x:c>
      <x:c r="I982" s="115" t="str">
        <x:v>À équilibrer</x:v>
      </x:c>
      <x:c r="J982" s="115" t="str">
        <x:v>Non</x:v>
      </x:c>
      <x:c r="K982" s="115" t="str">
        <x:v>Pièces décrites, murs, portes, niveaux et mobilier inspectables à l’échelle. Volumes réservés, raccord au seed, butin, rencontres et services de campagne restent à terminer.</x:v>
      </x:c>
    </x:row>
    <x:row r="983" ht="96" customHeight="1">
      <x:c r="A983" s="115" t="str">
        <x:v>EXT-MONDE-T020-V28</x:v>
      </x:c>
      <x:c r="B983" s="115" t="str">
        <x:v>EXT-MONDE-T020</x:v>
      </x:c>
      <x:c r="C983" s="115" t="str">
        <x:v>Littoral</x:v>
      </x:c>
      <x:c r="D983" s="115" t="str">
        <x:v>Baie avec village côtier</x:v>
      </x:c>
      <x:c r="E983" s="115" t="n">
        <x:v>28</x:v>
      </x:c>
      <x:c r="F983" s="115" t="str">
        <x:v>Inspection physique</x:v>
      </x:c>
      <x:c r="G983" s="115" t="str">
        <x:v>1 niveaux ; 32 pièces ; 248 segments de mur ; 0 transitions. Inspection physique ; architecture complète encore ouverte.</x:v>
      </x:c>
      <x:c r="H983" s="115" t="str">
        <x:v>L 306 ; l 262 ; hauteur 4,4 m ; choix de composition auteur ; dimensions réelles à documenter</x:v>
      </x:c>
      <x:c r="I983" s="115" t="str">
        <x:v>À équilibrer</x:v>
      </x:c>
      <x:c r="J983" s="115" t="str">
        <x:v>Non</x:v>
      </x:c>
      <x:c r="K983" s="115" t="str">
        <x:v>Pièces décrites, murs, portes, niveaux et mobilier inspectables à l’échelle. Volumes réservés, raccord au seed, butin, rencontres et services de campagne restent à terminer.</x:v>
      </x:c>
    </x:row>
    <x:row r="984" ht="96" customHeight="1">
      <x:c r="A984" s="115" t="str">
        <x:v>EXT-MONDE-T020-V29</x:v>
      </x:c>
      <x:c r="B984" s="115" t="str">
        <x:v>EXT-MONDE-T020</x:v>
      </x:c>
      <x:c r="C984" s="115" t="str">
        <x:v>Littoral</x:v>
      </x:c>
      <x:c r="D984" s="115" t="str">
        <x:v>Baie avec village côtier</x:v>
      </x:c>
      <x:c r="E984" s="115" t="n">
        <x:v>29</x:v>
      </x:c>
      <x:c r="F984" s="115" t="str">
        <x:v>Inspection physique</x:v>
      </x:c>
      <x:c r="G984" s="115" t="str">
        <x:v>1 niveaux ; 32 pièces ; 248 segments de mur ; 0 transitions. Inspection physique ; architecture complète encore ouverte.</x:v>
      </x:c>
      <x:c r="H984" s="115" t="str">
        <x:v>L 306 ; l 262 ; hauteur 4,4 m ; choix de composition auteur ; dimensions réelles à documenter</x:v>
      </x:c>
      <x:c r="I984" s="115" t="str">
        <x:v>À équilibrer</x:v>
      </x:c>
      <x:c r="J984" s="115" t="str">
        <x:v>Non</x:v>
      </x:c>
      <x:c r="K984" s="115" t="str">
        <x:v>Pièces décrites, murs, portes, niveaux et mobilier inspectables à l’échelle. Volumes réservés, raccord au seed, butin, rencontres et services de campagne restent à terminer.</x:v>
      </x:c>
    </x:row>
    <x:row r="985" ht="96" customHeight="1">
      <x:c r="A985" s="115" t="str">
        <x:v>EXT-MONDE-T020-V30</x:v>
      </x:c>
      <x:c r="B985" s="115" t="str">
        <x:v>EXT-MONDE-T020</x:v>
      </x:c>
      <x:c r="C985" s="115" t="str">
        <x:v>Littoral</x:v>
      </x:c>
      <x:c r="D985" s="115" t="str">
        <x:v>Baie avec village côtier</x:v>
      </x:c>
      <x:c r="E985" s="115" t="n">
        <x:v>30</x:v>
      </x:c>
      <x:c r="F985" s="115" t="str">
        <x:v>Inspection physique</x:v>
      </x:c>
      <x:c r="G985" s="115" t="str">
        <x:v>1 niveaux ; 32 pièces ; 248 segments de mur ; 0 transitions. Inspection physique ; architecture complète encore ouverte.</x:v>
      </x:c>
      <x:c r="H985" s="115" t="str">
        <x:v>L 306 ; l 262 ; hauteur 4,4 m ; choix de composition auteur ; dimensions réelles à documenter</x:v>
      </x:c>
      <x:c r="I985" s="115" t="str">
        <x:v>À équilibrer</x:v>
      </x:c>
      <x:c r="J985" s="115" t="str">
        <x:v>Non</x:v>
      </x:c>
      <x:c r="K985" s="115" t="str">
        <x:v>Pièces décrites, murs, portes, niveaux et mobilier inspectables à l’échelle. Volumes réservés, raccord au seed, butin, rencontres et services de campagne restent à terminer.</x:v>
      </x:c>
    </x:row>
    <x:row r="986" ht="96" customHeight="1">
      <x:c r="A986" s="115" t="str">
        <x:v>EXT-MONDE-T020-V31</x:v>
      </x:c>
      <x:c r="B986" s="115" t="str">
        <x:v>EXT-MONDE-T020</x:v>
      </x:c>
      <x:c r="C986" s="115" t="str">
        <x:v>Littoral</x:v>
      </x:c>
      <x:c r="D986" s="115" t="str">
        <x:v>Baie avec village côtier</x:v>
      </x:c>
      <x:c r="E986" s="115" t="n">
        <x:v>31</x:v>
      </x:c>
      <x:c r="F986" s="115" t="str">
        <x:v>Inspection physique</x:v>
      </x:c>
      <x:c r="G986" s="115" t="str">
        <x:v>1 niveaux ; 32 pièces ; 248 segments de mur ; 0 transitions. Inspection physique ; architecture complète encore ouverte.</x:v>
      </x:c>
      <x:c r="H986" s="115" t="str">
        <x:v>L 324 ; l 278 ; hauteur 4,4 m ; choix de composition auteur ; dimensions réelles à documenter</x:v>
      </x:c>
      <x:c r="I986" s="115" t="str">
        <x:v>À équilibrer</x:v>
      </x:c>
      <x:c r="J986" s="115" t="str">
        <x:v>Non</x:v>
      </x:c>
      <x:c r="K986" s="115" t="str">
        <x:v>Pièces décrites, murs, portes, niveaux et mobilier inspectables à l’échelle. Volumes réservés, raccord au seed, butin, rencontres et services de campagne restent à terminer.</x:v>
      </x:c>
    </x:row>
    <x:row r="987" ht="96" customHeight="1">
      <x:c r="A987" s="115" t="str">
        <x:v>EXT-MONDE-T020-V32</x:v>
      </x:c>
      <x:c r="B987" s="115" t="str">
        <x:v>EXT-MONDE-T020</x:v>
      </x:c>
      <x:c r="C987" s="115" t="str">
        <x:v>Littoral</x:v>
      </x:c>
      <x:c r="D987" s="115" t="str">
        <x:v>Baie avec village côtier</x:v>
      </x:c>
      <x:c r="E987" s="115" t="n">
        <x:v>32</x:v>
      </x:c>
      <x:c r="F987" s="115" t="str">
        <x:v>Inspection physique</x:v>
      </x:c>
      <x:c r="G987" s="115" t="str">
        <x:v>1 niveaux ; 32 pièces ; 248 segments de mur ; 0 transitions. Inspection physique ; architecture complète encore ouverte.</x:v>
      </x:c>
      <x:c r="H987" s="115" t="str">
        <x:v>L 324 ; l 278 ; hauteur 4,4 m ; choix de composition auteur ; dimensions réelles à documenter</x:v>
      </x:c>
      <x:c r="I987" s="115" t="str">
        <x:v>À équilibrer</x:v>
      </x:c>
      <x:c r="J987" s="115" t="str">
        <x:v>Non</x:v>
      </x:c>
      <x:c r="K987" s="115" t="str">
        <x:v>Pièces décrites, murs, portes, niveaux et mobilier inspectables à l’échelle. Volumes réservés, raccord au seed, butin, rencontres et services de campagne restent à terminer.</x:v>
      </x:c>
    </x:row>
    <x:row r="988" ht="96" customHeight="1">
      <x:c r="A988" s="115" t="str">
        <x:v>EXT-MONDE-T020-V33</x:v>
      </x:c>
      <x:c r="B988" s="115" t="str">
        <x:v>EXT-MONDE-T020</x:v>
      </x:c>
      <x:c r="C988" s="115" t="str">
        <x:v>Littoral</x:v>
      </x:c>
      <x:c r="D988" s="115" t="str">
        <x:v>Baie avec village côtier</x:v>
      </x:c>
      <x:c r="E988" s="115" t="n">
        <x:v>33</x:v>
      </x:c>
      <x:c r="F988" s="115" t="str">
        <x:v>Inspection physique</x:v>
      </x:c>
      <x:c r="G988" s="115" t="str">
        <x:v>1 niveaux ; 32 pièces ; 248 segments de mur ; 0 transitions. Inspection physique ; architecture complète encore ouverte.</x:v>
      </x:c>
      <x:c r="H988" s="115" t="str">
        <x:v>L 324 ; l 278 ; hauteur 4,4 m ; choix de composition auteur ; dimensions réelles à documenter</x:v>
      </x:c>
      <x:c r="I988" s="115" t="str">
        <x:v>À équilibrer</x:v>
      </x:c>
      <x:c r="J988" s="115" t="str">
        <x:v>Non</x:v>
      </x:c>
      <x:c r="K988" s="115" t="str">
        <x:v>Pièces décrites, murs, portes, niveaux et mobilier inspectables à l’échelle. Volumes réservés, raccord au seed, butin, rencontres et services de campagne restent à terminer.</x:v>
      </x:c>
    </x:row>
    <x:row r="989" ht="96" customHeight="1">
      <x:c r="A989" s="115" t="str">
        <x:v>EXT-MONDE-T020-V34</x:v>
      </x:c>
      <x:c r="B989" s="115" t="str">
        <x:v>EXT-MONDE-T020</x:v>
      </x:c>
      <x:c r="C989" s="115" t="str">
        <x:v>Littoral</x:v>
      </x:c>
      <x:c r="D989" s="115" t="str">
        <x:v>Baie avec village côtier</x:v>
      </x:c>
      <x:c r="E989" s="115" t="n">
        <x:v>34</x:v>
      </x:c>
      <x:c r="F989" s="115" t="str">
        <x:v>Inspection physique</x:v>
      </x:c>
      <x:c r="G989" s="115" t="str">
        <x:v>1 niveaux ; 32 pièces ; 248 segments de mur ; 0 transitions. Inspection physique ; architecture complète encore ouverte.</x:v>
      </x:c>
      <x:c r="H989" s="115" t="str">
        <x:v>L 324 ; l 278 ; hauteur 4,4 m ; choix de composition auteur ; dimensions réelles à documenter</x:v>
      </x:c>
      <x:c r="I989" s="115" t="str">
        <x:v>À équilibrer</x:v>
      </x:c>
      <x:c r="J989" s="115" t="str">
        <x:v>Non</x:v>
      </x:c>
      <x:c r="K989" s="115" t="str">
        <x:v>Pièces décrites, murs, portes, niveaux et mobilier inspectables à l’échelle. Volumes réservés, raccord au seed, butin, rencontres et services de campagne restent à terminer.</x:v>
      </x:c>
    </x:row>
    <x:row r="990" ht="96" customHeight="1">
      <x:c r="A990" s="115" t="str">
        <x:v>EXT-MONDE-T020-V35</x:v>
      </x:c>
      <x:c r="B990" s="115" t="str">
        <x:v>EXT-MONDE-T020</x:v>
      </x:c>
      <x:c r="C990" s="115" t="str">
        <x:v>Littoral</x:v>
      </x:c>
      <x:c r="D990" s="115" t="str">
        <x:v>Baie avec village côtier</x:v>
      </x:c>
      <x:c r="E990" s="115" t="n">
        <x:v>35</x:v>
      </x:c>
      <x:c r="F990" s="115" t="str">
        <x:v>Inspection physique</x:v>
      </x:c>
      <x:c r="G990" s="115" t="str">
        <x:v>1 niveaux ; 32 pièces ; 248 segments de mur ; 0 transitions. Inspection physique ; architecture complète encore ouverte.</x:v>
      </x:c>
      <x:c r="H990" s="115" t="str">
        <x:v>L 324 ; l 278 ; hauteur 4,4 m ; choix de composition auteur ; dimensions réelles à documenter</x:v>
      </x:c>
      <x:c r="I990" s="115" t="str">
        <x:v>À équilibrer</x:v>
      </x:c>
      <x:c r="J990" s="115" t="str">
        <x:v>Non</x:v>
      </x:c>
      <x:c r="K990" s="115" t="str">
        <x:v>Pièces décrites, murs, portes, niveaux et mobilier inspectables à l’échelle. Volumes réservés, raccord au seed, butin, rencontres et services de campagne restent à terminer.</x:v>
      </x:c>
    </x:row>
    <x:row r="991" ht="96" customHeight="1">
      <x:c r="A991" s="115" t="str">
        <x:v>EXT-MONDE-T020-V36</x:v>
      </x:c>
      <x:c r="B991" s="115" t="str">
        <x:v>EXT-MONDE-T020</x:v>
      </x:c>
      <x:c r="C991" s="115" t="str">
        <x:v>Littoral</x:v>
      </x:c>
      <x:c r="D991" s="115" t="str">
        <x:v>Baie avec village côtier</x:v>
      </x:c>
      <x:c r="E991" s="115" t="n">
        <x:v>36</x:v>
      </x:c>
      <x:c r="F991" s="115" t="str">
        <x:v>Inspection physique</x:v>
      </x:c>
      <x:c r="G991" s="115" t="str">
        <x:v>1 niveaux ; 32 pièces ; 248 segments de mur ; 0 transitions. Inspection physique ; architecture complète encore ouverte.</x:v>
      </x:c>
      <x:c r="H991" s="115" t="str">
        <x:v>L 324 ; l 278 ; hauteur 4,4 m ; choix de composition auteur ; dimensions réelles à documenter</x:v>
      </x:c>
      <x:c r="I991" s="115" t="str">
        <x:v>À équilibrer</x:v>
      </x:c>
      <x:c r="J991" s="115" t="str">
        <x:v>Non</x:v>
      </x:c>
      <x:c r="K991" s="115" t="str">
        <x:v>Pièces décrites, murs, portes, niveaux et mobilier inspectables à l’échelle. Volumes réservés, raccord au seed, butin, rencontres et services de campagne restent à terminer.</x:v>
      </x:c>
    </x:row>
    <x:row r="992" ht="96" customHeight="1">
      <x:c r="A992" s="115" t="str">
        <x:v>EXT-MONDE-T020-V37</x:v>
      </x:c>
      <x:c r="B992" s="115" t="str">
        <x:v>EXT-MONDE-T020</x:v>
      </x:c>
      <x:c r="C992" s="115" t="str">
        <x:v>Littoral</x:v>
      </x:c>
      <x:c r="D992" s="115" t="str">
        <x:v>Baie avec village côtier</x:v>
      </x:c>
      <x:c r="E992" s="115" t="n">
        <x:v>37</x:v>
      </x:c>
      <x:c r="F992" s="115" t="str">
        <x:v>Inspection physique</x:v>
      </x:c>
      <x:c r="G992" s="115" t="str">
        <x:v>1 niveaux ; 32 pièces ; 248 segments de mur ; 0 transitions. Inspection physique ; architecture complète encore ouverte.</x:v>
      </x:c>
      <x:c r="H992" s="115" t="str">
        <x:v>L 324 ; l 278 ; hauteur 4,4 m ; choix de composition auteur ; dimensions réelles à documenter</x:v>
      </x:c>
      <x:c r="I992" s="115" t="str">
        <x:v>À équilibrer</x:v>
      </x:c>
      <x:c r="J992" s="115" t="str">
        <x:v>Non</x:v>
      </x:c>
      <x:c r="K992" s="115" t="str">
        <x:v>Pièces décrites, murs, portes, niveaux et mobilier inspectables à l’échelle. Volumes réservés, raccord au seed, butin, rencontres et services de campagne restent à terminer.</x:v>
      </x:c>
    </x:row>
    <x:row r="993" ht="96" customHeight="1">
      <x:c r="A993" s="115" t="str">
        <x:v>EXT-MONDE-T020-V38</x:v>
      </x:c>
      <x:c r="B993" s="115" t="str">
        <x:v>EXT-MONDE-T020</x:v>
      </x:c>
      <x:c r="C993" s="115" t="str">
        <x:v>Littoral</x:v>
      </x:c>
      <x:c r="D993" s="115" t="str">
        <x:v>Baie avec village côtier</x:v>
      </x:c>
      <x:c r="E993" s="115" t="n">
        <x:v>38</x:v>
      </x:c>
      <x:c r="F993" s="115" t="str">
        <x:v>Inspection physique</x:v>
      </x:c>
      <x:c r="G993" s="115" t="str">
        <x:v>1 niveaux ; 32 pièces ; 248 segments de mur ; 0 transitions. Inspection physique ; architecture complète encore ouverte.</x:v>
      </x:c>
      <x:c r="H993" s="115" t="str">
        <x:v>L 324 ; l 278 ; hauteur 4,4 m ; choix de composition auteur ; dimensions réelles à documenter</x:v>
      </x:c>
      <x:c r="I993" s="115" t="str">
        <x:v>À équilibrer</x:v>
      </x:c>
      <x:c r="J993" s="115" t="str">
        <x:v>Non</x:v>
      </x:c>
      <x:c r="K993" s="115" t="str">
        <x:v>Pièces décrites, murs, portes, niveaux et mobilier inspectables à l’échelle. Volumes réservés, raccord au seed, butin, rencontres et services de campagne restent à terminer.</x:v>
      </x:c>
    </x:row>
    <x:row r="994" ht="96" customHeight="1">
      <x:c r="A994" s="115" t="str">
        <x:v>EXT-MONDE-T020-V39</x:v>
      </x:c>
      <x:c r="B994" s="115" t="str">
        <x:v>EXT-MONDE-T020</x:v>
      </x:c>
      <x:c r="C994" s="115" t="str">
        <x:v>Littoral</x:v>
      </x:c>
      <x:c r="D994" s="115" t="str">
        <x:v>Baie avec village côtier</x:v>
      </x:c>
      <x:c r="E994" s="115" t="n">
        <x:v>39</x:v>
      </x:c>
      <x:c r="F994" s="115" t="str">
        <x:v>Inspection physique</x:v>
      </x:c>
      <x:c r="G994" s="115" t="str">
        <x:v>1 niveaux ; 32 pièces ; 248 segments de mur ; 0 transitions. Inspection physique ; architecture complète encore ouverte.</x:v>
      </x:c>
      <x:c r="H994" s="115" t="str">
        <x:v>L 324 ; l 278 ; hauteur 4,4 m ; choix de composition auteur ; dimensions réelles à documenter</x:v>
      </x:c>
      <x:c r="I994" s="115" t="str">
        <x:v>À équilibrer</x:v>
      </x:c>
      <x:c r="J994" s="115" t="str">
        <x:v>Non</x:v>
      </x:c>
      <x:c r="K994" s="115" t="str">
        <x:v>Pièces décrites, murs, portes, niveaux et mobilier inspectables à l’échelle. Volumes réservés, raccord au seed, butin, rencontres et services de campagne restent à terminer.</x:v>
      </x:c>
    </x:row>
    <x:row r="995" ht="96" customHeight="1">
      <x:c r="A995" s="115" t="str">
        <x:v>EXT-MONDE-T020-V40</x:v>
      </x:c>
      <x:c r="B995" s="115" t="str">
        <x:v>EXT-MONDE-T020</x:v>
      </x:c>
      <x:c r="C995" s="115" t="str">
        <x:v>Littoral</x:v>
      </x:c>
      <x:c r="D995" s="115" t="str">
        <x:v>Baie avec village côtier</x:v>
      </x:c>
      <x:c r="E995" s="115" t="n">
        <x:v>40</x:v>
      </x:c>
      <x:c r="F995" s="115" t="str">
        <x:v>Inspection physique</x:v>
      </x:c>
      <x:c r="G995" s="115" t="str">
        <x:v>1 niveaux ; 32 pièces ; 248 segments de mur ; 0 transitions. Inspection physique ; architecture complète encore ouverte.</x:v>
      </x:c>
      <x:c r="H995" s="115" t="str">
        <x:v>L 324 ; l 278 ; hauteur 4,4 m ; choix de composition auteur ; dimensions réelles à documenter</x:v>
      </x:c>
      <x:c r="I995" s="115" t="str">
        <x:v>À équilibrer</x:v>
      </x:c>
      <x:c r="J995" s="115" t="str">
        <x:v>Non</x:v>
      </x:c>
      <x:c r="K995" s="115" t="str">
        <x:v>Pièces décrites, murs, portes, niveaux et mobilier inspectables à l’échelle. Volumes réservés, raccord au seed, butin, rencontres et services de campagne restent à terminer.</x:v>
      </x:c>
    </x:row>
    <x:row r="996" ht="96" customHeight="1">
      <x:c r="A996" s="115" t="str">
        <x:v>EXT-MONDE-T020-V41</x:v>
      </x:c>
      <x:c r="B996" s="115" t="str">
        <x:v>EXT-MONDE-T020</x:v>
      </x:c>
      <x:c r="C996" s="115" t="str">
        <x:v>Littoral</x:v>
      </x:c>
      <x:c r="D996" s="115" t="str">
        <x:v>Baie avec village côtier</x:v>
      </x:c>
      <x:c r="E996" s="115" t="n">
        <x:v>41</x:v>
      </x:c>
      <x:c r="F996" s="115" t="str">
        <x:v>Inspection physique</x:v>
      </x:c>
      <x:c r="G996" s="115" t="str">
        <x:v>1 niveaux ; 32 pièces ; 248 segments de mur ; 0 transitions. Inspection physique ; architecture complète encore ouverte.</x:v>
      </x:c>
      <x:c r="H996" s="115" t="str">
        <x:v>L 342 ; l 294 ; hauteur 4,4 m ; choix de composition auteur ; dimensions réelles à documenter</x:v>
      </x:c>
      <x:c r="I996" s="115" t="str">
        <x:v>À équilibrer</x:v>
      </x:c>
      <x:c r="J996" s="115" t="str">
        <x:v>Non</x:v>
      </x:c>
      <x:c r="K996" s="115" t="str">
        <x:v>Pièces décrites, murs, portes, niveaux et mobilier inspectables à l’échelle. Volumes réservés, raccord au seed, butin, rencontres et services de campagne restent à terminer.</x:v>
      </x:c>
    </x:row>
    <x:row r="997" ht="96" customHeight="1">
      <x:c r="A997" s="115" t="str">
        <x:v>EXT-MONDE-T020-V42</x:v>
      </x:c>
      <x:c r="B997" s="115" t="str">
        <x:v>EXT-MONDE-T020</x:v>
      </x:c>
      <x:c r="C997" s="115" t="str">
        <x:v>Littoral</x:v>
      </x:c>
      <x:c r="D997" s="115" t="str">
        <x:v>Baie avec village côtier</x:v>
      </x:c>
      <x:c r="E997" s="115" t="n">
        <x:v>42</x:v>
      </x:c>
      <x:c r="F997" s="115" t="str">
        <x:v>Inspection physique</x:v>
      </x:c>
      <x:c r="G997" s="115" t="str">
        <x:v>1 niveaux ; 32 pièces ; 248 segments de mur ; 0 transitions. Inspection physique ; architecture complète encore ouverte.</x:v>
      </x:c>
      <x:c r="H997" s="115" t="str">
        <x:v>L 342 ; l 294 ; hauteur 4,4 m ; choix de composition auteur ; dimensions réelles à documenter</x:v>
      </x:c>
      <x:c r="I997" s="115" t="str">
        <x:v>À équilibrer</x:v>
      </x:c>
      <x:c r="J997" s="115" t="str">
        <x:v>Non</x:v>
      </x:c>
      <x:c r="K997" s="115" t="str">
        <x:v>Pièces décrites, murs, portes, niveaux et mobilier inspectables à l’échelle. Volumes réservés, raccord au seed, butin, rencontres et services de campagne restent à terminer.</x:v>
      </x:c>
    </x:row>
    <x:row r="998" ht="96" customHeight="1">
      <x:c r="A998" s="115" t="str">
        <x:v>EXT-MONDE-T020-V43</x:v>
      </x:c>
      <x:c r="B998" s="115" t="str">
        <x:v>EXT-MONDE-T020</x:v>
      </x:c>
      <x:c r="C998" s="115" t="str">
        <x:v>Littoral</x:v>
      </x:c>
      <x:c r="D998" s="115" t="str">
        <x:v>Baie avec village côtier</x:v>
      </x:c>
      <x:c r="E998" s="115" t="n">
        <x:v>43</x:v>
      </x:c>
      <x:c r="F998" s="115" t="str">
        <x:v>Inspection physique</x:v>
      </x:c>
      <x:c r="G998" s="115" t="str">
        <x:v>1 niveaux ; 32 pièces ; 248 segments de mur ; 0 transitions. Inspection physique ; architecture complète encore ouverte.</x:v>
      </x:c>
      <x:c r="H998" s="115" t="str">
        <x:v>L 342 ; l 294 ; hauteur 4,4 m ; choix de composition auteur ; dimensions réelles à documenter</x:v>
      </x:c>
      <x:c r="I998" s="115" t="str">
        <x:v>À équilibrer</x:v>
      </x:c>
      <x:c r="J998" s="115" t="str">
        <x:v>Non</x:v>
      </x:c>
      <x:c r="K998" s="115" t="str">
        <x:v>Pièces décrites, murs, portes, niveaux et mobilier inspectables à l’échelle. Volumes réservés, raccord au seed, butin, rencontres et services de campagne restent à terminer.</x:v>
      </x:c>
    </x:row>
    <x:row r="999" ht="96" customHeight="1">
      <x:c r="A999" s="115" t="str">
        <x:v>EXT-MONDE-T020-V44</x:v>
      </x:c>
      <x:c r="B999" s="115" t="str">
        <x:v>EXT-MONDE-T020</x:v>
      </x:c>
      <x:c r="C999" s="115" t="str">
        <x:v>Littoral</x:v>
      </x:c>
      <x:c r="D999" s="115" t="str">
        <x:v>Baie avec village côtier</x:v>
      </x:c>
      <x:c r="E999" s="115" t="n">
        <x:v>44</x:v>
      </x:c>
      <x:c r="F999" s="115" t="str">
        <x:v>Inspection physique</x:v>
      </x:c>
      <x:c r="G999" s="115" t="str">
        <x:v>1 niveaux ; 32 pièces ; 248 segments de mur ; 0 transitions. Inspection physique ; architecture complète encore ouverte.</x:v>
      </x:c>
      <x:c r="H999" s="115" t="str">
        <x:v>L 342 ; l 294 ; hauteur 4,4 m ; choix de composition auteur ; dimensions réelles à documenter</x:v>
      </x:c>
      <x:c r="I999" s="115" t="str">
        <x:v>À équilibrer</x:v>
      </x:c>
      <x:c r="J999" s="115" t="str">
        <x:v>Non</x:v>
      </x:c>
      <x:c r="K999" s="115" t="str">
        <x:v>Pièces décrites, murs, portes, niveaux et mobilier inspectables à l’échelle. Volumes réservés, raccord au seed, butin, rencontres et services de campagne restent à terminer.</x:v>
      </x:c>
    </x:row>
    <x:row r="1000" ht="96" customHeight="1">
      <x:c r="A1000" s="115" t="str">
        <x:v>EXT-MONDE-T020-V45</x:v>
      </x:c>
      <x:c r="B1000" s="115" t="str">
        <x:v>EXT-MONDE-T020</x:v>
      </x:c>
      <x:c r="C1000" s="115" t="str">
        <x:v>Littoral</x:v>
      </x:c>
      <x:c r="D1000" s="115" t="str">
        <x:v>Baie avec village côtier</x:v>
      </x:c>
      <x:c r="E1000" s="115" t="n">
        <x:v>45</x:v>
      </x:c>
      <x:c r="F1000" s="115" t="str">
        <x:v>Inspection physique</x:v>
      </x:c>
      <x:c r="G1000" s="115" t="str">
        <x:v>1 niveaux ; 32 pièces ; 248 segments de mur ; 0 transitions. Inspection physique ; architecture complète encore ouverte.</x:v>
      </x:c>
      <x:c r="H1000" s="115" t="str">
        <x:v>L 342 ; l 294 ; hauteur 4,4 m ; choix de composition auteur ; dimensions réelles à documenter</x:v>
      </x:c>
      <x:c r="I1000" s="115" t="str">
        <x:v>À équilibrer</x:v>
      </x:c>
      <x:c r="J1000" s="115" t="str">
        <x:v>Non</x:v>
      </x:c>
      <x:c r="K1000" s="115" t="str">
        <x:v>Pièces décrites, murs, portes, niveaux et mobilier inspectables à l’échelle. Volumes réservés, raccord au seed, butin, rencontres et services de campagne restent à terminer.</x:v>
      </x:c>
    </x:row>
    <x:row r="1001" ht="96" customHeight="1">
      <x:c r="A1001" s="115" t="str">
        <x:v>EXT-MONDE-T020-V46</x:v>
      </x:c>
      <x:c r="B1001" s="115" t="str">
        <x:v>EXT-MONDE-T020</x:v>
      </x:c>
      <x:c r="C1001" s="115" t="str">
        <x:v>Littoral</x:v>
      </x:c>
      <x:c r="D1001" s="115" t="str">
        <x:v>Baie avec village côtier</x:v>
      </x:c>
      <x:c r="E1001" s="115" t="n">
        <x:v>46</x:v>
      </x:c>
      <x:c r="F1001" s="115" t="str">
        <x:v>Inspection physique</x:v>
      </x:c>
      <x:c r="G1001" s="115" t="str">
        <x:v>1 niveaux ; 32 pièces ; 248 segments de mur ; 0 transitions. Inspection physique ; architecture complète encore ouverte.</x:v>
      </x:c>
      <x:c r="H1001" s="115" t="str">
        <x:v>L 342 ; l 294 ; hauteur 4,4 m ; choix de composition auteur ; dimensions réelles à documenter</x:v>
      </x:c>
      <x:c r="I1001" s="115" t="str">
        <x:v>À équilibrer</x:v>
      </x:c>
      <x:c r="J1001" s="115" t="str">
        <x:v>Non</x:v>
      </x:c>
      <x:c r="K1001" s="115" t="str">
        <x:v>Pièces décrites, murs, portes, niveaux et mobilier inspectables à l’échelle. Volumes réservés, raccord au seed, butin, rencontres et services de campagne restent à terminer.</x:v>
      </x:c>
    </x:row>
    <x:row r="1002" ht="96" customHeight="1">
      <x:c r="A1002" s="115" t="str">
        <x:v>EXT-MONDE-T020-V47</x:v>
      </x:c>
      <x:c r="B1002" s="115" t="str">
        <x:v>EXT-MONDE-T020</x:v>
      </x:c>
      <x:c r="C1002" s="115" t="str">
        <x:v>Littoral</x:v>
      </x:c>
      <x:c r="D1002" s="115" t="str">
        <x:v>Baie avec village côtier</x:v>
      </x:c>
      <x:c r="E1002" s="115" t="n">
        <x:v>47</x:v>
      </x:c>
      <x:c r="F1002" s="115" t="str">
        <x:v>Inspection physique</x:v>
      </x:c>
      <x:c r="G1002" s="115" t="str">
        <x:v>1 niveaux ; 32 pièces ; 248 segments de mur ; 0 transitions. Inspection physique ; architecture complète encore ouverte.</x:v>
      </x:c>
      <x:c r="H1002" s="115" t="str">
        <x:v>L 342 ; l 294 ; hauteur 4,4 m ; choix de composition auteur ; dimensions réelles à documenter</x:v>
      </x:c>
      <x:c r="I1002" s="115" t="str">
        <x:v>À équilibrer</x:v>
      </x:c>
      <x:c r="J1002" s="115" t="str">
        <x:v>Non</x:v>
      </x:c>
      <x:c r="K1002" s="115" t="str">
        <x:v>Pièces décrites, murs, portes, niveaux et mobilier inspectables à l’échelle. Volumes réservés, raccord au seed, butin, rencontres et services de campagne restent à terminer.</x:v>
      </x:c>
    </x:row>
    <x:row r="1003" ht="96" customHeight="1">
      <x:c r="A1003" s="115" t="str">
        <x:v>EXT-MONDE-T020-V48</x:v>
      </x:c>
      <x:c r="B1003" s="115" t="str">
        <x:v>EXT-MONDE-T020</x:v>
      </x:c>
      <x:c r="C1003" s="115" t="str">
        <x:v>Littoral</x:v>
      </x:c>
      <x:c r="D1003" s="115" t="str">
        <x:v>Baie avec village côtier</x:v>
      </x:c>
      <x:c r="E1003" s="115" t="n">
        <x:v>48</x:v>
      </x:c>
      <x:c r="F1003" s="115" t="str">
        <x:v>Inspection physique</x:v>
      </x:c>
      <x:c r="G1003" s="115" t="str">
        <x:v>1 niveaux ; 32 pièces ; 248 segments de mur ; 0 transitions. Inspection physique ; architecture complète encore ouverte.</x:v>
      </x:c>
      <x:c r="H1003" s="115" t="str">
        <x:v>L 342 ; l 294 ; hauteur 4,4 m ; choix de composition auteur ; dimensions réelles à documenter</x:v>
      </x:c>
      <x:c r="I1003" s="115" t="str">
        <x:v>À équilibrer</x:v>
      </x:c>
      <x:c r="J1003" s="115" t="str">
        <x:v>Non</x:v>
      </x:c>
      <x:c r="K1003" s="115" t="str">
        <x:v>Pièces décrites, murs, portes, niveaux et mobilier inspectables à l’échelle. Volumes réservés, raccord au seed, butin, rencontres et services de campagne restent à terminer.</x:v>
      </x:c>
    </x:row>
    <x:row r="1004" ht="96" customHeight="1">
      <x:c r="A1004" s="115" t="str">
        <x:v>EXT-MONDE-T020-V49</x:v>
      </x:c>
      <x:c r="B1004" s="115" t="str">
        <x:v>EXT-MONDE-T020</x:v>
      </x:c>
      <x:c r="C1004" s="115" t="str">
        <x:v>Littoral</x:v>
      </x:c>
      <x:c r="D1004" s="115" t="str">
        <x:v>Baie avec village côtier</x:v>
      </x:c>
      <x:c r="E1004" s="115" t="n">
        <x:v>49</x:v>
      </x:c>
      <x:c r="F1004" s="115" t="str">
        <x:v>Inspection physique</x:v>
      </x:c>
      <x:c r="G1004" s="115" t="str">
        <x:v>1 niveaux ; 32 pièces ; 248 segments de mur ; 0 transitions. Inspection physique ; architecture complète encore ouverte.</x:v>
      </x:c>
      <x:c r="H1004" s="115" t="str">
        <x:v>L 342 ; l 294 ; hauteur 4,4 m ; choix de composition auteur ; dimensions réelles à documenter</x:v>
      </x:c>
      <x:c r="I1004" s="115" t="str">
        <x:v>À équilibrer</x:v>
      </x:c>
      <x:c r="J1004" s="115" t="str">
        <x:v>Non</x:v>
      </x:c>
      <x:c r="K1004" s="115" t="str">
        <x:v>Pièces décrites, murs, portes, niveaux et mobilier inspectables à l’échelle. Volumes réservés, raccord au seed, butin, rencontres et services de campagne restent à terminer.</x:v>
      </x:c>
    </x:row>
    <x:row r="1005" ht="96" customHeight="1">
      <x:c r="A1005" s="115" t="str">
        <x:v>EXT-MONDE-T020-V50</x:v>
      </x:c>
      <x:c r="B1005" s="115" t="str">
        <x:v>EXT-MONDE-T020</x:v>
      </x:c>
      <x:c r="C1005" s="115" t="str">
        <x:v>Littoral</x:v>
      </x:c>
      <x:c r="D1005" s="115" t="str">
        <x:v>Baie avec village côtier</x:v>
      </x:c>
      <x:c r="E1005" s="115" t="n">
        <x:v>50</x:v>
      </x:c>
      <x:c r="F1005" s="115" t="str">
        <x:v>Inspection physique</x:v>
      </x:c>
      <x:c r="G1005" s="115" t="str">
        <x:v>1 niveaux ; 32 pièces ; 248 segments de mur ; 0 transitions. Inspection physique ; architecture complète encore ouverte.</x:v>
      </x:c>
      <x:c r="H1005" s="115" t="str">
        <x:v>L 342 ; l 294 ; hauteur 4,4 m ; choix de composition auteur ; dimensions réelles à documenter</x:v>
      </x:c>
      <x:c r="I1005" s="115" t="str">
        <x:v>À équilibrer</x:v>
      </x:c>
      <x:c r="J1005" s="115" t="str">
        <x:v>Non</x:v>
      </x:c>
      <x:c r="K1005" s="115" t="str">
        <x:v>Pièces décrites, murs, portes, niveaux et mobilier inspectables à l’échelle. Volumes réservés, raccord au seed, butin, rencontres et services de campagne restent à terminer.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8,2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8,2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8,2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8,2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8,2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8,2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8,2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8,2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8,2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8,2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8,2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8,2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8,2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8,2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8,2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8,2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8,2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8,2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8,2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8,2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8,2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8,2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8,2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8,2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8,2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8,2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8,2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8,2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8,2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8,2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8,2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8,2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8,2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8,2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8,2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8,2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8,2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8,2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8,2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8,2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8,2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8,2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8,2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8,2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8,2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8,2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8,2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8,2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8,2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8,2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7,1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7,1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7,1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7,1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7,1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7,1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7,1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7,1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7,1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7,1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7,3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7,3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7,3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7,3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7,3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7,3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7,3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7,3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7,3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7,3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6,8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6,8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6,8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6,8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6,8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6,8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6,8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6,8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6,8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6,8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6,8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6,8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6,8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6,8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6,8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6,8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6,8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6,8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6,8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6,8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6,9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6,9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6,9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6,9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6,9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6,9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6,9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6,9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6,9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6,9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7,1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7,1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7,1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7,1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7,1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7,1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7,1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7,1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7,1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7,1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7,3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7,3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7,3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7,3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7,3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7,3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7,3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7,3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7,3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7,3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6,5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6,5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6,5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6,5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6,5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6,5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6,5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6,5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6,5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6,5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6,7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6,7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6,7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6,7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6,7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6,7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6,7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6,7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6,7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6,7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6,9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6,9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6,9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6,9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6,9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6,9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6,9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6,9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6,9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6,9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7,1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7,1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7,1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7,1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7,1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7,1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7,1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7,1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7,1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7,1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7,3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7,3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7,3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7,3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7,3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7,3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7,3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7,3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7,3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7,3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10,2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10,2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10,2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10,2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10,2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10,2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10,2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10,2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10,2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10,2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10,2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10,2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10,2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10,2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10,2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10,2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10,2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10,2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10,2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10,2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10,2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10,2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10,2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10,2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10,2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10,2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10,2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10,2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10,2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10,2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10,2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10,2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10,2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10,2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10,2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10,2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10,2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10,2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10,2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10,2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10,2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10,2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10,2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10,2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10,2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10,2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10,2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10,2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10,2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10,2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6,5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6,5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6,5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6,5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6,5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6,5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6,5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6,5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6,5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6,5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6,7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6,7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6,7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6,7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6,7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6,7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6,7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6,7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6,7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6,7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6,9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6,9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6,9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6,9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6,9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6,9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6,9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6,9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6,9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6,9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7,1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7,1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7,1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7,1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7,1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7,1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7,1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7,1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7,1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7,1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7,3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7,3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7,3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7,3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7,3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7,3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7,3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7,3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7,3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7,3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6,5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6,5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6,5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6,5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6,5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6,5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6,5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6,5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6,5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6,5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6,7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6,7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6,7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6,7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6,7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6,7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6,7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6,7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6,7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6,7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6,9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6,9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6,9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6,9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6,9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6,9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6,9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6,9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6,9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6,9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7,1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7,1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7,1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7,1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7,1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7,1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7,1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7,1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7,1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7,1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7,3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7,3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7,3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7,3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7,3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7,3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7,3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7,3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7,3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7,3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6,5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6,5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6,5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6,5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6,5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6,5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6,5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6,5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6,5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6,5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6,7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6,7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6,7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6,7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6,7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6,7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6,7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6,7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6,7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6,7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6,9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6,9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6,9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6,9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6,9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6,9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6,9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6,9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6,9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6,9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7,1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7,1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7,1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7,1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7,1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7,1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7,1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7,1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7,1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7,1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7,3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7,3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7,3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7,3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7,3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7,3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7,3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7,3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7,3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7,3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 ht="96" customHeight="1">
      <x:c r="A1406" s="115" t="str">
        <x:v>EXT-MONDE-T029-V01</x:v>
      </x:c>
      <x:c r="B1406" s="115" t="str">
        <x:v>EXT-MONDE-T029</x:v>
      </x:c>
      <x:c r="C1406" s="115" t="str">
        <x:v>Ponts</x:v>
      </x:c>
      <x:c r="D1406" s="115" t="str">
        <x:v>Pont routier à poutres</x:v>
      </x:c>
      <x:c r="E1406" s="115" t="n">
        <x:v>1</x:v>
      </x:c>
      <x:c r="F1406" s="115" t="str">
        <x:v>Inspection physique</x:v>
      </x:c>
      <x:c r="G1406" s="115" t="str">
        <x:v>1 niveaux ; 34 pièces ; 260 segments de mur ; 0 transitions. Inspection physique ; architecture complète encore ouverte.</x:v>
      </x:c>
      <x:c r="H1406" s="115" t="str">
        <x:v>L 620 ; l 800 ; hauteur 8,2 m ; choix de composition auteur ; dimensions réelles à documenter</x:v>
      </x:c>
      <x:c r="I1406" s="115" t="str">
        <x:v>À équilibrer</x:v>
      </x:c>
      <x:c r="J1406" s="115" t="str">
        <x:v>Non</x:v>
      </x:c>
      <x:c r="K1406" s="115" t="str">
        <x:v>Pièces décrites, murs, portes, niveaux et mobilier inspectables à l’échelle. Volumes réservés, raccord au seed, butin, rencontres et services de campagne restent à terminer.</x:v>
      </x:c>
    </x:row>
    <x:row r="1407" ht="96" customHeight="1">
      <x:c r="A1407" s="115" t="str">
        <x:v>EXT-MONDE-T029-V02</x:v>
      </x:c>
      <x:c r="B1407" s="115" t="str">
        <x:v>EXT-MONDE-T029</x:v>
      </x:c>
      <x:c r="C1407" s="115" t="str">
        <x:v>Ponts</x:v>
      </x:c>
      <x:c r="D1407" s="115" t="str">
        <x:v>Pont routier à poutres</x:v>
      </x:c>
      <x:c r="E1407" s="115" t="n">
        <x:v>2</x:v>
      </x:c>
      <x:c r="F1407" s="115" t="str">
        <x:v>Inspection physique</x:v>
      </x:c>
      <x:c r="G1407" s="115" t="str">
        <x:v>1 niveaux ; 34 pièces ; 260 segments de mur ; 0 transitions. Inspection physique ; architecture complète encore ouverte.</x:v>
      </x:c>
      <x:c r="H1407" s="115" t="str">
        <x:v>L 620 ; l 800 ; hauteur 8,24 m ; choix de composition auteur ; dimensions réelles à documenter</x:v>
      </x:c>
      <x:c r="I1407" s="115" t="str">
        <x:v>À équilibrer</x:v>
      </x:c>
      <x:c r="J1407" s="115" t="str">
        <x:v>Non</x:v>
      </x:c>
      <x:c r="K1407" s="115" t="str">
        <x:v>Pièces décrites, murs, portes, niveaux et mobilier inspectables à l’échelle. Volumes réservés, raccord au seed, butin, rencontres et services de campagne restent à terminer.</x:v>
      </x:c>
    </x:row>
    <x:row r="1408" ht="96" customHeight="1">
      <x:c r="A1408" s="115" t="str">
        <x:v>EXT-MONDE-T029-V03</x:v>
      </x:c>
      <x:c r="B1408" s="115" t="str">
        <x:v>EXT-MONDE-T029</x:v>
      </x:c>
      <x:c r="C1408" s="115" t="str">
        <x:v>Ponts</x:v>
      </x:c>
      <x:c r="D1408" s="115" t="str">
        <x:v>Pont routier à poutres</x:v>
      </x:c>
      <x:c r="E1408" s="115" t="n">
        <x:v>3</x:v>
      </x:c>
      <x:c r="F1408" s="115" t="str">
        <x:v>Inspection physique</x:v>
      </x:c>
      <x:c r="G1408" s="115" t="str">
        <x:v>1 niveaux ; 34 pièces ; 260 segments de mur ; 0 transitions. Inspection physique ; architecture complète encore ouverte.</x:v>
      </x:c>
      <x:c r="H1408" s="115" t="str">
        <x:v>L 620 ; l 800 ; hauteur 8,28 m ; choix de composition auteur ; dimensions réelles à documenter</x:v>
      </x:c>
      <x:c r="I1408" s="115" t="str">
        <x:v>À équilibrer</x:v>
      </x:c>
      <x:c r="J1408" s="115" t="str">
        <x:v>Non</x:v>
      </x:c>
      <x:c r="K1408" s="115" t="str">
        <x:v>Pièces décrites, murs, portes, niveaux et mobilier inspectables à l’échelle. Volumes réservés, raccord au seed, butin, rencontres et services de campagne restent à terminer.</x:v>
      </x:c>
    </x:row>
    <x:row r="1409" ht="96" customHeight="1">
      <x:c r="A1409" s="115" t="str">
        <x:v>EXT-MONDE-T029-V04</x:v>
      </x:c>
      <x:c r="B1409" s="115" t="str">
        <x:v>EXT-MONDE-T029</x:v>
      </x:c>
      <x:c r="C1409" s="115" t="str">
        <x:v>Ponts</x:v>
      </x:c>
      <x:c r="D1409" s="115" t="str">
        <x:v>Pont routier à poutres</x:v>
      </x:c>
      <x:c r="E1409" s="115" t="n">
        <x:v>4</x:v>
      </x:c>
      <x:c r="F1409" s="115" t="str">
        <x:v>Inspection physique</x:v>
      </x:c>
      <x:c r="G1409" s="115" t="str">
        <x:v>1 niveaux ; 34 pièces ; 260 segments de mur ; 0 transitions. Inspection physique ; architecture complète encore ouverte.</x:v>
      </x:c>
      <x:c r="H1409" s="115" t="str">
        <x:v>L 620 ; l 800 ; hauteur 8,32 m ; choix de composition auteur ; dimensions réelles à documenter</x:v>
      </x:c>
      <x:c r="I1409" s="115" t="str">
        <x:v>À équilibrer</x:v>
      </x:c>
      <x:c r="J1409" s="115" t="str">
        <x:v>Non</x:v>
      </x:c>
      <x:c r="K1409" s="115" t="str">
        <x:v>Pièces décrites, murs, portes, niveaux et mobilier inspectables à l’échelle. Volumes réservés, raccord au seed, butin, rencontres et services de campagne restent à terminer.</x:v>
      </x:c>
    </x:row>
    <x:row r="1410" ht="96" customHeight="1">
      <x:c r="A1410" s="115" t="str">
        <x:v>EXT-MONDE-T029-V05</x:v>
      </x:c>
      <x:c r="B1410" s="115" t="str">
        <x:v>EXT-MONDE-T029</x:v>
      </x:c>
      <x:c r="C1410" s="115" t="str">
        <x:v>Ponts</x:v>
      </x:c>
      <x:c r="D1410" s="115" t="str">
        <x:v>Pont routier à poutres</x:v>
      </x:c>
      <x:c r="E1410" s="115" t="n">
        <x:v>5</x:v>
      </x:c>
      <x:c r="F1410" s="115" t="str">
        <x:v>Inspection physique</x:v>
      </x:c>
      <x:c r="G1410" s="115" t="str">
        <x:v>1 niveaux ; 34 pièces ; 260 segments de mur ; 0 transitions. Inspection physique ; architecture complète encore ouverte.</x:v>
      </x:c>
      <x:c r="H1410" s="115" t="str">
        <x:v>L 620 ; l 800 ; hauteur 8,36 m ; choix de composition auteur ; dimensions réelles à documenter</x:v>
      </x:c>
      <x:c r="I1410" s="115" t="str">
        <x:v>À équilibrer</x:v>
      </x:c>
      <x:c r="J1410" s="115" t="str">
        <x:v>Non</x:v>
      </x:c>
      <x:c r="K1410" s="115" t="str">
        <x:v>Pièces décrites, murs, portes, niveaux et mobilier inspectables à l’échelle. Volumes réservés, raccord au seed, butin, rencontres et services de campagne restent à terminer.</x:v>
      </x:c>
    </x:row>
    <x:row r="1411" ht="96" customHeight="1">
      <x:c r="A1411" s="115" t="str">
        <x:v>EXT-MONDE-T029-V06</x:v>
      </x:c>
      <x:c r="B1411" s="115" t="str">
        <x:v>EXT-MONDE-T029</x:v>
      </x:c>
      <x:c r="C1411" s="115" t="str">
        <x:v>Ponts</x:v>
      </x:c>
      <x:c r="D1411" s="115" t="str">
        <x:v>Pont routier à poutres</x:v>
      </x:c>
      <x:c r="E1411" s="115" t="n">
        <x:v>6</x:v>
      </x:c>
      <x:c r="F1411" s="115" t="str">
        <x:v>Inspection physique</x:v>
      </x:c>
      <x:c r="G1411" s="115" t="str">
        <x:v>1 niveaux ; 34 pièces ; 260 segments de mur ; 0 transitions. Inspection physique ; architecture complète encore ouverte.</x:v>
      </x:c>
      <x:c r="H1411" s="115" t="str">
        <x:v>L 620 ; l 800 ; hauteur 8,4 m ; choix de composition auteur ; dimensions réelles à documenter</x:v>
      </x:c>
      <x:c r="I1411" s="115" t="str">
        <x:v>À équilibrer</x:v>
      </x:c>
      <x:c r="J1411" s="115" t="str">
        <x:v>Non</x:v>
      </x:c>
      <x:c r="K1411" s="115" t="str">
        <x:v>Pièces décrites, murs, portes, niveaux et mobilier inspectables à l’échelle. Volumes réservés, raccord au seed, butin, rencontres et services de campagne restent à terminer.</x:v>
      </x:c>
    </x:row>
    <x:row r="1412" ht="96" customHeight="1">
      <x:c r="A1412" s="115" t="str">
        <x:v>EXT-MONDE-T029-V07</x:v>
      </x:c>
      <x:c r="B1412" s="115" t="str">
        <x:v>EXT-MONDE-T029</x:v>
      </x:c>
      <x:c r="C1412" s="115" t="str">
        <x:v>Ponts</x:v>
      </x:c>
      <x:c r="D1412" s="115" t="str">
        <x:v>Pont routier à poutres</x:v>
      </x:c>
      <x:c r="E1412" s="115" t="n">
        <x:v>7</x:v>
      </x:c>
      <x:c r="F1412" s="115" t="str">
        <x:v>Inspection physique</x:v>
      </x:c>
      <x:c r="G1412" s="115" t="str">
        <x:v>1 niveaux ; 34 pièces ; 260 segments de mur ; 0 transitions. Inspection physique ; architecture complète encore ouverte.</x:v>
      </x:c>
      <x:c r="H1412" s="115" t="str">
        <x:v>L 620 ; l 800 ; hauteur 8,44 m ; choix de composition auteur ; dimensions réelles à documenter</x:v>
      </x:c>
      <x:c r="I1412" s="115" t="str">
        <x:v>À équilibrer</x:v>
      </x:c>
      <x:c r="J1412" s="115" t="str">
        <x:v>Non</x:v>
      </x:c>
      <x:c r="K1412" s="115" t="str">
        <x:v>Pièces décrites, murs, portes, niveaux et mobilier inspectables à l’échelle. Volumes réservés, raccord au seed, butin, rencontres et services de campagne restent à terminer.</x:v>
      </x:c>
    </x:row>
    <x:row r="1413" ht="96" customHeight="1">
      <x:c r="A1413" s="115" t="str">
        <x:v>EXT-MONDE-T029-V08</x:v>
      </x:c>
      <x:c r="B1413" s="115" t="str">
        <x:v>EXT-MONDE-T029</x:v>
      </x:c>
      <x:c r="C1413" s="115" t="str">
        <x:v>Ponts</x:v>
      </x:c>
      <x:c r="D1413" s="115" t="str">
        <x:v>Pont routier à poutres</x:v>
      </x:c>
      <x:c r="E1413" s="115" t="n">
        <x:v>8</x:v>
      </x:c>
      <x:c r="F1413" s="115" t="str">
        <x:v>Inspection physique</x:v>
      </x:c>
      <x:c r="G1413" s="115" t="str">
        <x:v>1 niveaux ; 34 pièces ; 260 segments de mur ; 0 transitions. Inspection physique ; architecture complète encore ouverte.</x:v>
      </x:c>
      <x:c r="H1413" s="115" t="str">
        <x:v>L 620 ; l 800 ; hauteur 8,48 m ; choix de composition auteur ; dimensions réelles à documenter</x:v>
      </x:c>
      <x:c r="I1413" s="115" t="str">
        <x:v>À équilibrer</x:v>
      </x:c>
      <x:c r="J1413" s="115" t="str">
        <x:v>Non</x:v>
      </x:c>
      <x:c r="K1413" s="115" t="str">
        <x:v>Pièces décrites, murs, portes, niveaux et mobilier inspectables à l’échelle. Volumes réservés, raccord au seed, butin, rencontres et services de campagne restent à terminer.</x:v>
      </x:c>
    </x:row>
    <x:row r="1414" ht="96" customHeight="1">
      <x:c r="A1414" s="115" t="str">
        <x:v>EXT-MONDE-T029-V09</x:v>
      </x:c>
      <x:c r="B1414" s="115" t="str">
        <x:v>EXT-MONDE-T029</x:v>
      </x:c>
      <x:c r="C1414" s="115" t="str">
        <x:v>Ponts</x:v>
      </x:c>
      <x:c r="D1414" s="115" t="str">
        <x:v>Pont routier à poutres</x:v>
      </x:c>
      <x:c r="E1414" s="115" t="n">
        <x:v>9</x:v>
      </x:c>
      <x:c r="F1414" s="115" t="str">
        <x:v>Inspection physique</x:v>
      </x:c>
      <x:c r="G1414" s="115" t="str">
        <x:v>1 niveaux ; 34 pièces ; 260 segments de mur ; 0 transitions. Inspection physique ; architecture complète encore ouverte.</x:v>
      </x:c>
      <x:c r="H1414" s="115" t="str">
        <x:v>L 620 ; l 800 ; hauteur 8,52 m ; choix de composition auteur ; dimensions réelles à documenter</x:v>
      </x:c>
      <x:c r="I1414" s="115" t="str">
        <x:v>À équilibrer</x:v>
      </x:c>
      <x:c r="J1414" s="115" t="str">
        <x:v>Non</x:v>
      </x:c>
      <x:c r="K1414" s="115" t="str">
        <x:v>Pièces décrites, murs, portes, niveaux et mobilier inspectables à l’échelle. Volumes réservés, raccord au seed, butin, rencontres et services de campagne restent à terminer.</x:v>
      </x:c>
    </x:row>
    <x:row r="1415" ht="96" customHeight="1">
      <x:c r="A1415" s="115" t="str">
        <x:v>EXT-MONDE-T029-V10</x:v>
      </x:c>
      <x:c r="B1415" s="115" t="str">
        <x:v>EXT-MONDE-T029</x:v>
      </x:c>
      <x:c r="C1415" s="115" t="str">
        <x:v>Ponts</x:v>
      </x:c>
      <x:c r="D1415" s="115" t="str">
        <x:v>Pont routier à poutres</x:v>
      </x:c>
      <x:c r="E1415" s="115" t="n">
        <x:v>10</x:v>
      </x:c>
      <x:c r="F1415" s="115" t="str">
        <x:v>Inspection physique</x:v>
      </x:c>
      <x:c r="G1415" s="115" t="str">
        <x:v>1 niveaux ; 34 pièces ; 260 segments de mur ; 0 transitions. Inspection physique ; architecture complète encore ouverte.</x:v>
      </x:c>
      <x:c r="H1415" s="115" t="str">
        <x:v>L 620 ; l 800 ; hauteur 8,56 m ; choix de composition auteur ; dimensions réelles à documenter</x:v>
      </x:c>
      <x:c r="I1415" s="115" t="str">
        <x:v>À équilibrer</x:v>
      </x:c>
      <x:c r="J1415" s="115" t="str">
        <x:v>Non</x:v>
      </x:c>
      <x:c r="K1415" s="115" t="str">
        <x:v>Pièces décrites, murs, portes, niveaux et mobilier inspectables à l’échelle. Volumes réservés, raccord au seed, butin, rencontres et services de campagne restent à terminer.</x:v>
      </x:c>
    </x:row>
    <x:row r="1416" ht="96" customHeight="1">
      <x:c r="A1416" s="115" t="str">
        <x:v>EXT-MONDE-T029-V11</x:v>
      </x:c>
      <x:c r="B1416" s="115" t="str">
        <x:v>EXT-MONDE-T029</x:v>
      </x:c>
      <x:c r="C1416" s="115" t="str">
        <x:v>Ponts</x:v>
      </x:c>
      <x:c r="D1416" s="115" t="str">
        <x:v>Pont routier à poutres</x:v>
      </x:c>
      <x:c r="E1416" s="115" t="n">
        <x:v>11</x:v>
      </x:c>
      <x:c r="F1416" s="115" t="str">
        <x:v>Inspection physique</x:v>
      </x:c>
      <x:c r="G1416" s="115" t="str">
        <x:v>1 niveaux ; 34 pièces ; 260 segments de mur ; 0 transitions. Inspection physique ; architecture complète encore ouverte.</x:v>
      </x:c>
      <x:c r="H1416" s="115" t="str">
        <x:v>L 700 ; l 960 ; hauteur 8,2 m ; choix de composition auteur ; dimensions réelles à documenter</x:v>
      </x:c>
      <x:c r="I1416" s="115" t="str">
        <x:v>À équilibrer</x:v>
      </x:c>
      <x:c r="J1416" s="115" t="str">
        <x:v>Non</x:v>
      </x:c>
      <x:c r="K1416" s="115" t="str">
        <x:v>Pièces décrites, murs, portes, niveaux et mobilier inspectables à l’échelle. Volumes réservés, raccord au seed, butin, rencontres et services de campagne restent à terminer.</x:v>
      </x:c>
    </x:row>
    <x:row r="1417" ht="96" customHeight="1">
      <x:c r="A1417" s="115" t="str">
        <x:v>EXT-MONDE-T029-V12</x:v>
      </x:c>
      <x:c r="B1417" s="115" t="str">
        <x:v>EXT-MONDE-T029</x:v>
      </x:c>
      <x:c r="C1417" s="115" t="str">
        <x:v>Ponts</x:v>
      </x:c>
      <x:c r="D1417" s="115" t="str">
        <x:v>Pont routier à poutres</x:v>
      </x:c>
      <x:c r="E1417" s="115" t="n">
        <x:v>12</x:v>
      </x:c>
      <x:c r="F1417" s="115" t="str">
        <x:v>Inspection physique</x:v>
      </x:c>
      <x:c r="G1417" s="115" t="str">
        <x:v>1 niveaux ; 34 pièces ; 260 segments de mur ; 0 transitions. Inspection physique ; architecture complète encore ouverte.</x:v>
      </x:c>
      <x:c r="H1417" s="115" t="str">
        <x:v>L 700 ; l 960 ; hauteur 8,24 m ; choix de composition auteur ; dimensions réelles à documenter</x:v>
      </x:c>
      <x:c r="I1417" s="115" t="str">
        <x:v>À équilibrer</x:v>
      </x:c>
      <x:c r="J1417" s="115" t="str">
        <x:v>Non</x:v>
      </x:c>
      <x:c r="K1417" s="115" t="str">
        <x:v>Pièces décrites, murs, portes, niveaux et mobilier inspectables à l’échelle. Volumes réservés, raccord au seed, butin, rencontres et services de campagne restent à terminer.</x:v>
      </x:c>
    </x:row>
    <x:row r="1418" ht="96" customHeight="1">
      <x:c r="A1418" s="115" t="str">
        <x:v>EXT-MONDE-T029-V13</x:v>
      </x:c>
      <x:c r="B1418" s="115" t="str">
        <x:v>EXT-MONDE-T029</x:v>
      </x:c>
      <x:c r="C1418" s="115" t="str">
        <x:v>Ponts</x:v>
      </x:c>
      <x:c r="D1418" s="115" t="str">
        <x:v>Pont routier à poutres</x:v>
      </x:c>
      <x:c r="E1418" s="115" t="n">
        <x:v>13</x:v>
      </x:c>
      <x:c r="F1418" s="115" t="str">
        <x:v>Inspection physique</x:v>
      </x:c>
      <x:c r="G1418" s="115" t="str">
        <x:v>1 niveaux ; 34 pièces ; 260 segments de mur ; 0 transitions. Inspection physique ; architecture complète encore ouverte.</x:v>
      </x:c>
      <x:c r="H1418" s="115" t="str">
        <x:v>L 700 ; l 960 ; hauteur 8,28 m ; choix de composition auteur ; dimensions réelles à documenter</x:v>
      </x:c>
      <x:c r="I1418" s="115" t="str">
        <x:v>À équilibrer</x:v>
      </x:c>
      <x:c r="J1418" s="115" t="str">
        <x:v>Non</x:v>
      </x:c>
      <x:c r="K1418" s="115" t="str">
        <x:v>Pièces décrites, murs, portes, niveaux et mobilier inspectables à l’échelle. Volumes réservés, raccord au seed, butin, rencontres et services de campagne restent à terminer.</x:v>
      </x:c>
    </x:row>
    <x:row r="1419" ht="96" customHeight="1">
      <x:c r="A1419" s="115" t="str">
        <x:v>EXT-MONDE-T029-V14</x:v>
      </x:c>
      <x:c r="B1419" s="115" t="str">
        <x:v>EXT-MONDE-T029</x:v>
      </x:c>
      <x:c r="C1419" s="115" t="str">
        <x:v>Ponts</x:v>
      </x:c>
      <x:c r="D1419" s="115" t="str">
        <x:v>Pont routier à poutres</x:v>
      </x:c>
      <x:c r="E1419" s="115" t="n">
        <x:v>14</x:v>
      </x:c>
      <x:c r="F1419" s="115" t="str">
        <x:v>Inspection physique</x:v>
      </x:c>
      <x:c r="G1419" s="115" t="str">
        <x:v>1 niveaux ; 34 pièces ; 260 segments de mur ; 0 transitions. Inspection physique ; architecture complète encore ouverte.</x:v>
      </x:c>
      <x:c r="H1419" s="115" t="str">
        <x:v>L 700 ; l 960 ; hauteur 8,32 m ; choix de composition auteur ; dimensions réelles à documenter</x:v>
      </x:c>
      <x:c r="I1419" s="115" t="str">
        <x:v>À équilibrer</x:v>
      </x:c>
      <x:c r="J1419" s="115" t="str">
        <x:v>Non</x:v>
      </x:c>
      <x:c r="K1419" s="115" t="str">
        <x:v>Pièces décrites, murs, portes, niveaux et mobilier inspectables à l’échelle. Volumes réservés, raccord au seed, butin, rencontres et services de campagne restent à terminer.</x:v>
      </x:c>
    </x:row>
    <x:row r="1420" ht="96" customHeight="1">
      <x:c r="A1420" s="115" t="str">
        <x:v>EXT-MONDE-T029-V15</x:v>
      </x:c>
      <x:c r="B1420" s="115" t="str">
        <x:v>EXT-MONDE-T029</x:v>
      </x:c>
      <x:c r="C1420" s="115" t="str">
        <x:v>Ponts</x:v>
      </x:c>
      <x:c r="D1420" s="115" t="str">
        <x:v>Pont routier à poutres</x:v>
      </x:c>
      <x:c r="E1420" s="115" t="n">
        <x:v>15</x:v>
      </x:c>
      <x:c r="F1420" s="115" t="str">
        <x:v>Inspection physique</x:v>
      </x:c>
      <x:c r="G1420" s="115" t="str">
        <x:v>1 niveaux ; 34 pièces ; 260 segments de mur ; 0 transitions. Inspection physique ; architecture complète encore ouverte.</x:v>
      </x:c>
      <x:c r="H1420" s="115" t="str">
        <x:v>L 700 ; l 960 ; hauteur 8,36 m ; choix de composition auteur ; dimensions réelles à documenter</x:v>
      </x:c>
      <x:c r="I1420" s="115" t="str">
        <x:v>À équilibrer</x:v>
      </x:c>
      <x:c r="J1420" s="115" t="str">
        <x:v>Non</x:v>
      </x:c>
      <x:c r="K1420" s="115" t="str">
        <x:v>Pièces décrites, murs, portes, niveaux et mobilier inspectables à l’échelle. Volumes réservés, raccord au seed, butin, rencontres et services de campagne restent à terminer.</x:v>
      </x:c>
    </x:row>
    <x:row r="1421" ht="96" customHeight="1">
      <x:c r="A1421" s="115" t="str">
        <x:v>EXT-MONDE-T029-V16</x:v>
      </x:c>
      <x:c r="B1421" s="115" t="str">
        <x:v>EXT-MONDE-T029</x:v>
      </x:c>
      <x:c r="C1421" s="115" t="str">
        <x:v>Ponts</x:v>
      </x:c>
      <x:c r="D1421" s="115" t="str">
        <x:v>Pont routier à poutres</x:v>
      </x:c>
      <x:c r="E1421" s="115" t="n">
        <x:v>16</x:v>
      </x:c>
      <x:c r="F1421" s="115" t="str">
        <x:v>Inspection physique</x:v>
      </x:c>
      <x:c r="G1421" s="115" t="str">
        <x:v>1 niveaux ; 34 pièces ; 260 segments de mur ; 0 transitions. Inspection physique ; architecture complète encore ouverte.</x:v>
      </x:c>
      <x:c r="H1421" s="115" t="str">
        <x:v>L 700 ; l 960 ; hauteur 8,4 m ; choix de composition auteur ; dimensions réelles à documenter</x:v>
      </x:c>
      <x:c r="I1421" s="115" t="str">
        <x:v>À équilibrer</x:v>
      </x:c>
      <x:c r="J1421" s="115" t="str">
        <x:v>Non</x:v>
      </x:c>
      <x:c r="K1421" s="115" t="str">
        <x:v>Pièces décrites, murs, portes, niveaux et mobilier inspectables à l’échelle. Volumes réservés, raccord au seed, butin, rencontres et services de campagne restent à terminer.</x:v>
      </x:c>
    </x:row>
    <x:row r="1422" ht="96" customHeight="1">
      <x:c r="A1422" s="115" t="str">
        <x:v>EXT-MONDE-T029-V17</x:v>
      </x:c>
      <x:c r="B1422" s="115" t="str">
        <x:v>EXT-MONDE-T029</x:v>
      </x:c>
      <x:c r="C1422" s="115" t="str">
        <x:v>Ponts</x:v>
      </x:c>
      <x:c r="D1422" s="115" t="str">
        <x:v>Pont routier à poutres</x:v>
      </x:c>
      <x:c r="E1422" s="115" t="n">
        <x:v>17</x:v>
      </x:c>
      <x:c r="F1422" s="115" t="str">
        <x:v>Inspection physique</x:v>
      </x:c>
      <x:c r="G1422" s="115" t="str">
        <x:v>1 niveaux ; 34 pièces ; 260 segments de mur ; 0 transitions. Inspection physique ; architecture complète encore ouverte.</x:v>
      </x:c>
      <x:c r="H1422" s="115" t="str">
        <x:v>L 700 ; l 960 ; hauteur 8,44 m ; choix de composition auteur ; dimensions réelles à documenter</x:v>
      </x:c>
      <x:c r="I1422" s="115" t="str">
        <x:v>À équilibrer</x:v>
      </x:c>
      <x:c r="J1422" s="115" t="str">
        <x:v>Non</x:v>
      </x:c>
      <x:c r="K1422" s="115" t="str">
        <x:v>Pièces décrites, murs, portes, niveaux et mobilier inspectables à l’échelle. Volumes réservés, raccord au seed, butin, rencontres et services de campagne restent à terminer.</x:v>
      </x:c>
    </x:row>
    <x:row r="1423" ht="96" customHeight="1">
      <x:c r="A1423" s="115" t="str">
        <x:v>EXT-MONDE-T029-V18</x:v>
      </x:c>
      <x:c r="B1423" s="115" t="str">
        <x:v>EXT-MONDE-T029</x:v>
      </x:c>
      <x:c r="C1423" s="115" t="str">
        <x:v>Ponts</x:v>
      </x:c>
      <x:c r="D1423" s="115" t="str">
        <x:v>Pont routier à poutres</x:v>
      </x:c>
      <x:c r="E1423" s="115" t="n">
        <x:v>18</x:v>
      </x:c>
      <x:c r="F1423" s="115" t="str">
        <x:v>Inspection physique</x:v>
      </x:c>
      <x:c r="G1423" s="115" t="str">
        <x:v>1 niveaux ; 34 pièces ; 260 segments de mur ; 0 transitions. Inspection physique ; architecture complète encore ouverte.</x:v>
      </x:c>
      <x:c r="H1423" s="115" t="str">
        <x:v>L 700 ; l 960 ; hauteur 8,48 m ; choix de composition auteur ; dimensions réelles à documenter</x:v>
      </x:c>
      <x:c r="I1423" s="115" t="str">
        <x:v>À équilibrer</x:v>
      </x:c>
      <x:c r="J1423" s="115" t="str">
        <x:v>Non</x:v>
      </x:c>
      <x:c r="K1423" s="115" t="str">
        <x:v>Pièces décrites, murs, portes, niveaux et mobilier inspectables à l’échelle. Volumes réservés, raccord au seed, butin, rencontres et services de campagne restent à terminer.</x:v>
      </x:c>
    </x:row>
    <x:row r="1424" ht="96" customHeight="1">
      <x:c r="A1424" s="115" t="str">
        <x:v>EXT-MONDE-T029-V19</x:v>
      </x:c>
      <x:c r="B1424" s="115" t="str">
        <x:v>EXT-MONDE-T029</x:v>
      </x:c>
      <x:c r="C1424" s="115" t="str">
        <x:v>Ponts</x:v>
      </x:c>
      <x:c r="D1424" s="115" t="str">
        <x:v>Pont routier à poutres</x:v>
      </x:c>
      <x:c r="E1424" s="115" t="n">
        <x:v>19</x:v>
      </x:c>
      <x:c r="F1424" s="115" t="str">
        <x:v>Inspection physique</x:v>
      </x:c>
      <x:c r="G1424" s="115" t="str">
        <x:v>1 niveaux ; 34 pièces ; 260 segments de mur ; 0 transitions. Inspection physique ; architecture complète encore ouverte.</x:v>
      </x:c>
      <x:c r="H1424" s="115" t="str">
        <x:v>L 700 ; l 960 ; hauteur 8,52 m ; choix de composition auteur ; dimensions réelles à documenter</x:v>
      </x:c>
      <x:c r="I1424" s="115" t="str">
        <x:v>À équilibrer</x:v>
      </x:c>
      <x:c r="J1424" s="115" t="str">
        <x:v>Non</x:v>
      </x:c>
      <x:c r="K1424" s="115" t="str">
        <x:v>Pièces décrites, murs, portes, niveaux et mobilier inspectables à l’échelle. Volumes réservés, raccord au seed, butin, rencontres et services de campagne restent à terminer.</x:v>
      </x:c>
    </x:row>
    <x:row r="1425" ht="96" customHeight="1">
      <x:c r="A1425" s="115" t="str">
        <x:v>EXT-MONDE-T029-V20</x:v>
      </x:c>
      <x:c r="B1425" s="115" t="str">
        <x:v>EXT-MONDE-T029</x:v>
      </x:c>
      <x:c r="C1425" s="115" t="str">
        <x:v>Ponts</x:v>
      </x:c>
      <x:c r="D1425" s="115" t="str">
        <x:v>Pont routier à poutres</x:v>
      </x:c>
      <x:c r="E1425" s="115" t="n">
        <x:v>20</x:v>
      </x:c>
      <x:c r="F1425" s="115" t="str">
        <x:v>Inspection physique</x:v>
      </x:c>
      <x:c r="G1425" s="115" t="str">
        <x:v>1 niveaux ; 34 pièces ; 260 segments de mur ; 0 transitions. Inspection physique ; architecture complète encore ouverte.</x:v>
      </x:c>
      <x:c r="H1425" s="115" t="str">
        <x:v>L 700 ; l 960 ; hauteur 8,56 m ; choix de composition auteur ; dimensions réelles à documenter</x:v>
      </x:c>
      <x:c r="I1425" s="115" t="str">
        <x:v>À équilibrer</x:v>
      </x:c>
      <x:c r="J1425" s="115" t="str">
        <x:v>Non</x:v>
      </x:c>
      <x:c r="K1425" s="115" t="str">
        <x:v>Pièces décrites, murs, portes, niveaux et mobilier inspectables à l’échelle. Volumes réservés, raccord au seed, butin, rencontres et services de campagne restent à terminer.</x:v>
      </x:c>
    </x:row>
    <x:row r="1426" ht="96" customHeight="1">
      <x:c r="A1426" s="115" t="str">
        <x:v>EXT-MONDE-T029-V21</x:v>
      </x:c>
      <x:c r="B1426" s="115" t="str">
        <x:v>EXT-MONDE-T029</x:v>
      </x:c>
      <x:c r="C1426" s="115" t="str">
        <x:v>Ponts</x:v>
      </x:c>
      <x:c r="D1426" s="115" t="str">
        <x:v>Pont routier à poutres</x:v>
      </x:c>
      <x:c r="E1426" s="115" t="n">
        <x:v>21</x:v>
      </x:c>
      <x:c r="F1426" s="115" t="str">
        <x:v>Inspection physique</x:v>
      </x:c>
      <x:c r="G1426" s="115" t="str">
        <x:v>1 niveaux ; 34 pièces ; 260 segments de mur ; 0 transitions. Inspection physique ; architecture complète encore ouverte.</x:v>
      </x:c>
      <x:c r="H1426" s="115" t="str">
        <x:v>L 780 ; l 1120 ; hauteur 8,2 m ; choix de composition auteur ; dimensions réelles à documenter</x:v>
      </x:c>
      <x:c r="I1426" s="115" t="str">
        <x:v>À équilibrer</x:v>
      </x:c>
      <x:c r="J1426" s="115" t="str">
        <x:v>Non</x:v>
      </x:c>
      <x:c r="K1426" s="115" t="str">
        <x:v>Pièces décrites, murs, portes, niveaux et mobilier inspectables à l’échelle. Volumes réservés, raccord au seed, butin, rencontres et services de campagne restent à terminer.</x:v>
      </x:c>
    </x:row>
    <x:row r="1427" ht="96" customHeight="1">
      <x:c r="A1427" s="115" t="str">
        <x:v>EXT-MONDE-T029-V22</x:v>
      </x:c>
      <x:c r="B1427" s="115" t="str">
        <x:v>EXT-MONDE-T029</x:v>
      </x:c>
      <x:c r="C1427" s="115" t="str">
        <x:v>Ponts</x:v>
      </x:c>
      <x:c r="D1427" s="115" t="str">
        <x:v>Pont routier à poutres</x:v>
      </x:c>
      <x:c r="E1427" s="115" t="n">
        <x:v>22</x:v>
      </x:c>
      <x:c r="F1427" s="115" t="str">
        <x:v>Inspection physique</x:v>
      </x:c>
      <x:c r="G1427" s="115" t="str">
        <x:v>1 niveaux ; 34 pièces ; 260 segments de mur ; 0 transitions. Inspection physique ; architecture complète encore ouverte.</x:v>
      </x:c>
      <x:c r="H1427" s="115" t="str">
        <x:v>L 780 ; l 1120 ; hauteur 8,24 m ; choix de composition auteur ; dimensions réelles à documenter</x:v>
      </x:c>
      <x:c r="I1427" s="115" t="str">
        <x:v>À équilibrer</x:v>
      </x:c>
      <x:c r="J1427" s="115" t="str">
        <x:v>Non</x:v>
      </x:c>
      <x:c r="K1427" s="115" t="str">
        <x:v>Pièces décrites, murs, portes, niveaux et mobilier inspectables à l’échelle. Volumes réservés, raccord au seed, butin, rencontres et services de campagne restent à terminer.</x:v>
      </x:c>
    </x:row>
    <x:row r="1428" ht="96" customHeight="1">
      <x:c r="A1428" s="115" t="str">
        <x:v>EXT-MONDE-T029-V23</x:v>
      </x:c>
      <x:c r="B1428" s="115" t="str">
        <x:v>EXT-MONDE-T029</x:v>
      </x:c>
      <x:c r="C1428" s="115" t="str">
        <x:v>Ponts</x:v>
      </x:c>
      <x:c r="D1428" s="115" t="str">
        <x:v>Pont routier à poutres</x:v>
      </x:c>
      <x:c r="E1428" s="115" t="n">
        <x:v>23</x:v>
      </x:c>
      <x:c r="F1428" s="115" t="str">
        <x:v>Inspection physique</x:v>
      </x:c>
      <x:c r="G1428" s="115" t="str">
        <x:v>1 niveaux ; 34 pièces ; 260 segments de mur ; 0 transitions. Inspection physique ; architecture complète encore ouverte.</x:v>
      </x:c>
      <x:c r="H1428" s="115" t="str">
        <x:v>L 780 ; l 1120 ; hauteur 8,28 m ; choix de composition auteur ; dimensions réelles à documenter</x:v>
      </x:c>
      <x:c r="I1428" s="115" t="str">
        <x:v>À équilibrer</x:v>
      </x:c>
      <x:c r="J1428" s="115" t="str">
        <x:v>Non</x:v>
      </x:c>
      <x:c r="K1428" s="115" t="str">
        <x:v>Pièces décrites, murs, portes, niveaux et mobilier inspectables à l’échelle. Volumes réservés, raccord au seed, butin, rencontres et services de campagne restent à terminer.</x:v>
      </x:c>
    </x:row>
    <x:row r="1429" ht="96" customHeight="1">
      <x:c r="A1429" s="115" t="str">
        <x:v>EXT-MONDE-T029-V24</x:v>
      </x:c>
      <x:c r="B1429" s="115" t="str">
        <x:v>EXT-MONDE-T029</x:v>
      </x:c>
      <x:c r="C1429" s="115" t="str">
        <x:v>Ponts</x:v>
      </x:c>
      <x:c r="D1429" s="115" t="str">
        <x:v>Pont routier à poutres</x:v>
      </x:c>
      <x:c r="E1429" s="115" t="n">
        <x:v>24</x:v>
      </x:c>
      <x:c r="F1429" s="115" t="str">
        <x:v>Inspection physique</x:v>
      </x:c>
      <x:c r="G1429" s="115" t="str">
        <x:v>1 niveaux ; 34 pièces ; 260 segments de mur ; 0 transitions. Inspection physique ; architecture complète encore ouverte.</x:v>
      </x:c>
      <x:c r="H1429" s="115" t="str">
        <x:v>L 780 ; l 1120 ; hauteur 8,32 m ; choix de composition auteur ; dimensions réelles à documenter</x:v>
      </x:c>
      <x:c r="I1429" s="115" t="str">
        <x:v>À équilibrer</x:v>
      </x:c>
      <x:c r="J1429" s="115" t="str">
        <x:v>Non</x:v>
      </x:c>
      <x:c r="K1429" s="115" t="str">
        <x:v>Pièces décrites, murs, portes, niveaux et mobilier inspectables à l’échelle. Volumes réservés, raccord au seed, butin, rencontres et services de campagne restent à terminer.</x:v>
      </x:c>
    </x:row>
    <x:row r="1430" ht="96" customHeight="1">
      <x:c r="A1430" s="115" t="str">
        <x:v>EXT-MONDE-T029-V25</x:v>
      </x:c>
      <x:c r="B1430" s="115" t="str">
        <x:v>EXT-MONDE-T029</x:v>
      </x:c>
      <x:c r="C1430" s="115" t="str">
        <x:v>Ponts</x:v>
      </x:c>
      <x:c r="D1430" s="115" t="str">
        <x:v>Pont routier à poutres</x:v>
      </x:c>
      <x:c r="E1430" s="115" t="n">
        <x:v>25</x:v>
      </x:c>
      <x:c r="F1430" s="115" t="str">
        <x:v>Inspection physique</x:v>
      </x:c>
      <x:c r="G1430" s="115" t="str">
        <x:v>1 niveaux ; 34 pièces ; 260 segments de mur ; 0 transitions. Inspection physique ; architecture complète encore ouverte.</x:v>
      </x:c>
      <x:c r="H1430" s="115" t="str">
        <x:v>L 780 ; l 1120 ; hauteur 8,36 m ; choix de composition auteur ; dimensions réelles à documenter</x:v>
      </x:c>
      <x:c r="I1430" s="115" t="str">
        <x:v>À équilibrer</x:v>
      </x:c>
      <x:c r="J1430" s="115" t="str">
        <x:v>Non</x:v>
      </x:c>
      <x:c r="K1430" s="115" t="str">
        <x:v>Pièces décrites, murs, portes, niveaux et mobilier inspectables à l’échelle. Volumes réservés, raccord au seed, butin, rencontres et services de campagne restent à terminer.</x:v>
      </x:c>
    </x:row>
    <x:row r="1431" ht="96" customHeight="1">
      <x:c r="A1431" s="115" t="str">
        <x:v>EXT-MONDE-T029-V26</x:v>
      </x:c>
      <x:c r="B1431" s="115" t="str">
        <x:v>EXT-MONDE-T029</x:v>
      </x:c>
      <x:c r="C1431" s="115" t="str">
        <x:v>Ponts</x:v>
      </x:c>
      <x:c r="D1431" s="115" t="str">
        <x:v>Pont routier à poutres</x:v>
      </x:c>
      <x:c r="E1431" s="115" t="n">
        <x:v>26</x:v>
      </x:c>
      <x:c r="F1431" s="115" t="str">
        <x:v>Inspection physique</x:v>
      </x:c>
      <x:c r="G1431" s="115" t="str">
        <x:v>1 niveaux ; 34 pièces ; 260 segments de mur ; 0 transitions. Inspection physique ; architecture complète encore ouverte.</x:v>
      </x:c>
      <x:c r="H1431" s="115" t="str">
        <x:v>L 780 ; l 1120 ; hauteur 8,4 m ; choix de composition auteur ; dimensions réelles à documenter</x:v>
      </x:c>
      <x:c r="I1431" s="115" t="str">
        <x:v>À équilibrer</x:v>
      </x:c>
      <x:c r="J1431" s="115" t="str">
        <x:v>Non</x:v>
      </x:c>
      <x:c r="K1431" s="115" t="str">
        <x:v>Pièces décrites, murs, portes, niveaux et mobilier inspectables à l’échelle. Volumes réservés, raccord au seed, butin, rencontres et services de campagne restent à terminer.</x:v>
      </x:c>
    </x:row>
    <x:row r="1432" ht="96" customHeight="1">
      <x:c r="A1432" s="115" t="str">
        <x:v>EXT-MONDE-T029-V27</x:v>
      </x:c>
      <x:c r="B1432" s="115" t="str">
        <x:v>EXT-MONDE-T029</x:v>
      </x:c>
      <x:c r="C1432" s="115" t="str">
        <x:v>Ponts</x:v>
      </x:c>
      <x:c r="D1432" s="115" t="str">
        <x:v>Pont routier à poutres</x:v>
      </x:c>
      <x:c r="E1432" s="115" t="n">
        <x:v>27</x:v>
      </x:c>
      <x:c r="F1432" s="115" t="str">
        <x:v>Inspection physique</x:v>
      </x:c>
      <x:c r="G1432" s="115" t="str">
        <x:v>1 niveaux ; 34 pièces ; 260 segments de mur ; 0 transitions. Inspection physique ; architecture complète encore ouverte.</x:v>
      </x:c>
      <x:c r="H1432" s="115" t="str">
        <x:v>L 780 ; l 1120 ; hauteur 8,44 m ; choix de composition auteur ; dimensions réelles à documenter</x:v>
      </x:c>
      <x:c r="I1432" s="115" t="str">
        <x:v>À équilibrer</x:v>
      </x:c>
      <x:c r="J1432" s="115" t="str">
        <x:v>Non</x:v>
      </x:c>
      <x:c r="K1432" s="115" t="str">
        <x:v>Pièces décrites, murs, portes, niveaux et mobilier inspectables à l’échelle. Volumes réservés, raccord au seed, butin, rencontres et services de campagne restent à terminer.</x:v>
      </x:c>
    </x:row>
    <x:row r="1433" ht="96" customHeight="1">
      <x:c r="A1433" s="115" t="str">
        <x:v>EXT-MONDE-T029-V28</x:v>
      </x:c>
      <x:c r="B1433" s="115" t="str">
        <x:v>EXT-MONDE-T029</x:v>
      </x:c>
      <x:c r="C1433" s="115" t="str">
        <x:v>Ponts</x:v>
      </x:c>
      <x:c r="D1433" s="115" t="str">
        <x:v>Pont routier à poutres</x:v>
      </x:c>
      <x:c r="E1433" s="115" t="n">
        <x:v>28</x:v>
      </x:c>
      <x:c r="F1433" s="115" t="str">
        <x:v>Inspection physique</x:v>
      </x:c>
      <x:c r="G1433" s="115" t="str">
        <x:v>1 niveaux ; 34 pièces ; 260 segments de mur ; 0 transitions. Inspection physique ; architecture complète encore ouverte.</x:v>
      </x:c>
      <x:c r="H1433" s="115" t="str">
        <x:v>L 780 ; l 1120 ; hauteur 8,48 m ; choix de composition auteur ; dimensions réelles à documenter</x:v>
      </x:c>
      <x:c r="I1433" s="115" t="str">
        <x:v>À équilibrer</x:v>
      </x:c>
      <x:c r="J1433" s="115" t="str">
        <x:v>Non</x:v>
      </x:c>
      <x:c r="K1433" s="115" t="str">
        <x:v>Pièces décrites, murs, portes, niveaux et mobilier inspectables à l’échelle. Volumes réservés, raccord au seed, butin, rencontres et services de campagne restent à terminer.</x:v>
      </x:c>
    </x:row>
    <x:row r="1434" ht="96" customHeight="1">
      <x:c r="A1434" s="115" t="str">
        <x:v>EXT-MONDE-T029-V29</x:v>
      </x:c>
      <x:c r="B1434" s="115" t="str">
        <x:v>EXT-MONDE-T029</x:v>
      </x:c>
      <x:c r="C1434" s="115" t="str">
        <x:v>Ponts</x:v>
      </x:c>
      <x:c r="D1434" s="115" t="str">
        <x:v>Pont routier à poutres</x:v>
      </x:c>
      <x:c r="E1434" s="115" t="n">
        <x:v>29</x:v>
      </x:c>
      <x:c r="F1434" s="115" t="str">
        <x:v>Inspection physique</x:v>
      </x:c>
      <x:c r="G1434" s="115" t="str">
        <x:v>1 niveaux ; 34 pièces ; 260 segments de mur ; 0 transitions. Inspection physique ; architecture complète encore ouverte.</x:v>
      </x:c>
      <x:c r="H1434" s="115" t="str">
        <x:v>L 780 ; l 1120 ; hauteur 8,52 m ; choix de composition auteur ; dimensions réelles à documenter</x:v>
      </x:c>
      <x:c r="I1434" s="115" t="str">
        <x:v>À équilibrer</x:v>
      </x:c>
      <x:c r="J1434" s="115" t="str">
        <x:v>Non</x:v>
      </x:c>
      <x:c r="K1434" s="115" t="str">
        <x:v>Pièces décrites, murs, portes, niveaux et mobilier inspectables à l’échelle. Volumes réservés, raccord au seed, butin, rencontres et services de campagne restent à terminer.</x:v>
      </x:c>
    </x:row>
    <x:row r="1435" ht="96" customHeight="1">
      <x:c r="A1435" s="115" t="str">
        <x:v>EXT-MONDE-T029-V30</x:v>
      </x:c>
      <x:c r="B1435" s="115" t="str">
        <x:v>EXT-MONDE-T029</x:v>
      </x:c>
      <x:c r="C1435" s="115" t="str">
        <x:v>Ponts</x:v>
      </x:c>
      <x:c r="D1435" s="115" t="str">
        <x:v>Pont routier à poutres</x:v>
      </x:c>
      <x:c r="E1435" s="115" t="n">
        <x:v>30</x:v>
      </x:c>
      <x:c r="F1435" s="115" t="str">
        <x:v>Inspection physique</x:v>
      </x:c>
      <x:c r="G1435" s="115" t="str">
        <x:v>1 niveaux ; 34 pièces ; 260 segments de mur ; 0 transitions. Inspection physique ; architecture complète encore ouverte.</x:v>
      </x:c>
      <x:c r="H1435" s="115" t="str">
        <x:v>L 780 ; l 1120 ; hauteur 8,56 m ; choix de composition auteur ; dimensions réelles à documenter</x:v>
      </x:c>
      <x:c r="I1435" s="115" t="str">
        <x:v>À équilibrer</x:v>
      </x:c>
      <x:c r="J1435" s="115" t="str">
        <x:v>Non</x:v>
      </x:c>
      <x:c r="K1435" s="115" t="str">
        <x:v>Pièces décrites, murs, portes, niveaux et mobilier inspectables à l’échelle. Volumes réservés, raccord au seed, butin, rencontres et services de campagne restent à terminer.</x:v>
      </x:c>
    </x:row>
    <x:row r="1436" ht="96" customHeight="1">
      <x:c r="A1436" s="115" t="str">
        <x:v>EXT-MONDE-T029-V31</x:v>
      </x:c>
      <x:c r="B1436" s="115" t="str">
        <x:v>EXT-MONDE-T029</x:v>
      </x:c>
      <x:c r="C1436" s="115" t="str">
        <x:v>Ponts</x:v>
      </x:c>
      <x:c r="D1436" s="115" t="str">
        <x:v>Pont routier à poutres</x:v>
      </x:c>
      <x:c r="E1436" s="115" t="n">
        <x:v>31</x:v>
      </x:c>
      <x:c r="F1436" s="115" t="str">
        <x:v>Inspection physique</x:v>
      </x:c>
      <x:c r="G1436" s="115" t="str">
        <x:v>1 niveaux ; 34 pièces ; 260 segments de mur ; 0 transitions. Inspection physique ; architecture complète encore ouverte.</x:v>
      </x:c>
      <x:c r="H1436" s="115" t="str">
        <x:v>L 860 ; l 1280 ; hauteur 8,2 m ; choix de composition auteur ; dimensions réelles à documenter</x:v>
      </x:c>
      <x:c r="I1436" s="115" t="str">
        <x:v>À équilibrer</x:v>
      </x:c>
      <x:c r="J1436" s="115" t="str">
        <x:v>Non</x:v>
      </x:c>
      <x:c r="K1436" s="115" t="str">
        <x:v>Pièces décrites, murs, portes, niveaux et mobilier inspectables à l’échelle. Volumes réservés, raccord au seed, butin, rencontres et services de campagne restent à terminer.</x:v>
      </x:c>
    </x:row>
    <x:row r="1437" ht="96" customHeight="1">
      <x:c r="A1437" s="115" t="str">
        <x:v>EXT-MONDE-T029-V32</x:v>
      </x:c>
      <x:c r="B1437" s="115" t="str">
        <x:v>EXT-MONDE-T029</x:v>
      </x:c>
      <x:c r="C1437" s="115" t="str">
        <x:v>Ponts</x:v>
      </x:c>
      <x:c r="D1437" s="115" t="str">
        <x:v>Pont routier à poutres</x:v>
      </x:c>
      <x:c r="E1437" s="115" t="n">
        <x:v>32</x:v>
      </x:c>
      <x:c r="F1437" s="115" t="str">
        <x:v>Inspection physique</x:v>
      </x:c>
      <x:c r="G1437" s="115" t="str">
        <x:v>1 niveaux ; 34 pièces ; 260 segments de mur ; 0 transitions. Inspection physique ; architecture complète encore ouverte.</x:v>
      </x:c>
      <x:c r="H1437" s="115" t="str">
        <x:v>L 860 ; l 1280 ; hauteur 8,24 m ; choix de composition auteur ; dimensions réelles à documenter</x:v>
      </x:c>
      <x:c r="I1437" s="115" t="str">
        <x:v>À équilibrer</x:v>
      </x:c>
      <x:c r="J1437" s="115" t="str">
        <x:v>Non</x:v>
      </x:c>
      <x:c r="K1437" s="115" t="str">
        <x:v>Pièces décrites, murs, portes, niveaux et mobilier inspectables à l’échelle. Volumes réservés, raccord au seed, butin, rencontres et services de campagne restent à terminer.</x:v>
      </x:c>
    </x:row>
    <x:row r="1438" ht="96" customHeight="1">
      <x:c r="A1438" s="115" t="str">
        <x:v>EXT-MONDE-T029-V33</x:v>
      </x:c>
      <x:c r="B1438" s="115" t="str">
        <x:v>EXT-MONDE-T029</x:v>
      </x:c>
      <x:c r="C1438" s="115" t="str">
        <x:v>Ponts</x:v>
      </x:c>
      <x:c r="D1438" s="115" t="str">
        <x:v>Pont routier à poutres</x:v>
      </x:c>
      <x:c r="E1438" s="115" t="n">
        <x:v>33</x:v>
      </x:c>
      <x:c r="F1438" s="115" t="str">
        <x:v>Inspection physique</x:v>
      </x:c>
      <x:c r="G1438" s="115" t="str">
        <x:v>1 niveaux ; 34 pièces ; 260 segments de mur ; 0 transitions. Inspection physique ; architecture complète encore ouverte.</x:v>
      </x:c>
      <x:c r="H1438" s="115" t="str">
        <x:v>L 860 ; l 1280 ; hauteur 8,28 m ; choix de composition auteur ; dimensions réelles à documenter</x:v>
      </x:c>
      <x:c r="I1438" s="115" t="str">
        <x:v>À équilibrer</x:v>
      </x:c>
      <x:c r="J1438" s="115" t="str">
        <x:v>Non</x:v>
      </x:c>
      <x:c r="K1438" s="115" t="str">
        <x:v>Pièces décrites, murs, portes, niveaux et mobilier inspectables à l’échelle. Volumes réservés, raccord au seed, butin, rencontres et services de campagne restent à terminer.</x:v>
      </x:c>
    </x:row>
    <x:row r="1439" ht="96" customHeight="1">
      <x:c r="A1439" s="115" t="str">
        <x:v>EXT-MONDE-T029-V34</x:v>
      </x:c>
      <x:c r="B1439" s="115" t="str">
        <x:v>EXT-MONDE-T029</x:v>
      </x:c>
      <x:c r="C1439" s="115" t="str">
        <x:v>Ponts</x:v>
      </x:c>
      <x:c r="D1439" s="115" t="str">
        <x:v>Pont routier à poutres</x:v>
      </x:c>
      <x:c r="E1439" s="115" t="n">
        <x:v>34</x:v>
      </x:c>
      <x:c r="F1439" s="115" t="str">
        <x:v>Inspection physique</x:v>
      </x:c>
      <x:c r="G1439" s="115" t="str">
        <x:v>1 niveaux ; 34 pièces ; 260 segments de mur ; 0 transitions. Inspection physique ; architecture complète encore ouverte.</x:v>
      </x:c>
      <x:c r="H1439" s="115" t="str">
        <x:v>L 860 ; l 1280 ; hauteur 8,32 m ; choix de composition auteur ; dimensions réelles à documenter</x:v>
      </x:c>
      <x:c r="I1439" s="115" t="str">
        <x:v>À équilibrer</x:v>
      </x:c>
      <x:c r="J1439" s="115" t="str">
        <x:v>Non</x:v>
      </x:c>
      <x:c r="K1439" s="115" t="str">
        <x:v>Pièces décrites, murs, portes, niveaux et mobilier inspectables à l’échelle. Volumes réservés, raccord au seed, butin, rencontres et services de campagne restent à terminer.</x:v>
      </x:c>
    </x:row>
    <x:row r="1440" ht="96" customHeight="1">
      <x:c r="A1440" s="115" t="str">
        <x:v>EXT-MONDE-T029-V35</x:v>
      </x:c>
      <x:c r="B1440" s="115" t="str">
        <x:v>EXT-MONDE-T029</x:v>
      </x:c>
      <x:c r="C1440" s="115" t="str">
        <x:v>Ponts</x:v>
      </x:c>
      <x:c r="D1440" s="115" t="str">
        <x:v>Pont routier à poutres</x:v>
      </x:c>
      <x:c r="E1440" s="115" t="n">
        <x:v>35</x:v>
      </x:c>
      <x:c r="F1440" s="115" t="str">
        <x:v>Inspection physique</x:v>
      </x:c>
      <x:c r="G1440" s="115" t="str">
        <x:v>1 niveaux ; 34 pièces ; 260 segments de mur ; 0 transitions. Inspection physique ; architecture complète encore ouverte.</x:v>
      </x:c>
      <x:c r="H1440" s="115" t="str">
        <x:v>L 860 ; l 1280 ; hauteur 8,36 m ; choix de composition auteur ; dimensions réelles à documenter</x:v>
      </x:c>
      <x:c r="I1440" s="115" t="str">
        <x:v>À équilibrer</x:v>
      </x:c>
      <x:c r="J1440" s="115" t="str">
        <x:v>Non</x:v>
      </x:c>
      <x:c r="K1440" s="115" t="str">
        <x:v>Pièces décrites, murs, portes, niveaux et mobilier inspectables à l’échelle. Volumes réservés, raccord au seed, butin, rencontres et services de campagne restent à terminer.</x:v>
      </x:c>
    </x:row>
    <x:row r="1441" ht="96" customHeight="1">
      <x:c r="A1441" s="115" t="str">
        <x:v>EXT-MONDE-T029-V36</x:v>
      </x:c>
      <x:c r="B1441" s="115" t="str">
        <x:v>EXT-MONDE-T029</x:v>
      </x:c>
      <x:c r="C1441" s="115" t="str">
        <x:v>Ponts</x:v>
      </x:c>
      <x:c r="D1441" s="115" t="str">
        <x:v>Pont routier à poutres</x:v>
      </x:c>
      <x:c r="E1441" s="115" t="n">
        <x:v>36</x:v>
      </x:c>
      <x:c r="F1441" s="115" t="str">
        <x:v>Inspection physique</x:v>
      </x:c>
      <x:c r="G1441" s="115" t="str">
        <x:v>1 niveaux ; 34 pièces ; 260 segments de mur ; 0 transitions. Inspection physique ; architecture complète encore ouverte.</x:v>
      </x:c>
      <x:c r="H1441" s="115" t="str">
        <x:v>L 860 ; l 1280 ; hauteur 8,4 m ; choix de composition auteur ; dimensions réelles à documenter</x:v>
      </x:c>
      <x:c r="I1441" s="115" t="str">
        <x:v>À équilibrer</x:v>
      </x:c>
      <x:c r="J1441" s="115" t="str">
        <x:v>Non</x:v>
      </x:c>
      <x:c r="K1441" s="115" t="str">
        <x:v>Pièces décrites, murs, portes, niveaux et mobilier inspectables à l’échelle. Volumes réservés, raccord au seed, butin, rencontres et services de campagne restent à terminer.</x:v>
      </x:c>
    </x:row>
    <x:row r="1442" ht="96" customHeight="1">
      <x:c r="A1442" s="115" t="str">
        <x:v>EXT-MONDE-T029-V37</x:v>
      </x:c>
      <x:c r="B1442" s="115" t="str">
        <x:v>EXT-MONDE-T029</x:v>
      </x:c>
      <x:c r="C1442" s="115" t="str">
        <x:v>Ponts</x:v>
      </x:c>
      <x:c r="D1442" s="115" t="str">
        <x:v>Pont routier à poutres</x:v>
      </x:c>
      <x:c r="E1442" s="115" t="n">
        <x:v>37</x:v>
      </x:c>
      <x:c r="F1442" s="115" t="str">
        <x:v>Inspection physique</x:v>
      </x:c>
      <x:c r="G1442" s="115" t="str">
        <x:v>1 niveaux ; 34 pièces ; 260 segments de mur ; 0 transitions. Inspection physique ; architecture complète encore ouverte.</x:v>
      </x:c>
      <x:c r="H1442" s="115" t="str">
        <x:v>L 860 ; l 1280 ; hauteur 8,44 m ; choix de composition auteur ; dimensions réelles à documenter</x:v>
      </x:c>
      <x:c r="I1442" s="115" t="str">
        <x:v>À équilibrer</x:v>
      </x:c>
      <x:c r="J1442" s="115" t="str">
        <x:v>Non</x:v>
      </x:c>
      <x:c r="K1442" s="115" t="str">
        <x:v>Pièces décrites, murs, portes, niveaux et mobilier inspectables à l’échelle. Volumes réservés, raccord au seed, butin, rencontres et services de campagne restent à terminer.</x:v>
      </x:c>
    </x:row>
    <x:row r="1443" ht="96" customHeight="1">
      <x:c r="A1443" s="115" t="str">
        <x:v>EXT-MONDE-T029-V38</x:v>
      </x:c>
      <x:c r="B1443" s="115" t="str">
        <x:v>EXT-MONDE-T029</x:v>
      </x:c>
      <x:c r="C1443" s="115" t="str">
        <x:v>Ponts</x:v>
      </x:c>
      <x:c r="D1443" s="115" t="str">
        <x:v>Pont routier à poutres</x:v>
      </x:c>
      <x:c r="E1443" s="115" t="n">
        <x:v>38</x:v>
      </x:c>
      <x:c r="F1443" s="115" t="str">
        <x:v>Inspection physique</x:v>
      </x:c>
      <x:c r="G1443" s="115" t="str">
        <x:v>1 niveaux ; 34 pièces ; 260 segments de mur ; 0 transitions. Inspection physique ; architecture complète encore ouverte.</x:v>
      </x:c>
      <x:c r="H1443" s="115" t="str">
        <x:v>L 860 ; l 1280 ; hauteur 8,48 m ; choix de composition auteur ; dimensions réelles à documenter</x:v>
      </x:c>
      <x:c r="I1443" s="115" t="str">
        <x:v>À équilibrer</x:v>
      </x:c>
      <x:c r="J1443" s="115" t="str">
        <x:v>Non</x:v>
      </x:c>
      <x:c r="K1443" s="115" t="str">
        <x:v>Pièces décrites, murs, portes, niveaux et mobilier inspectables à l’échelle. Volumes réservés, raccord au seed, butin, rencontres et services de campagne restent à terminer.</x:v>
      </x:c>
    </x:row>
    <x:row r="1444" ht="96" customHeight="1">
      <x:c r="A1444" s="115" t="str">
        <x:v>EXT-MONDE-T029-V39</x:v>
      </x:c>
      <x:c r="B1444" s="115" t="str">
        <x:v>EXT-MONDE-T029</x:v>
      </x:c>
      <x:c r="C1444" s="115" t="str">
        <x:v>Ponts</x:v>
      </x:c>
      <x:c r="D1444" s="115" t="str">
        <x:v>Pont routier à poutres</x:v>
      </x:c>
      <x:c r="E1444" s="115" t="n">
        <x:v>39</x:v>
      </x:c>
      <x:c r="F1444" s="115" t="str">
        <x:v>Inspection physique</x:v>
      </x:c>
      <x:c r="G1444" s="115" t="str">
        <x:v>1 niveaux ; 34 pièces ; 260 segments de mur ; 0 transitions. Inspection physique ; architecture complète encore ouverte.</x:v>
      </x:c>
      <x:c r="H1444" s="115" t="str">
        <x:v>L 860 ; l 1280 ; hauteur 8,52 m ; choix de composition auteur ; dimensions réelles à documenter</x:v>
      </x:c>
      <x:c r="I1444" s="115" t="str">
        <x:v>À équilibrer</x:v>
      </x:c>
      <x:c r="J1444" s="115" t="str">
        <x:v>Non</x:v>
      </x:c>
      <x:c r="K1444" s="115" t="str">
        <x:v>Pièces décrites, murs, portes, niveaux et mobilier inspectables à l’échelle. Volumes réservés, raccord au seed, butin, rencontres et services de campagne restent à terminer.</x:v>
      </x:c>
    </x:row>
    <x:row r="1445" ht="96" customHeight="1">
      <x:c r="A1445" s="115" t="str">
        <x:v>EXT-MONDE-T029-V40</x:v>
      </x:c>
      <x:c r="B1445" s="115" t="str">
        <x:v>EXT-MONDE-T029</x:v>
      </x:c>
      <x:c r="C1445" s="115" t="str">
        <x:v>Ponts</x:v>
      </x:c>
      <x:c r="D1445" s="115" t="str">
        <x:v>Pont routier à poutres</x:v>
      </x:c>
      <x:c r="E1445" s="115" t="n">
        <x:v>40</x:v>
      </x:c>
      <x:c r="F1445" s="115" t="str">
        <x:v>Inspection physique</x:v>
      </x:c>
      <x:c r="G1445" s="115" t="str">
        <x:v>1 niveaux ; 34 pièces ; 260 segments de mur ; 0 transitions. Inspection physique ; architecture complète encore ouverte.</x:v>
      </x:c>
      <x:c r="H1445" s="115" t="str">
        <x:v>L 860 ; l 1280 ; hauteur 8,56 m ; choix de composition auteur ; dimensions réelles à documenter</x:v>
      </x:c>
      <x:c r="I1445" s="115" t="str">
        <x:v>À équilibrer</x:v>
      </x:c>
      <x:c r="J1445" s="115" t="str">
        <x:v>Non</x:v>
      </x:c>
      <x:c r="K1445" s="115" t="str">
        <x:v>Pièces décrites, murs, portes, niveaux et mobilier inspectables à l’échelle. Volumes réservés, raccord au seed, butin, rencontres et services de campagne restent à terminer.</x:v>
      </x:c>
    </x:row>
    <x:row r="1446" ht="96" customHeight="1">
      <x:c r="A1446" s="115" t="str">
        <x:v>EXT-MONDE-T029-V41</x:v>
      </x:c>
      <x:c r="B1446" s="115" t="str">
        <x:v>EXT-MONDE-T029</x:v>
      </x:c>
      <x:c r="C1446" s="115" t="str">
        <x:v>Ponts</x:v>
      </x:c>
      <x:c r="D1446" s="115" t="str">
        <x:v>Pont routier à poutres</x:v>
      </x:c>
      <x:c r="E1446" s="115" t="n">
        <x:v>41</x:v>
      </x:c>
      <x:c r="F1446" s="115" t="str">
        <x:v>Inspection physique</x:v>
      </x:c>
      <x:c r="G1446" s="115" t="str">
        <x:v>1 niveaux ; 34 pièces ; 260 segments de mur ; 0 transitions. Inspection physique ; architecture complète encore ouverte.</x:v>
      </x:c>
      <x:c r="H1446" s="115" t="str">
        <x:v>L 940 ; l 1440 ; hauteur 8,2 m ; choix de composition auteur ; dimensions réelles à documenter</x:v>
      </x:c>
      <x:c r="I1446" s="115" t="str">
        <x:v>À équilibrer</x:v>
      </x:c>
      <x:c r="J1446" s="115" t="str">
        <x:v>Non</x:v>
      </x:c>
      <x:c r="K1446" s="115" t="str">
        <x:v>Pièces décrites, murs, portes, niveaux et mobilier inspectables à l’échelle. Volumes réservés, raccord au seed, butin, rencontres et services de campagne restent à terminer.</x:v>
      </x:c>
    </x:row>
    <x:row r="1447" ht="96" customHeight="1">
      <x:c r="A1447" s="115" t="str">
        <x:v>EXT-MONDE-T029-V42</x:v>
      </x:c>
      <x:c r="B1447" s="115" t="str">
        <x:v>EXT-MONDE-T029</x:v>
      </x:c>
      <x:c r="C1447" s="115" t="str">
        <x:v>Ponts</x:v>
      </x:c>
      <x:c r="D1447" s="115" t="str">
        <x:v>Pont routier à poutres</x:v>
      </x:c>
      <x:c r="E1447" s="115" t="n">
        <x:v>42</x:v>
      </x:c>
      <x:c r="F1447" s="115" t="str">
        <x:v>Inspection physique</x:v>
      </x:c>
      <x:c r="G1447" s="115" t="str">
        <x:v>1 niveaux ; 34 pièces ; 260 segments de mur ; 0 transitions. Inspection physique ; architecture complète encore ouverte.</x:v>
      </x:c>
      <x:c r="H1447" s="115" t="str">
        <x:v>L 940 ; l 1440 ; hauteur 8,24 m ; choix de composition auteur ; dimensions réelles à documenter</x:v>
      </x:c>
      <x:c r="I1447" s="115" t="str">
        <x:v>À équilibrer</x:v>
      </x:c>
      <x:c r="J1447" s="115" t="str">
        <x:v>Non</x:v>
      </x:c>
      <x:c r="K1447" s="115" t="str">
        <x:v>Pièces décrites, murs, portes, niveaux et mobilier inspectables à l’échelle. Volumes réservés, raccord au seed, butin, rencontres et services de campagne restent à terminer.</x:v>
      </x:c>
    </x:row>
    <x:row r="1448" ht="96" customHeight="1">
      <x:c r="A1448" s="115" t="str">
        <x:v>EXT-MONDE-T029-V43</x:v>
      </x:c>
      <x:c r="B1448" s="115" t="str">
        <x:v>EXT-MONDE-T029</x:v>
      </x:c>
      <x:c r="C1448" s="115" t="str">
        <x:v>Ponts</x:v>
      </x:c>
      <x:c r="D1448" s="115" t="str">
        <x:v>Pont routier à poutres</x:v>
      </x:c>
      <x:c r="E1448" s="115" t="n">
        <x:v>43</x:v>
      </x:c>
      <x:c r="F1448" s="115" t="str">
        <x:v>Inspection physique</x:v>
      </x:c>
      <x:c r="G1448" s="115" t="str">
        <x:v>1 niveaux ; 34 pièces ; 260 segments de mur ; 0 transitions. Inspection physique ; architecture complète encore ouverte.</x:v>
      </x:c>
      <x:c r="H1448" s="115" t="str">
        <x:v>L 940 ; l 1440 ; hauteur 8,28 m ; choix de composition auteur ; dimensions réelles à documenter</x:v>
      </x:c>
      <x:c r="I1448" s="115" t="str">
        <x:v>À équilibrer</x:v>
      </x:c>
      <x:c r="J1448" s="115" t="str">
        <x:v>Non</x:v>
      </x:c>
      <x:c r="K1448" s="115" t="str">
        <x:v>Pièces décrites, murs, portes, niveaux et mobilier inspectables à l’échelle. Volumes réservés, raccord au seed, butin, rencontres et services de campagne restent à terminer.</x:v>
      </x:c>
    </x:row>
    <x:row r="1449" ht="96" customHeight="1">
      <x:c r="A1449" s="115" t="str">
        <x:v>EXT-MONDE-T029-V44</x:v>
      </x:c>
      <x:c r="B1449" s="115" t="str">
        <x:v>EXT-MONDE-T029</x:v>
      </x:c>
      <x:c r="C1449" s="115" t="str">
        <x:v>Ponts</x:v>
      </x:c>
      <x:c r="D1449" s="115" t="str">
        <x:v>Pont routier à poutres</x:v>
      </x:c>
      <x:c r="E1449" s="115" t="n">
        <x:v>44</x:v>
      </x:c>
      <x:c r="F1449" s="115" t="str">
        <x:v>Inspection physique</x:v>
      </x:c>
      <x:c r="G1449" s="115" t="str">
        <x:v>1 niveaux ; 34 pièces ; 260 segments de mur ; 0 transitions. Inspection physique ; architecture complète encore ouverte.</x:v>
      </x:c>
      <x:c r="H1449" s="115" t="str">
        <x:v>L 940 ; l 1440 ; hauteur 8,32 m ; choix de composition auteur ; dimensions réelles à documenter</x:v>
      </x:c>
      <x:c r="I1449" s="115" t="str">
        <x:v>À équilibrer</x:v>
      </x:c>
      <x:c r="J1449" s="115" t="str">
        <x:v>Non</x:v>
      </x:c>
      <x:c r="K1449" s="115" t="str">
        <x:v>Pièces décrites, murs, portes, niveaux et mobilier inspectables à l’échelle. Volumes réservés, raccord au seed, butin, rencontres et services de campagne restent à terminer.</x:v>
      </x:c>
    </x:row>
    <x:row r="1450" ht="96" customHeight="1">
      <x:c r="A1450" s="115" t="str">
        <x:v>EXT-MONDE-T029-V45</x:v>
      </x:c>
      <x:c r="B1450" s="115" t="str">
        <x:v>EXT-MONDE-T029</x:v>
      </x:c>
      <x:c r="C1450" s="115" t="str">
        <x:v>Ponts</x:v>
      </x:c>
      <x:c r="D1450" s="115" t="str">
        <x:v>Pont routier à poutres</x:v>
      </x:c>
      <x:c r="E1450" s="115" t="n">
        <x:v>45</x:v>
      </x:c>
      <x:c r="F1450" s="115" t="str">
        <x:v>Inspection physique</x:v>
      </x:c>
      <x:c r="G1450" s="115" t="str">
        <x:v>1 niveaux ; 34 pièces ; 260 segments de mur ; 0 transitions. Inspection physique ; architecture complète encore ouverte.</x:v>
      </x:c>
      <x:c r="H1450" s="115" t="str">
        <x:v>L 940 ; l 1440 ; hauteur 8,36 m ; choix de composition auteur ; dimensions réelles à documenter</x:v>
      </x:c>
      <x:c r="I1450" s="115" t="str">
        <x:v>À équilibrer</x:v>
      </x:c>
      <x:c r="J1450" s="115" t="str">
        <x:v>Non</x:v>
      </x:c>
      <x:c r="K1450" s="115" t="str">
        <x:v>Pièces décrites, murs, portes, niveaux et mobilier inspectables à l’échelle. Volumes réservés, raccord au seed, butin, rencontres et services de campagne restent à terminer.</x:v>
      </x:c>
    </x:row>
    <x:row r="1451" ht="96" customHeight="1">
      <x:c r="A1451" s="115" t="str">
        <x:v>EXT-MONDE-T029-V46</x:v>
      </x:c>
      <x:c r="B1451" s="115" t="str">
        <x:v>EXT-MONDE-T029</x:v>
      </x:c>
      <x:c r="C1451" s="115" t="str">
        <x:v>Ponts</x:v>
      </x:c>
      <x:c r="D1451" s="115" t="str">
        <x:v>Pont routier à poutres</x:v>
      </x:c>
      <x:c r="E1451" s="115" t="n">
        <x:v>46</x:v>
      </x:c>
      <x:c r="F1451" s="115" t="str">
        <x:v>Inspection physique</x:v>
      </x:c>
      <x:c r="G1451" s="115" t="str">
        <x:v>1 niveaux ; 34 pièces ; 260 segments de mur ; 0 transitions. Inspection physique ; architecture complète encore ouverte.</x:v>
      </x:c>
      <x:c r="H1451" s="115" t="str">
        <x:v>L 940 ; l 1440 ; hauteur 8,4 m ; choix de composition auteur ; dimensions réelles à documenter</x:v>
      </x:c>
      <x:c r="I1451" s="115" t="str">
        <x:v>À équilibrer</x:v>
      </x:c>
      <x:c r="J1451" s="115" t="str">
        <x:v>Non</x:v>
      </x:c>
      <x:c r="K1451" s="115" t="str">
        <x:v>Pièces décrites, murs, portes, niveaux et mobilier inspectables à l’échelle. Volumes réservés, raccord au seed, butin, rencontres et services de campagne restent à terminer.</x:v>
      </x:c>
    </x:row>
    <x:row r="1452" ht="96" customHeight="1">
      <x:c r="A1452" s="115" t="str">
        <x:v>EXT-MONDE-T029-V47</x:v>
      </x:c>
      <x:c r="B1452" s="115" t="str">
        <x:v>EXT-MONDE-T029</x:v>
      </x:c>
      <x:c r="C1452" s="115" t="str">
        <x:v>Ponts</x:v>
      </x:c>
      <x:c r="D1452" s="115" t="str">
        <x:v>Pont routier à poutres</x:v>
      </x:c>
      <x:c r="E1452" s="115" t="n">
        <x:v>47</x:v>
      </x:c>
      <x:c r="F1452" s="115" t="str">
        <x:v>Inspection physique</x:v>
      </x:c>
      <x:c r="G1452" s="115" t="str">
        <x:v>1 niveaux ; 34 pièces ; 260 segments de mur ; 0 transitions. Inspection physique ; architecture complète encore ouverte.</x:v>
      </x:c>
      <x:c r="H1452" s="115" t="str">
        <x:v>L 940 ; l 1440 ; hauteur 8,44 m ; choix de composition auteur ; dimensions réelles à documenter</x:v>
      </x:c>
      <x:c r="I1452" s="115" t="str">
        <x:v>À équilibrer</x:v>
      </x:c>
      <x:c r="J1452" s="115" t="str">
        <x:v>Non</x:v>
      </x:c>
      <x:c r="K1452" s="115" t="str">
        <x:v>Pièces décrites, murs, portes, niveaux et mobilier inspectables à l’échelle. Volumes réservés, raccord au seed, butin, rencontres et services de campagne restent à terminer.</x:v>
      </x:c>
    </x:row>
    <x:row r="1453" ht="96" customHeight="1">
      <x:c r="A1453" s="115" t="str">
        <x:v>EXT-MONDE-T029-V48</x:v>
      </x:c>
      <x:c r="B1453" s="115" t="str">
        <x:v>EXT-MONDE-T029</x:v>
      </x:c>
      <x:c r="C1453" s="115" t="str">
        <x:v>Ponts</x:v>
      </x:c>
      <x:c r="D1453" s="115" t="str">
        <x:v>Pont routier à poutres</x:v>
      </x:c>
      <x:c r="E1453" s="115" t="n">
        <x:v>48</x:v>
      </x:c>
      <x:c r="F1453" s="115" t="str">
        <x:v>Inspection physique</x:v>
      </x:c>
      <x:c r="G1453" s="115" t="str">
        <x:v>1 niveaux ; 34 pièces ; 260 segments de mur ; 0 transitions. Inspection physique ; architecture complète encore ouverte.</x:v>
      </x:c>
      <x:c r="H1453" s="115" t="str">
        <x:v>L 940 ; l 1440 ; hauteur 8,48 m ; choix de composition auteur ; dimensions réelles à documenter</x:v>
      </x:c>
      <x:c r="I1453" s="115" t="str">
        <x:v>À équilibrer</x:v>
      </x:c>
      <x:c r="J1453" s="115" t="str">
        <x:v>Non</x:v>
      </x:c>
      <x:c r="K1453" s="115" t="str">
        <x:v>Pièces décrites, murs, portes, niveaux et mobilier inspectables à l’échelle. Volumes réservés, raccord au seed, butin, rencontres et services de campagne restent à terminer.</x:v>
      </x:c>
    </x:row>
    <x:row r="1454" ht="96" customHeight="1">
      <x:c r="A1454" s="115" t="str">
        <x:v>EXT-MONDE-T029-V49</x:v>
      </x:c>
      <x:c r="B1454" s="115" t="str">
        <x:v>EXT-MONDE-T029</x:v>
      </x:c>
      <x:c r="C1454" s="115" t="str">
        <x:v>Ponts</x:v>
      </x:c>
      <x:c r="D1454" s="115" t="str">
        <x:v>Pont routier à poutres</x:v>
      </x:c>
      <x:c r="E1454" s="115" t="n">
        <x:v>49</x:v>
      </x:c>
      <x:c r="F1454" s="115" t="str">
        <x:v>Inspection physique</x:v>
      </x:c>
      <x:c r="G1454" s="115" t="str">
        <x:v>1 niveaux ; 34 pièces ; 260 segments de mur ; 0 transitions. Inspection physique ; architecture complète encore ouverte.</x:v>
      </x:c>
      <x:c r="H1454" s="115" t="str">
        <x:v>L 940 ; l 1440 ; hauteur 8,52 m ; choix de composition auteur ; dimensions réelles à documenter</x:v>
      </x:c>
      <x:c r="I1454" s="115" t="str">
        <x:v>À équilibrer</x:v>
      </x:c>
      <x:c r="J1454" s="115" t="str">
        <x:v>Non</x:v>
      </x:c>
      <x:c r="K1454" s="115" t="str">
        <x:v>Pièces décrites, murs, portes, niveaux et mobilier inspectables à l’échelle. Volumes réservés, raccord au seed, butin, rencontres et services de campagne restent à terminer.</x:v>
      </x:c>
    </x:row>
    <x:row r="1455" ht="96" customHeight="1">
      <x:c r="A1455" s="115" t="str">
        <x:v>EXT-MONDE-T029-V50</x:v>
      </x:c>
      <x:c r="B1455" s="115" t="str">
        <x:v>EXT-MONDE-T029</x:v>
      </x:c>
      <x:c r="C1455" s="115" t="str">
        <x:v>Ponts</x:v>
      </x:c>
      <x:c r="D1455" s="115" t="str">
        <x:v>Pont routier à poutres</x:v>
      </x:c>
      <x:c r="E1455" s="115" t="n">
        <x:v>50</x:v>
      </x:c>
      <x:c r="F1455" s="115" t="str">
        <x:v>Inspection physique</x:v>
      </x:c>
      <x:c r="G1455" s="115" t="str">
        <x:v>1 niveaux ; 34 pièces ; 260 segments de mur ; 0 transitions. Inspection physique ; architecture complète encore ouverte.</x:v>
      </x:c>
      <x:c r="H1455" s="115" t="str">
        <x:v>L 940 ; l 1440 ; hauteur 8,56 m ; choix de composition auteur ; dimensions réelles à documenter</x:v>
      </x:c>
      <x:c r="I1455" s="115" t="str">
        <x:v>À équilibrer</x:v>
      </x:c>
      <x:c r="J1455" s="115" t="str">
        <x:v>Non</x:v>
      </x:c>
      <x:c r="K1455" s="115" t="str">
        <x:v>Pièces décrites, murs, portes, niveaux et mobilier inspectables à l’échelle. Volumes réservés, raccord au seed, butin, rencontres et services de campagne restent à terminer.</x:v>
      </x:c>
    </x:row>
    <x:row r="1456" ht="96" customHeight="1">
      <x:c r="A1456" s="115" t="str">
        <x:v>EXT-MONDE-T030-V01</x:v>
      </x:c>
      <x:c r="B1456" s="115" t="str">
        <x:v>EXT-MONDE-T030</x:v>
      </x:c>
      <x:c r="C1456" s="115" t="str">
        <x:v>Ponts</x:v>
      </x:c>
      <x:c r="D1456" s="115" t="str">
        <x:v>Pont à arches</x:v>
      </x:c>
      <x:c r="E1456" s="115" t="n">
        <x:v>1</x:v>
      </x:c>
      <x:c r="F1456" s="115" t="str">
        <x:v>Inspection physique</x:v>
      </x:c>
      <x:c r="G1456" s="115" t="str">
        <x:v>1 niveaux ; 34 pièces ; 260 segments de mur ; 0 transitions. Inspection physique ; architecture complète encore ouverte.</x:v>
      </x:c>
      <x:c r="H1456" s="115" t="str">
        <x:v>L 680 ; l 1000 ; hauteur 12 m ; choix de composition auteur ; dimensions réelles à documenter</x:v>
      </x:c>
      <x:c r="I1456" s="115" t="str">
        <x:v>À équilibrer</x:v>
      </x:c>
      <x:c r="J1456" s="115" t="str">
        <x:v>Non</x:v>
      </x:c>
      <x:c r="K1456" s="115" t="str">
        <x:v>Pièces décrites, murs, portes, niveaux et mobilier inspectables à l’échelle. Volumes réservés, raccord au seed, butin, rencontres et services de campagne restent à terminer.</x:v>
      </x:c>
    </x:row>
    <x:row r="1457" ht="96" customHeight="1">
      <x:c r="A1457" s="115" t="str">
        <x:v>EXT-MONDE-T030-V02</x:v>
      </x:c>
      <x:c r="B1457" s="115" t="str">
        <x:v>EXT-MONDE-T030</x:v>
      </x:c>
      <x:c r="C1457" s="115" t="str">
        <x:v>Ponts</x:v>
      </x:c>
      <x:c r="D1457" s="115" t="str">
        <x:v>Pont à arches</x:v>
      </x:c>
      <x:c r="E1457" s="115" t="n">
        <x:v>2</x:v>
      </x:c>
      <x:c r="F1457" s="115" t="str">
        <x:v>Inspection physique</x:v>
      </x:c>
      <x:c r="G1457" s="115" t="str">
        <x:v>1 niveaux ; 34 pièces ; 260 segments de mur ; 0 transitions. Inspection physique ; architecture complète encore ouverte.</x:v>
      </x:c>
      <x:c r="H1457" s="115" t="str">
        <x:v>L 680 ; l 1000 ; hauteur 12,04 m ; choix de composition auteur ; dimensions réelles à documenter</x:v>
      </x:c>
      <x:c r="I1457" s="115" t="str">
        <x:v>À équilibrer</x:v>
      </x:c>
      <x:c r="J1457" s="115" t="str">
        <x:v>Non</x:v>
      </x:c>
      <x:c r="K1457" s="115" t="str">
        <x:v>Pièces décrites, murs, portes, niveaux et mobilier inspectables à l’échelle. Volumes réservés, raccord au seed, butin, rencontres et services de campagne restent à terminer.</x:v>
      </x:c>
    </x:row>
    <x:row r="1458" ht="96" customHeight="1">
      <x:c r="A1458" s="115" t="str">
        <x:v>EXT-MONDE-T030-V03</x:v>
      </x:c>
      <x:c r="B1458" s="115" t="str">
        <x:v>EXT-MONDE-T030</x:v>
      </x:c>
      <x:c r="C1458" s="115" t="str">
        <x:v>Ponts</x:v>
      </x:c>
      <x:c r="D1458" s="115" t="str">
        <x:v>Pont à arches</x:v>
      </x:c>
      <x:c r="E1458" s="115" t="n">
        <x:v>3</x:v>
      </x:c>
      <x:c r="F1458" s="115" t="str">
        <x:v>Inspection physique</x:v>
      </x:c>
      <x:c r="G1458" s="115" t="str">
        <x:v>1 niveaux ; 34 pièces ; 260 segments de mur ; 0 transitions. Inspection physique ; architecture complète encore ouverte.</x:v>
      </x:c>
      <x:c r="H1458" s="115" t="str">
        <x:v>L 680 ; l 1000 ; hauteur 12,08 m ; choix de composition auteur ; dimensions réelles à documenter</x:v>
      </x:c>
      <x:c r="I1458" s="115" t="str">
        <x:v>À équilibrer</x:v>
      </x:c>
      <x:c r="J1458" s="115" t="str">
        <x:v>Non</x:v>
      </x:c>
      <x:c r="K1458" s="115" t="str">
        <x:v>Pièces décrites, murs, portes, niveaux et mobilier inspectables à l’échelle. Volumes réservés, raccord au seed, butin, rencontres et services de campagne restent à terminer.</x:v>
      </x:c>
    </x:row>
    <x:row r="1459" ht="96" customHeight="1">
      <x:c r="A1459" s="115" t="str">
        <x:v>EXT-MONDE-T030-V04</x:v>
      </x:c>
      <x:c r="B1459" s="115" t="str">
        <x:v>EXT-MONDE-T030</x:v>
      </x:c>
      <x:c r="C1459" s="115" t="str">
        <x:v>Ponts</x:v>
      </x:c>
      <x:c r="D1459" s="115" t="str">
        <x:v>Pont à arches</x:v>
      </x:c>
      <x:c r="E1459" s="115" t="n">
        <x:v>4</x:v>
      </x:c>
      <x:c r="F1459" s="115" t="str">
        <x:v>Inspection physique</x:v>
      </x:c>
      <x:c r="G1459" s="115" t="str">
        <x:v>1 niveaux ; 34 pièces ; 260 segments de mur ; 0 transitions. Inspection physique ; architecture complète encore ouverte.</x:v>
      </x:c>
      <x:c r="H1459" s="115" t="str">
        <x:v>L 680 ; l 1000 ; hauteur 12,12 m ; choix de composition auteur ; dimensions réelles à documenter</x:v>
      </x:c>
      <x:c r="I1459" s="115" t="str">
        <x:v>À équilibrer</x:v>
      </x:c>
      <x:c r="J1459" s="115" t="str">
        <x:v>Non</x:v>
      </x:c>
      <x:c r="K1459" s="115" t="str">
        <x:v>Pièces décrites, murs, portes, niveaux et mobilier inspectables à l’échelle. Volumes réservés, raccord au seed, butin, rencontres et services de campagne restent à terminer.</x:v>
      </x:c>
    </x:row>
    <x:row r="1460" ht="96" customHeight="1">
      <x:c r="A1460" s="115" t="str">
        <x:v>EXT-MONDE-T030-V05</x:v>
      </x:c>
      <x:c r="B1460" s="115" t="str">
        <x:v>EXT-MONDE-T030</x:v>
      </x:c>
      <x:c r="C1460" s="115" t="str">
        <x:v>Ponts</x:v>
      </x:c>
      <x:c r="D1460" s="115" t="str">
        <x:v>Pont à arches</x:v>
      </x:c>
      <x:c r="E1460" s="115" t="n">
        <x:v>5</x:v>
      </x:c>
      <x:c r="F1460" s="115" t="str">
        <x:v>Inspection physique</x:v>
      </x:c>
      <x:c r="G1460" s="115" t="str">
        <x:v>1 niveaux ; 34 pièces ; 260 segments de mur ; 0 transitions. Inspection physique ; architecture complète encore ouverte.</x:v>
      </x:c>
      <x:c r="H1460" s="115" t="str">
        <x:v>L 680 ; l 1000 ; hauteur 12,16 m ; choix de composition auteur ; dimensions réelles à documenter</x:v>
      </x:c>
      <x:c r="I1460" s="115" t="str">
        <x:v>À équilibrer</x:v>
      </x:c>
      <x:c r="J1460" s="115" t="str">
        <x:v>Non</x:v>
      </x:c>
      <x:c r="K1460" s="115" t="str">
        <x:v>Pièces décrites, murs, portes, niveaux et mobilier inspectables à l’échelle. Volumes réservés, raccord au seed, butin, rencontres et services de campagne restent à terminer.</x:v>
      </x:c>
    </x:row>
    <x:row r="1461" ht="96" customHeight="1">
      <x:c r="A1461" s="115" t="str">
        <x:v>EXT-MONDE-T030-V06</x:v>
      </x:c>
      <x:c r="B1461" s="115" t="str">
        <x:v>EXT-MONDE-T030</x:v>
      </x:c>
      <x:c r="C1461" s="115" t="str">
        <x:v>Ponts</x:v>
      </x:c>
      <x:c r="D1461" s="115" t="str">
        <x:v>Pont à arches</x:v>
      </x:c>
      <x:c r="E1461" s="115" t="n">
        <x:v>6</x:v>
      </x:c>
      <x:c r="F1461" s="115" t="str">
        <x:v>Inspection physique</x:v>
      </x:c>
      <x:c r="G1461" s="115" t="str">
        <x:v>1 niveaux ; 34 pièces ; 260 segments de mur ; 0 transitions. Inspection physique ; architecture complète encore ouverte.</x:v>
      </x:c>
      <x:c r="H1461" s="115" t="str">
        <x:v>L 680 ; l 1000 ; hauteur 12,2 m ; choix de composition auteur ; dimensions réelles à documenter</x:v>
      </x:c>
      <x:c r="I1461" s="115" t="str">
        <x:v>À équilibrer</x:v>
      </x:c>
      <x:c r="J1461" s="115" t="str">
        <x:v>Non</x:v>
      </x:c>
      <x:c r="K1461" s="115" t="str">
        <x:v>Pièces décrites, murs, portes, niveaux et mobilier inspectables à l’échelle. Volumes réservés, raccord au seed, butin, rencontres et services de campagne restent à terminer.</x:v>
      </x:c>
    </x:row>
    <x:row r="1462" ht="96" customHeight="1">
      <x:c r="A1462" s="115" t="str">
        <x:v>EXT-MONDE-T030-V07</x:v>
      </x:c>
      <x:c r="B1462" s="115" t="str">
        <x:v>EXT-MONDE-T030</x:v>
      </x:c>
      <x:c r="C1462" s="115" t="str">
        <x:v>Ponts</x:v>
      </x:c>
      <x:c r="D1462" s="115" t="str">
        <x:v>Pont à arches</x:v>
      </x:c>
      <x:c r="E1462" s="115" t="n">
        <x:v>7</x:v>
      </x:c>
      <x:c r="F1462" s="115" t="str">
        <x:v>Inspection physique</x:v>
      </x:c>
      <x:c r="G1462" s="115" t="str">
        <x:v>1 niveaux ; 34 pièces ; 260 segments de mur ; 0 transitions. Inspection physique ; architecture complète encore ouverte.</x:v>
      </x:c>
      <x:c r="H1462" s="115" t="str">
        <x:v>L 680 ; l 1000 ; hauteur 12,24 m ; choix de composition auteur ; dimensions réelles à documenter</x:v>
      </x:c>
      <x:c r="I1462" s="115" t="str">
        <x:v>À équilibrer</x:v>
      </x:c>
      <x:c r="J1462" s="115" t="str">
        <x:v>Non</x:v>
      </x:c>
      <x:c r="K1462" s="115" t="str">
        <x:v>Pièces décrites, murs, portes, niveaux et mobilier inspectables à l’échelle. Volumes réservés, raccord au seed, butin, rencontres et services de campagne restent à terminer.</x:v>
      </x:c>
    </x:row>
    <x:row r="1463" ht="96" customHeight="1">
      <x:c r="A1463" s="115" t="str">
        <x:v>EXT-MONDE-T030-V08</x:v>
      </x:c>
      <x:c r="B1463" s="115" t="str">
        <x:v>EXT-MONDE-T030</x:v>
      </x:c>
      <x:c r="C1463" s="115" t="str">
        <x:v>Ponts</x:v>
      </x:c>
      <x:c r="D1463" s="115" t="str">
        <x:v>Pont à arches</x:v>
      </x:c>
      <x:c r="E1463" s="115" t="n">
        <x:v>8</x:v>
      </x:c>
      <x:c r="F1463" s="115" t="str">
        <x:v>Inspection physique</x:v>
      </x:c>
      <x:c r="G1463" s="115" t="str">
        <x:v>1 niveaux ; 34 pièces ; 260 segments de mur ; 0 transitions. Inspection physique ; architecture complète encore ouverte.</x:v>
      </x:c>
      <x:c r="H1463" s="115" t="str">
        <x:v>L 680 ; l 1000 ; hauteur 12,28 m ; choix de composition auteur ; dimensions réelles à documenter</x:v>
      </x:c>
      <x:c r="I1463" s="115" t="str">
        <x:v>À équilibrer</x:v>
      </x:c>
      <x:c r="J1463" s="115" t="str">
        <x:v>Non</x:v>
      </x:c>
      <x:c r="K1463" s="115" t="str">
        <x:v>Pièces décrites, murs, portes, niveaux et mobilier inspectables à l’échelle. Volumes réservés, raccord au seed, butin, rencontres et services de campagne restent à terminer.</x:v>
      </x:c>
    </x:row>
    <x:row r="1464" ht="96" customHeight="1">
      <x:c r="A1464" s="115" t="str">
        <x:v>EXT-MONDE-T030-V09</x:v>
      </x:c>
      <x:c r="B1464" s="115" t="str">
        <x:v>EXT-MONDE-T030</x:v>
      </x:c>
      <x:c r="C1464" s="115" t="str">
        <x:v>Ponts</x:v>
      </x:c>
      <x:c r="D1464" s="115" t="str">
        <x:v>Pont à arches</x:v>
      </x:c>
      <x:c r="E1464" s="115" t="n">
        <x:v>9</x:v>
      </x:c>
      <x:c r="F1464" s="115" t="str">
        <x:v>Inspection physique</x:v>
      </x:c>
      <x:c r="G1464" s="115" t="str">
        <x:v>1 niveaux ; 34 pièces ; 260 segments de mur ; 0 transitions. Inspection physique ; architecture complète encore ouverte.</x:v>
      </x:c>
      <x:c r="H1464" s="115" t="str">
        <x:v>L 680 ; l 1000 ; hauteur 12,32 m ; choix de composition auteur ; dimensions réelles à documenter</x:v>
      </x:c>
      <x:c r="I1464" s="115" t="str">
        <x:v>À équilibrer</x:v>
      </x:c>
      <x:c r="J1464" s="115" t="str">
        <x:v>Non</x:v>
      </x:c>
      <x:c r="K1464" s="115" t="str">
        <x:v>Pièces décrites, murs, portes, niveaux et mobilier inspectables à l’échelle. Volumes réservés, raccord au seed, butin, rencontres et services de campagne restent à terminer.</x:v>
      </x:c>
    </x:row>
    <x:row r="1465" ht="96" customHeight="1">
      <x:c r="A1465" s="115" t="str">
        <x:v>EXT-MONDE-T030-V10</x:v>
      </x:c>
      <x:c r="B1465" s="115" t="str">
        <x:v>EXT-MONDE-T030</x:v>
      </x:c>
      <x:c r="C1465" s="115" t="str">
        <x:v>Ponts</x:v>
      </x:c>
      <x:c r="D1465" s="115" t="str">
        <x:v>Pont à arches</x:v>
      </x:c>
      <x:c r="E1465" s="115" t="n">
        <x:v>10</x:v>
      </x:c>
      <x:c r="F1465" s="115" t="str">
        <x:v>Inspection physique</x:v>
      </x:c>
      <x:c r="G1465" s="115" t="str">
        <x:v>1 niveaux ; 34 pièces ; 260 segments de mur ; 0 transitions. Inspection physique ; architecture complète encore ouverte.</x:v>
      </x:c>
      <x:c r="H1465" s="115" t="str">
        <x:v>L 680 ; l 1000 ; hauteur 12,36 m ; choix de composition auteur ; dimensions réelles à documenter</x:v>
      </x:c>
      <x:c r="I1465" s="115" t="str">
        <x:v>À équilibrer</x:v>
      </x:c>
      <x:c r="J1465" s="115" t="str">
        <x:v>Non</x:v>
      </x:c>
      <x:c r="K1465" s="115" t="str">
        <x:v>Pièces décrites, murs, portes, niveaux et mobilier inspectables à l’échelle. Volumes réservés, raccord au seed, butin, rencontres et services de campagne restent à terminer.</x:v>
      </x:c>
    </x:row>
    <x:row r="1466" ht="96" customHeight="1">
      <x:c r="A1466" s="115" t="str">
        <x:v>EXT-MONDE-T030-V11</x:v>
      </x:c>
      <x:c r="B1466" s="115" t="str">
        <x:v>EXT-MONDE-T030</x:v>
      </x:c>
      <x:c r="C1466" s="115" t="str">
        <x:v>Ponts</x:v>
      </x:c>
      <x:c r="D1466" s="115" t="str">
        <x:v>Pont à arches</x:v>
      </x:c>
      <x:c r="E1466" s="115" t="n">
        <x:v>11</x:v>
      </x:c>
      <x:c r="F1466" s="115" t="str">
        <x:v>Inspection physique</x:v>
      </x:c>
      <x:c r="G1466" s="115" t="str">
        <x:v>1 niveaux ; 34 pièces ; 260 segments de mur ; 0 transitions. Inspection physique ; architecture complète encore ouverte.</x:v>
      </x:c>
      <x:c r="H1466" s="115" t="str">
        <x:v>L 760 ; l 1160 ; hauteur 12 m ; choix de composition auteur ; dimensions réelles à documenter</x:v>
      </x:c>
      <x:c r="I1466" s="115" t="str">
        <x:v>À équilibrer</x:v>
      </x:c>
      <x:c r="J1466" s="115" t="str">
        <x:v>Non</x:v>
      </x:c>
      <x:c r="K1466" s="115" t="str">
        <x:v>Pièces décrites, murs, portes, niveaux et mobilier inspectables à l’échelle. Volumes réservés, raccord au seed, butin, rencontres et services de campagne restent à terminer.</x:v>
      </x:c>
    </x:row>
    <x:row r="1467" ht="96" customHeight="1">
      <x:c r="A1467" s="115" t="str">
        <x:v>EXT-MONDE-T030-V12</x:v>
      </x:c>
      <x:c r="B1467" s="115" t="str">
        <x:v>EXT-MONDE-T030</x:v>
      </x:c>
      <x:c r="C1467" s="115" t="str">
        <x:v>Ponts</x:v>
      </x:c>
      <x:c r="D1467" s="115" t="str">
        <x:v>Pont à arches</x:v>
      </x:c>
      <x:c r="E1467" s="115" t="n">
        <x:v>12</x:v>
      </x:c>
      <x:c r="F1467" s="115" t="str">
        <x:v>Inspection physique</x:v>
      </x:c>
      <x:c r="G1467" s="115" t="str">
        <x:v>1 niveaux ; 34 pièces ; 260 segments de mur ; 0 transitions. Inspection physique ; architecture complète encore ouverte.</x:v>
      </x:c>
      <x:c r="H1467" s="115" t="str">
        <x:v>L 760 ; l 1160 ; hauteur 12,04 m ; choix de composition auteur ; dimensions réelles à documenter</x:v>
      </x:c>
      <x:c r="I1467" s="115" t="str">
        <x:v>À équilibrer</x:v>
      </x:c>
      <x:c r="J1467" s="115" t="str">
        <x:v>Non</x:v>
      </x:c>
      <x:c r="K1467" s="115" t="str">
        <x:v>Pièces décrites, murs, portes, niveaux et mobilier inspectables à l’échelle. Volumes réservés, raccord au seed, butin, rencontres et services de campagne restent à terminer.</x:v>
      </x:c>
    </x:row>
    <x:row r="1468" ht="96" customHeight="1">
      <x:c r="A1468" s="115" t="str">
        <x:v>EXT-MONDE-T030-V13</x:v>
      </x:c>
      <x:c r="B1468" s="115" t="str">
        <x:v>EXT-MONDE-T030</x:v>
      </x:c>
      <x:c r="C1468" s="115" t="str">
        <x:v>Ponts</x:v>
      </x:c>
      <x:c r="D1468" s="115" t="str">
        <x:v>Pont à arches</x:v>
      </x:c>
      <x:c r="E1468" s="115" t="n">
        <x:v>13</x:v>
      </x:c>
      <x:c r="F1468" s="115" t="str">
        <x:v>Inspection physique</x:v>
      </x:c>
      <x:c r="G1468" s="115" t="str">
        <x:v>1 niveaux ; 34 pièces ; 260 segments de mur ; 0 transitions. Inspection physique ; architecture complète encore ouverte.</x:v>
      </x:c>
      <x:c r="H1468" s="115" t="str">
        <x:v>L 760 ; l 1160 ; hauteur 12,08 m ; choix de composition auteur ; dimensions réelles à documenter</x:v>
      </x:c>
      <x:c r="I1468" s="115" t="str">
        <x:v>À équilibrer</x:v>
      </x:c>
      <x:c r="J1468" s="115" t="str">
        <x:v>Non</x:v>
      </x:c>
      <x:c r="K1468" s="115" t="str">
        <x:v>Pièces décrites, murs, portes, niveaux et mobilier inspectables à l’échelle. Volumes réservés, raccord au seed, butin, rencontres et services de campagne restent à terminer.</x:v>
      </x:c>
    </x:row>
    <x:row r="1469" ht="96" customHeight="1">
      <x:c r="A1469" s="115" t="str">
        <x:v>EXT-MONDE-T030-V14</x:v>
      </x:c>
      <x:c r="B1469" s="115" t="str">
        <x:v>EXT-MONDE-T030</x:v>
      </x:c>
      <x:c r="C1469" s="115" t="str">
        <x:v>Ponts</x:v>
      </x:c>
      <x:c r="D1469" s="115" t="str">
        <x:v>Pont à arches</x:v>
      </x:c>
      <x:c r="E1469" s="115" t="n">
        <x:v>14</x:v>
      </x:c>
      <x:c r="F1469" s="115" t="str">
        <x:v>Inspection physique</x:v>
      </x:c>
      <x:c r="G1469" s="115" t="str">
        <x:v>1 niveaux ; 34 pièces ; 260 segments de mur ; 0 transitions. Inspection physique ; architecture complète encore ouverte.</x:v>
      </x:c>
      <x:c r="H1469" s="115" t="str">
        <x:v>L 760 ; l 1160 ; hauteur 12,12 m ; choix de composition auteur ; dimensions réelles à documenter</x:v>
      </x:c>
      <x:c r="I1469" s="115" t="str">
        <x:v>À équilibrer</x:v>
      </x:c>
      <x:c r="J1469" s="115" t="str">
        <x:v>Non</x:v>
      </x:c>
      <x:c r="K1469" s="115" t="str">
        <x:v>Pièces décrites, murs, portes, niveaux et mobilier inspectables à l’échelle. Volumes réservés, raccord au seed, butin, rencontres et services de campagne restent à terminer.</x:v>
      </x:c>
    </x:row>
    <x:row r="1470" ht="96" customHeight="1">
      <x:c r="A1470" s="115" t="str">
        <x:v>EXT-MONDE-T030-V15</x:v>
      </x:c>
      <x:c r="B1470" s="115" t="str">
        <x:v>EXT-MONDE-T030</x:v>
      </x:c>
      <x:c r="C1470" s="115" t="str">
        <x:v>Ponts</x:v>
      </x:c>
      <x:c r="D1470" s="115" t="str">
        <x:v>Pont à arches</x:v>
      </x:c>
      <x:c r="E1470" s="115" t="n">
        <x:v>15</x:v>
      </x:c>
      <x:c r="F1470" s="115" t="str">
        <x:v>Inspection physique</x:v>
      </x:c>
      <x:c r="G1470" s="115" t="str">
        <x:v>1 niveaux ; 34 pièces ; 260 segments de mur ; 0 transitions. Inspection physique ; architecture complète encore ouverte.</x:v>
      </x:c>
      <x:c r="H1470" s="115" t="str">
        <x:v>L 760 ; l 1160 ; hauteur 12,16 m ; choix de composition auteur ; dimensions réelles à documenter</x:v>
      </x:c>
      <x:c r="I1470" s="115" t="str">
        <x:v>À équilibrer</x:v>
      </x:c>
      <x:c r="J1470" s="115" t="str">
        <x:v>Non</x:v>
      </x:c>
      <x:c r="K1470" s="115" t="str">
        <x:v>Pièces décrites, murs, portes, niveaux et mobilier inspectables à l’échelle. Volumes réservés, raccord au seed, butin, rencontres et services de campagne restent à terminer.</x:v>
      </x:c>
    </x:row>
    <x:row r="1471" ht="96" customHeight="1">
      <x:c r="A1471" s="115" t="str">
        <x:v>EXT-MONDE-T030-V16</x:v>
      </x:c>
      <x:c r="B1471" s="115" t="str">
        <x:v>EXT-MONDE-T030</x:v>
      </x:c>
      <x:c r="C1471" s="115" t="str">
        <x:v>Ponts</x:v>
      </x:c>
      <x:c r="D1471" s="115" t="str">
        <x:v>Pont à arches</x:v>
      </x:c>
      <x:c r="E1471" s="115" t="n">
        <x:v>16</x:v>
      </x:c>
      <x:c r="F1471" s="115" t="str">
        <x:v>Inspection physique</x:v>
      </x:c>
      <x:c r="G1471" s="115" t="str">
        <x:v>1 niveaux ; 34 pièces ; 260 segments de mur ; 0 transitions. Inspection physique ; architecture complète encore ouverte.</x:v>
      </x:c>
      <x:c r="H1471" s="115" t="str">
        <x:v>L 760 ; l 1160 ; hauteur 12,2 m ; choix de composition auteur ; dimensions réelles à documenter</x:v>
      </x:c>
      <x:c r="I1471" s="115" t="str">
        <x:v>À équilibrer</x:v>
      </x:c>
      <x:c r="J1471" s="115" t="str">
        <x:v>Non</x:v>
      </x:c>
      <x:c r="K1471" s="115" t="str">
        <x:v>Pièces décrites, murs, portes, niveaux et mobilier inspectables à l’échelle. Volumes réservés, raccord au seed, butin, rencontres et services de campagne restent à terminer.</x:v>
      </x:c>
    </x:row>
    <x:row r="1472" ht="96" customHeight="1">
      <x:c r="A1472" s="115" t="str">
        <x:v>EXT-MONDE-T030-V17</x:v>
      </x:c>
      <x:c r="B1472" s="115" t="str">
        <x:v>EXT-MONDE-T030</x:v>
      </x:c>
      <x:c r="C1472" s="115" t="str">
        <x:v>Ponts</x:v>
      </x:c>
      <x:c r="D1472" s="115" t="str">
        <x:v>Pont à arches</x:v>
      </x:c>
      <x:c r="E1472" s="115" t="n">
        <x:v>17</x:v>
      </x:c>
      <x:c r="F1472" s="115" t="str">
        <x:v>Inspection physique</x:v>
      </x:c>
      <x:c r="G1472" s="115" t="str">
        <x:v>1 niveaux ; 34 pièces ; 260 segments de mur ; 0 transitions. Inspection physique ; architecture complète encore ouverte.</x:v>
      </x:c>
      <x:c r="H1472" s="115" t="str">
        <x:v>L 760 ; l 1160 ; hauteur 12,24 m ; choix de composition auteur ; dimensions réelles à documenter</x:v>
      </x:c>
      <x:c r="I1472" s="115" t="str">
        <x:v>À équilibrer</x:v>
      </x:c>
      <x:c r="J1472" s="115" t="str">
        <x:v>Non</x:v>
      </x:c>
      <x:c r="K1472" s="115" t="str">
        <x:v>Pièces décrites, murs, portes, niveaux et mobilier inspectables à l’échelle. Volumes réservés, raccord au seed, butin, rencontres et services de campagne restent à terminer.</x:v>
      </x:c>
    </x:row>
    <x:row r="1473" ht="96" customHeight="1">
      <x:c r="A1473" s="115" t="str">
        <x:v>EXT-MONDE-T030-V18</x:v>
      </x:c>
      <x:c r="B1473" s="115" t="str">
        <x:v>EXT-MONDE-T030</x:v>
      </x:c>
      <x:c r="C1473" s="115" t="str">
        <x:v>Ponts</x:v>
      </x:c>
      <x:c r="D1473" s="115" t="str">
        <x:v>Pont à arches</x:v>
      </x:c>
      <x:c r="E1473" s="115" t="n">
        <x:v>18</x:v>
      </x:c>
      <x:c r="F1473" s="115" t="str">
        <x:v>Inspection physique</x:v>
      </x:c>
      <x:c r="G1473" s="115" t="str">
        <x:v>1 niveaux ; 34 pièces ; 260 segments de mur ; 0 transitions. Inspection physique ; architecture complète encore ouverte.</x:v>
      </x:c>
      <x:c r="H1473" s="115" t="str">
        <x:v>L 760 ; l 1160 ; hauteur 12,28 m ; choix de composition auteur ; dimensions réelles à documenter</x:v>
      </x:c>
      <x:c r="I1473" s="115" t="str">
        <x:v>À équilibrer</x:v>
      </x:c>
      <x:c r="J1473" s="115" t="str">
        <x:v>Non</x:v>
      </x:c>
      <x:c r="K1473" s="115" t="str">
        <x:v>Pièces décrites, murs, portes, niveaux et mobilier inspectables à l’échelle. Volumes réservés, raccord au seed, butin, rencontres et services de campagne restent à terminer.</x:v>
      </x:c>
    </x:row>
    <x:row r="1474" ht="96" customHeight="1">
      <x:c r="A1474" s="115" t="str">
        <x:v>EXT-MONDE-T030-V19</x:v>
      </x:c>
      <x:c r="B1474" s="115" t="str">
        <x:v>EXT-MONDE-T030</x:v>
      </x:c>
      <x:c r="C1474" s="115" t="str">
        <x:v>Ponts</x:v>
      </x:c>
      <x:c r="D1474" s="115" t="str">
        <x:v>Pont à arches</x:v>
      </x:c>
      <x:c r="E1474" s="115" t="n">
        <x:v>19</x:v>
      </x:c>
      <x:c r="F1474" s="115" t="str">
        <x:v>Inspection physique</x:v>
      </x:c>
      <x:c r="G1474" s="115" t="str">
        <x:v>1 niveaux ; 34 pièces ; 260 segments de mur ; 0 transitions. Inspection physique ; architecture complète encore ouverte.</x:v>
      </x:c>
      <x:c r="H1474" s="115" t="str">
        <x:v>L 760 ; l 1160 ; hauteur 12,32 m ; choix de composition auteur ; dimensions réelles à documenter</x:v>
      </x:c>
      <x:c r="I1474" s="115" t="str">
        <x:v>À équilibrer</x:v>
      </x:c>
      <x:c r="J1474" s="115" t="str">
        <x:v>Non</x:v>
      </x:c>
      <x:c r="K1474" s="115" t="str">
        <x:v>Pièces décrites, murs, portes, niveaux et mobilier inspectables à l’échelle. Volumes réservés, raccord au seed, butin, rencontres et services de campagne restent à terminer.</x:v>
      </x:c>
    </x:row>
    <x:row r="1475" ht="96" customHeight="1">
      <x:c r="A1475" s="115" t="str">
        <x:v>EXT-MONDE-T030-V20</x:v>
      </x:c>
      <x:c r="B1475" s="115" t="str">
        <x:v>EXT-MONDE-T030</x:v>
      </x:c>
      <x:c r="C1475" s="115" t="str">
        <x:v>Ponts</x:v>
      </x:c>
      <x:c r="D1475" s="115" t="str">
        <x:v>Pont à arches</x:v>
      </x:c>
      <x:c r="E1475" s="115" t="n">
        <x:v>20</x:v>
      </x:c>
      <x:c r="F1475" s="115" t="str">
        <x:v>Inspection physique</x:v>
      </x:c>
      <x:c r="G1475" s="115" t="str">
        <x:v>1 niveaux ; 34 pièces ; 260 segments de mur ; 0 transitions. Inspection physique ; architecture complète encore ouverte.</x:v>
      </x:c>
      <x:c r="H1475" s="115" t="str">
        <x:v>L 760 ; l 1160 ; hauteur 12,36 m ; choix de composition auteur ; dimensions réelles à documenter</x:v>
      </x:c>
      <x:c r="I1475" s="115" t="str">
        <x:v>À équilibrer</x:v>
      </x:c>
      <x:c r="J1475" s="115" t="str">
        <x:v>Non</x:v>
      </x:c>
      <x:c r="K1475" s="115" t="str">
        <x:v>Pièces décrites, murs, portes, niveaux et mobilier inspectables à l’échelle. Volumes réservés, raccord au seed, butin, rencontres et services de campagne restent à terminer.</x:v>
      </x:c>
    </x:row>
    <x:row r="1476" ht="96" customHeight="1">
      <x:c r="A1476" s="115" t="str">
        <x:v>EXT-MONDE-T030-V21</x:v>
      </x:c>
      <x:c r="B1476" s="115" t="str">
        <x:v>EXT-MONDE-T030</x:v>
      </x:c>
      <x:c r="C1476" s="115" t="str">
        <x:v>Ponts</x:v>
      </x:c>
      <x:c r="D1476" s="115" t="str">
        <x:v>Pont à arches</x:v>
      </x:c>
      <x:c r="E1476" s="115" t="n">
        <x:v>21</x:v>
      </x:c>
      <x:c r="F1476" s="115" t="str">
        <x:v>Inspection physique</x:v>
      </x:c>
      <x:c r="G1476" s="115" t="str">
        <x:v>1 niveaux ; 34 pièces ; 260 segments de mur ; 0 transitions. Inspection physique ; architecture complète encore ouverte.</x:v>
      </x:c>
      <x:c r="H1476" s="115" t="str">
        <x:v>L 840 ; l 1320 ; hauteur 12 m ; choix de composition auteur ; dimensions réelles à documenter</x:v>
      </x:c>
      <x:c r="I1476" s="115" t="str">
        <x:v>À équilibrer</x:v>
      </x:c>
      <x:c r="J1476" s="115" t="str">
        <x:v>Non</x:v>
      </x:c>
      <x:c r="K1476" s="115" t="str">
        <x:v>Pièces décrites, murs, portes, niveaux et mobilier inspectables à l’échelle. Volumes réservés, raccord au seed, butin, rencontres et services de campagne restent à terminer.</x:v>
      </x:c>
    </x:row>
    <x:row r="1477" ht="96" customHeight="1">
      <x:c r="A1477" s="115" t="str">
        <x:v>EXT-MONDE-T030-V22</x:v>
      </x:c>
      <x:c r="B1477" s="115" t="str">
        <x:v>EXT-MONDE-T030</x:v>
      </x:c>
      <x:c r="C1477" s="115" t="str">
        <x:v>Ponts</x:v>
      </x:c>
      <x:c r="D1477" s="115" t="str">
        <x:v>Pont à arches</x:v>
      </x:c>
      <x:c r="E1477" s="115" t="n">
        <x:v>22</x:v>
      </x:c>
      <x:c r="F1477" s="115" t="str">
        <x:v>Inspection physique</x:v>
      </x:c>
      <x:c r="G1477" s="115" t="str">
        <x:v>1 niveaux ; 34 pièces ; 260 segments de mur ; 0 transitions. Inspection physique ; architecture complète encore ouverte.</x:v>
      </x:c>
      <x:c r="H1477" s="115" t="str">
        <x:v>L 840 ; l 1320 ; hauteur 12,04 m ; choix de composition auteur ; dimensions réelles à documenter</x:v>
      </x:c>
      <x:c r="I1477" s="115" t="str">
        <x:v>À équilibrer</x:v>
      </x:c>
      <x:c r="J1477" s="115" t="str">
        <x:v>Non</x:v>
      </x:c>
      <x:c r="K1477" s="115" t="str">
        <x:v>Pièces décrites, murs, portes, niveaux et mobilier inspectables à l’échelle. Volumes réservés, raccord au seed, butin, rencontres et services de campagne restent à terminer.</x:v>
      </x:c>
    </x:row>
    <x:row r="1478" ht="96" customHeight="1">
      <x:c r="A1478" s="115" t="str">
        <x:v>EXT-MONDE-T030-V23</x:v>
      </x:c>
      <x:c r="B1478" s="115" t="str">
        <x:v>EXT-MONDE-T030</x:v>
      </x:c>
      <x:c r="C1478" s="115" t="str">
        <x:v>Ponts</x:v>
      </x:c>
      <x:c r="D1478" s="115" t="str">
        <x:v>Pont à arches</x:v>
      </x:c>
      <x:c r="E1478" s="115" t="n">
        <x:v>23</x:v>
      </x:c>
      <x:c r="F1478" s="115" t="str">
        <x:v>Inspection physique</x:v>
      </x:c>
      <x:c r="G1478" s="115" t="str">
        <x:v>1 niveaux ; 34 pièces ; 260 segments de mur ; 0 transitions. Inspection physique ; architecture complète encore ouverte.</x:v>
      </x:c>
      <x:c r="H1478" s="115" t="str">
        <x:v>L 840 ; l 1320 ; hauteur 12,08 m ; choix de composition auteur ; dimensions réelles à documenter</x:v>
      </x:c>
      <x:c r="I1478" s="115" t="str">
        <x:v>À équilibrer</x:v>
      </x:c>
      <x:c r="J1478" s="115" t="str">
        <x:v>Non</x:v>
      </x:c>
      <x:c r="K1478" s="115" t="str">
        <x:v>Pièces décrites, murs, portes, niveaux et mobilier inspectables à l’échelle. Volumes réservés, raccord au seed, butin, rencontres et services de campagne restent à terminer.</x:v>
      </x:c>
    </x:row>
    <x:row r="1479" ht="96" customHeight="1">
      <x:c r="A1479" s="115" t="str">
        <x:v>EXT-MONDE-T030-V24</x:v>
      </x:c>
      <x:c r="B1479" s="115" t="str">
        <x:v>EXT-MONDE-T030</x:v>
      </x:c>
      <x:c r="C1479" s="115" t="str">
        <x:v>Ponts</x:v>
      </x:c>
      <x:c r="D1479" s="115" t="str">
        <x:v>Pont à arches</x:v>
      </x:c>
      <x:c r="E1479" s="115" t="n">
        <x:v>24</x:v>
      </x:c>
      <x:c r="F1479" s="115" t="str">
        <x:v>Inspection physique</x:v>
      </x:c>
      <x:c r="G1479" s="115" t="str">
        <x:v>1 niveaux ; 34 pièces ; 260 segments de mur ; 0 transitions. Inspection physique ; architecture complète encore ouverte.</x:v>
      </x:c>
      <x:c r="H1479" s="115" t="str">
        <x:v>L 840 ; l 1320 ; hauteur 12,12 m ; choix de composition auteur ; dimensions réelles à documenter</x:v>
      </x:c>
      <x:c r="I1479" s="115" t="str">
        <x:v>À équilibrer</x:v>
      </x:c>
      <x:c r="J1479" s="115" t="str">
        <x:v>Non</x:v>
      </x:c>
      <x:c r="K1479" s="115" t="str">
        <x:v>Pièces décrites, murs, portes, niveaux et mobilier inspectables à l’échelle. Volumes réservés, raccord au seed, butin, rencontres et services de campagne restent à terminer.</x:v>
      </x:c>
    </x:row>
    <x:row r="1480" ht="96" customHeight="1">
      <x:c r="A1480" s="115" t="str">
        <x:v>EXT-MONDE-T030-V25</x:v>
      </x:c>
      <x:c r="B1480" s="115" t="str">
        <x:v>EXT-MONDE-T030</x:v>
      </x:c>
      <x:c r="C1480" s="115" t="str">
        <x:v>Ponts</x:v>
      </x:c>
      <x:c r="D1480" s="115" t="str">
        <x:v>Pont à arches</x:v>
      </x:c>
      <x:c r="E1480" s="115" t="n">
        <x:v>25</x:v>
      </x:c>
      <x:c r="F1480" s="115" t="str">
        <x:v>Inspection physique</x:v>
      </x:c>
      <x:c r="G1480" s="115" t="str">
        <x:v>1 niveaux ; 34 pièces ; 260 segments de mur ; 0 transitions. Inspection physique ; architecture complète encore ouverte.</x:v>
      </x:c>
      <x:c r="H1480" s="115" t="str">
        <x:v>L 840 ; l 1320 ; hauteur 12,16 m ; choix de composition auteur ; dimensions réelles à documenter</x:v>
      </x:c>
      <x:c r="I1480" s="115" t="str">
        <x:v>À équilibrer</x:v>
      </x:c>
      <x:c r="J1480" s="115" t="str">
        <x:v>Non</x:v>
      </x:c>
      <x:c r="K1480" s="115" t="str">
        <x:v>Pièces décrites, murs, portes, niveaux et mobilier inspectables à l’échelle. Volumes réservés, raccord au seed, butin, rencontres et services de campagne restent à terminer.</x:v>
      </x:c>
    </x:row>
    <x:row r="1481" ht="96" customHeight="1">
      <x:c r="A1481" s="115" t="str">
        <x:v>EXT-MONDE-T030-V26</x:v>
      </x:c>
      <x:c r="B1481" s="115" t="str">
        <x:v>EXT-MONDE-T030</x:v>
      </x:c>
      <x:c r="C1481" s="115" t="str">
        <x:v>Ponts</x:v>
      </x:c>
      <x:c r="D1481" s="115" t="str">
        <x:v>Pont à arches</x:v>
      </x:c>
      <x:c r="E1481" s="115" t="n">
        <x:v>26</x:v>
      </x:c>
      <x:c r="F1481" s="115" t="str">
        <x:v>Inspection physique</x:v>
      </x:c>
      <x:c r="G1481" s="115" t="str">
        <x:v>1 niveaux ; 34 pièces ; 260 segments de mur ; 0 transitions. Inspection physique ; architecture complète encore ouverte.</x:v>
      </x:c>
      <x:c r="H1481" s="115" t="str">
        <x:v>L 840 ; l 1320 ; hauteur 12,2 m ; choix de composition auteur ; dimensions réelles à documenter</x:v>
      </x:c>
      <x:c r="I1481" s="115" t="str">
        <x:v>À équilibrer</x:v>
      </x:c>
      <x:c r="J1481" s="115" t="str">
        <x:v>Non</x:v>
      </x:c>
      <x:c r="K1481" s="115" t="str">
        <x:v>Pièces décrites, murs, portes, niveaux et mobilier inspectables à l’échelle. Volumes réservés, raccord au seed, butin, rencontres et services de campagne restent à terminer.</x:v>
      </x:c>
    </x:row>
    <x:row r="1482" ht="96" customHeight="1">
      <x:c r="A1482" s="115" t="str">
        <x:v>EXT-MONDE-T030-V27</x:v>
      </x:c>
      <x:c r="B1482" s="115" t="str">
        <x:v>EXT-MONDE-T030</x:v>
      </x:c>
      <x:c r="C1482" s="115" t="str">
        <x:v>Ponts</x:v>
      </x:c>
      <x:c r="D1482" s="115" t="str">
        <x:v>Pont à arches</x:v>
      </x:c>
      <x:c r="E1482" s="115" t="n">
        <x:v>27</x:v>
      </x:c>
      <x:c r="F1482" s="115" t="str">
        <x:v>Inspection physique</x:v>
      </x:c>
      <x:c r="G1482" s="115" t="str">
        <x:v>1 niveaux ; 34 pièces ; 260 segments de mur ; 0 transitions. Inspection physique ; architecture complète encore ouverte.</x:v>
      </x:c>
      <x:c r="H1482" s="115" t="str">
        <x:v>L 840 ; l 1320 ; hauteur 12,24 m ; choix de composition auteur ; dimensions réelles à documenter</x:v>
      </x:c>
      <x:c r="I1482" s="115" t="str">
        <x:v>À équilibrer</x:v>
      </x:c>
      <x:c r="J1482" s="115" t="str">
        <x:v>Non</x:v>
      </x:c>
      <x:c r="K1482" s="115" t="str">
        <x:v>Pièces décrites, murs, portes, niveaux et mobilier inspectables à l’échelle. Volumes réservés, raccord au seed, butin, rencontres et services de campagne restent à terminer.</x:v>
      </x:c>
    </x:row>
    <x:row r="1483" ht="96" customHeight="1">
      <x:c r="A1483" s="115" t="str">
        <x:v>EXT-MONDE-T030-V28</x:v>
      </x:c>
      <x:c r="B1483" s="115" t="str">
        <x:v>EXT-MONDE-T030</x:v>
      </x:c>
      <x:c r="C1483" s="115" t="str">
        <x:v>Ponts</x:v>
      </x:c>
      <x:c r="D1483" s="115" t="str">
        <x:v>Pont à arches</x:v>
      </x:c>
      <x:c r="E1483" s="115" t="n">
        <x:v>28</x:v>
      </x:c>
      <x:c r="F1483" s="115" t="str">
        <x:v>Inspection physique</x:v>
      </x:c>
      <x:c r="G1483" s="115" t="str">
        <x:v>1 niveaux ; 34 pièces ; 260 segments de mur ; 0 transitions. Inspection physique ; architecture complète encore ouverte.</x:v>
      </x:c>
      <x:c r="H1483" s="115" t="str">
        <x:v>L 840 ; l 1320 ; hauteur 12,28 m ; choix de composition auteur ; dimensions réelles à documenter</x:v>
      </x:c>
      <x:c r="I1483" s="115" t="str">
        <x:v>À équilibrer</x:v>
      </x:c>
      <x:c r="J1483" s="115" t="str">
        <x:v>Non</x:v>
      </x:c>
      <x:c r="K1483" s="115" t="str">
        <x:v>Pièces décrites, murs, portes, niveaux et mobilier inspectables à l’échelle. Volumes réservés, raccord au seed, butin, rencontres et services de campagne restent à terminer.</x:v>
      </x:c>
    </x:row>
    <x:row r="1484" ht="96" customHeight="1">
      <x:c r="A1484" s="115" t="str">
        <x:v>EXT-MONDE-T030-V29</x:v>
      </x:c>
      <x:c r="B1484" s="115" t="str">
        <x:v>EXT-MONDE-T030</x:v>
      </x:c>
      <x:c r="C1484" s="115" t="str">
        <x:v>Ponts</x:v>
      </x:c>
      <x:c r="D1484" s="115" t="str">
        <x:v>Pont à arches</x:v>
      </x:c>
      <x:c r="E1484" s="115" t="n">
        <x:v>29</x:v>
      </x:c>
      <x:c r="F1484" s="115" t="str">
        <x:v>Inspection physique</x:v>
      </x:c>
      <x:c r="G1484" s="115" t="str">
        <x:v>1 niveaux ; 34 pièces ; 260 segments de mur ; 0 transitions. Inspection physique ; architecture complète encore ouverte.</x:v>
      </x:c>
      <x:c r="H1484" s="115" t="str">
        <x:v>L 840 ; l 1320 ; hauteur 12,32 m ; choix de composition auteur ; dimensions réelles à documenter</x:v>
      </x:c>
      <x:c r="I1484" s="115" t="str">
        <x:v>À équilibrer</x:v>
      </x:c>
      <x:c r="J1484" s="115" t="str">
        <x:v>Non</x:v>
      </x:c>
      <x:c r="K1484" s="115" t="str">
        <x:v>Pièces décrites, murs, portes, niveaux et mobilier inspectables à l’échelle. Volumes réservés, raccord au seed, butin, rencontres et services de campagne restent à terminer.</x:v>
      </x:c>
    </x:row>
    <x:row r="1485" ht="96" customHeight="1">
      <x:c r="A1485" s="115" t="str">
        <x:v>EXT-MONDE-T030-V30</x:v>
      </x:c>
      <x:c r="B1485" s="115" t="str">
        <x:v>EXT-MONDE-T030</x:v>
      </x:c>
      <x:c r="C1485" s="115" t="str">
        <x:v>Ponts</x:v>
      </x:c>
      <x:c r="D1485" s="115" t="str">
        <x:v>Pont à arches</x:v>
      </x:c>
      <x:c r="E1485" s="115" t="n">
        <x:v>30</x:v>
      </x:c>
      <x:c r="F1485" s="115" t="str">
        <x:v>Inspection physique</x:v>
      </x:c>
      <x:c r="G1485" s="115" t="str">
        <x:v>1 niveaux ; 34 pièces ; 260 segments de mur ; 0 transitions. Inspection physique ; architecture complète encore ouverte.</x:v>
      </x:c>
      <x:c r="H1485" s="115" t="str">
        <x:v>L 840 ; l 1320 ; hauteur 12,36 m ; choix de composition auteur ; dimensions réelles à documenter</x:v>
      </x:c>
      <x:c r="I1485" s="115" t="str">
        <x:v>À équilibrer</x:v>
      </x:c>
      <x:c r="J1485" s="115" t="str">
        <x:v>Non</x:v>
      </x:c>
      <x:c r="K1485" s="115" t="str">
        <x:v>Pièces décrites, murs, portes, niveaux et mobilier inspectables à l’échelle. Volumes réservés, raccord au seed, butin, rencontres et services de campagne restent à terminer.</x:v>
      </x:c>
    </x:row>
    <x:row r="1486" ht="96" customHeight="1">
      <x:c r="A1486" s="115" t="str">
        <x:v>EXT-MONDE-T030-V31</x:v>
      </x:c>
      <x:c r="B1486" s="115" t="str">
        <x:v>EXT-MONDE-T030</x:v>
      </x:c>
      <x:c r="C1486" s="115" t="str">
        <x:v>Ponts</x:v>
      </x:c>
      <x:c r="D1486" s="115" t="str">
        <x:v>Pont à arches</x:v>
      </x:c>
      <x:c r="E1486" s="115" t="n">
        <x:v>31</x:v>
      </x:c>
      <x:c r="F1486" s="115" t="str">
        <x:v>Inspection physique</x:v>
      </x:c>
      <x:c r="G1486" s="115" t="str">
        <x:v>1 niveaux ; 34 pièces ; 260 segments de mur ; 0 transitions. Inspection physique ; architecture complète encore ouverte.</x:v>
      </x:c>
      <x:c r="H1486" s="115" t="str">
        <x:v>L 920 ; l 1480 ; hauteur 12 m ; choix de composition auteur ; dimensions réelles à documenter</x:v>
      </x:c>
      <x:c r="I1486" s="115" t="str">
        <x:v>À équilibrer</x:v>
      </x:c>
      <x:c r="J1486" s="115" t="str">
        <x:v>Non</x:v>
      </x:c>
      <x:c r="K1486" s="115" t="str">
        <x:v>Pièces décrites, murs, portes, niveaux et mobilier inspectables à l’échelle. Volumes réservés, raccord au seed, butin, rencontres et services de campagne restent à terminer.</x:v>
      </x:c>
    </x:row>
    <x:row r="1487" ht="96" customHeight="1">
      <x:c r="A1487" s="115" t="str">
        <x:v>EXT-MONDE-T030-V32</x:v>
      </x:c>
      <x:c r="B1487" s="115" t="str">
        <x:v>EXT-MONDE-T030</x:v>
      </x:c>
      <x:c r="C1487" s="115" t="str">
        <x:v>Ponts</x:v>
      </x:c>
      <x:c r="D1487" s="115" t="str">
        <x:v>Pont à arches</x:v>
      </x:c>
      <x:c r="E1487" s="115" t="n">
        <x:v>32</x:v>
      </x:c>
      <x:c r="F1487" s="115" t="str">
        <x:v>Inspection physique</x:v>
      </x:c>
      <x:c r="G1487" s="115" t="str">
        <x:v>1 niveaux ; 34 pièces ; 260 segments de mur ; 0 transitions. Inspection physique ; architecture complète encore ouverte.</x:v>
      </x:c>
      <x:c r="H1487" s="115" t="str">
        <x:v>L 920 ; l 1480 ; hauteur 12,04 m ; choix de composition auteur ; dimensions réelles à documenter</x:v>
      </x:c>
      <x:c r="I1487" s="115" t="str">
        <x:v>À équilibrer</x:v>
      </x:c>
      <x:c r="J1487" s="115" t="str">
        <x:v>Non</x:v>
      </x:c>
      <x:c r="K1487" s="115" t="str">
        <x:v>Pièces décrites, murs, portes, niveaux et mobilier inspectables à l’échelle. Volumes réservés, raccord au seed, butin, rencontres et services de campagne restent à terminer.</x:v>
      </x:c>
    </x:row>
    <x:row r="1488" ht="96" customHeight="1">
      <x:c r="A1488" s="115" t="str">
        <x:v>EXT-MONDE-T030-V33</x:v>
      </x:c>
      <x:c r="B1488" s="115" t="str">
        <x:v>EXT-MONDE-T030</x:v>
      </x:c>
      <x:c r="C1488" s="115" t="str">
        <x:v>Ponts</x:v>
      </x:c>
      <x:c r="D1488" s="115" t="str">
        <x:v>Pont à arches</x:v>
      </x:c>
      <x:c r="E1488" s="115" t="n">
        <x:v>33</x:v>
      </x:c>
      <x:c r="F1488" s="115" t="str">
        <x:v>Inspection physique</x:v>
      </x:c>
      <x:c r="G1488" s="115" t="str">
        <x:v>1 niveaux ; 34 pièces ; 260 segments de mur ; 0 transitions. Inspection physique ; architecture complète encore ouverte.</x:v>
      </x:c>
      <x:c r="H1488" s="115" t="str">
        <x:v>L 920 ; l 1480 ; hauteur 12,08 m ; choix de composition auteur ; dimensions réelles à documenter</x:v>
      </x:c>
      <x:c r="I1488" s="115" t="str">
        <x:v>À équilibrer</x:v>
      </x:c>
      <x:c r="J1488" s="115" t="str">
        <x:v>Non</x:v>
      </x:c>
      <x:c r="K1488" s="115" t="str">
        <x:v>Pièces décrites, murs, portes, niveaux et mobilier inspectables à l’échelle. Volumes réservés, raccord au seed, butin, rencontres et services de campagne restent à terminer.</x:v>
      </x:c>
    </x:row>
    <x:row r="1489" ht="96" customHeight="1">
      <x:c r="A1489" s="115" t="str">
        <x:v>EXT-MONDE-T030-V34</x:v>
      </x:c>
      <x:c r="B1489" s="115" t="str">
        <x:v>EXT-MONDE-T030</x:v>
      </x:c>
      <x:c r="C1489" s="115" t="str">
        <x:v>Ponts</x:v>
      </x:c>
      <x:c r="D1489" s="115" t="str">
        <x:v>Pont à arches</x:v>
      </x:c>
      <x:c r="E1489" s="115" t="n">
        <x:v>34</x:v>
      </x:c>
      <x:c r="F1489" s="115" t="str">
        <x:v>Inspection physique</x:v>
      </x:c>
      <x:c r="G1489" s="115" t="str">
        <x:v>1 niveaux ; 34 pièces ; 260 segments de mur ; 0 transitions. Inspection physique ; architecture complète encore ouverte.</x:v>
      </x:c>
      <x:c r="H1489" s="115" t="str">
        <x:v>L 920 ; l 1480 ; hauteur 12,12 m ; choix de composition auteur ; dimensions réelles à documenter</x:v>
      </x:c>
      <x:c r="I1489" s="115" t="str">
        <x:v>À équilibrer</x:v>
      </x:c>
      <x:c r="J1489" s="115" t="str">
        <x:v>Non</x:v>
      </x:c>
      <x:c r="K1489" s="115" t="str">
        <x:v>Pièces décrites, murs, portes, niveaux et mobilier inspectables à l’échelle. Volumes réservés, raccord au seed, butin, rencontres et services de campagne restent à terminer.</x:v>
      </x:c>
    </x:row>
    <x:row r="1490" ht="96" customHeight="1">
      <x:c r="A1490" s="115" t="str">
        <x:v>EXT-MONDE-T030-V35</x:v>
      </x:c>
      <x:c r="B1490" s="115" t="str">
        <x:v>EXT-MONDE-T030</x:v>
      </x:c>
      <x:c r="C1490" s="115" t="str">
        <x:v>Ponts</x:v>
      </x:c>
      <x:c r="D1490" s="115" t="str">
        <x:v>Pont à arches</x:v>
      </x:c>
      <x:c r="E1490" s="115" t="n">
        <x:v>35</x:v>
      </x:c>
      <x:c r="F1490" s="115" t="str">
        <x:v>Inspection physique</x:v>
      </x:c>
      <x:c r="G1490" s="115" t="str">
        <x:v>1 niveaux ; 34 pièces ; 260 segments de mur ; 0 transitions. Inspection physique ; architecture complète encore ouverte.</x:v>
      </x:c>
      <x:c r="H1490" s="115" t="str">
        <x:v>L 920 ; l 1480 ; hauteur 12,16 m ; choix de composition auteur ; dimensions réelles à documenter</x:v>
      </x:c>
      <x:c r="I1490" s="115" t="str">
        <x:v>À équilibrer</x:v>
      </x:c>
      <x:c r="J1490" s="115" t="str">
        <x:v>Non</x:v>
      </x:c>
      <x:c r="K1490" s="115" t="str">
        <x:v>Pièces décrites, murs, portes, niveaux et mobilier inspectables à l’échelle. Volumes réservés, raccord au seed, butin, rencontres et services de campagne restent à terminer.</x:v>
      </x:c>
    </x:row>
    <x:row r="1491" ht="96" customHeight="1">
      <x:c r="A1491" s="115" t="str">
        <x:v>EXT-MONDE-T030-V36</x:v>
      </x:c>
      <x:c r="B1491" s="115" t="str">
        <x:v>EXT-MONDE-T030</x:v>
      </x:c>
      <x:c r="C1491" s="115" t="str">
        <x:v>Ponts</x:v>
      </x:c>
      <x:c r="D1491" s="115" t="str">
        <x:v>Pont à arches</x:v>
      </x:c>
      <x:c r="E1491" s="115" t="n">
        <x:v>36</x:v>
      </x:c>
      <x:c r="F1491" s="115" t="str">
        <x:v>Inspection physique</x:v>
      </x:c>
      <x:c r="G1491" s="115" t="str">
        <x:v>1 niveaux ; 34 pièces ; 260 segments de mur ; 0 transitions. Inspection physique ; architecture complète encore ouverte.</x:v>
      </x:c>
      <x:c r="H1491" s="115" t="str">
        <x:v>L 920 ; l 1480 ; hauteur 12,2 m ; choix de composition auteur ; dimensions réelles à documenter</x:v>
      </x:c>
      <x:c r="I1491" s="115" t="str">
        <x:v>À équilibrer</x:v>
      </x:c>
      <x:c r="J1491" s="115" t="str">
        <x:v>Non</x:v>
      </x:c>
      <x:c r="K1491" s="115" t="str">
        <x:v>Pièces décrites, murs, portes, niveaux et mobilier inspectables à l’échelle. Volumes réservés, raccord au seed, butin, rencontres et services de campagne restent à terminer.</x:v>
      </x:c>
    </x:row>
    <x:row r="1492" ht="96" customHeight="1">
      <x:c r="A1492" s="115" t="str">
        <x:v>EXT-MONDE-T030-V37</x:v>
      </x:c>
      <x:c r="B1492" s="115" t="str">
        <x:v>EXT-MONDE-T030</x:v>
      </x:c>
      <x:c r="C1492" s="115" t="str">
        <x:v>Ponts</x:v>
      </x:c>
      <x:c r="D1492" s="115" t="str">
        <x:v>Pont à arches</x:v>
      </x:c>
      <x:c r="E1492" s="115" t="n">
        <x:v>37</x:v>
      </x:c>
      <x:c r="F1492" s="115" t="str">
        <x:v>Inspection physique</x:v>
      </x:c>
      <x:c r="G1492" s="115" t="str">
        <x:v>1 niveaux ; 34 pièces ; 260 segments de mur ; 0 transitions. Inspection physique ; architecture complète encore ouverte.</x:v>
      </x:c>
      <x:c r="H1492" s="115" t="str">
        <x:v>L 920 ; l 1480 ; hauteur 12,24 m ; choix de composition auteur ; dimensions réelles à documenter</x:v>
      </x:c>
      <x:c r="I1492" s="115" t="str">
        <x:v>À équilibrer</x:v>
      </x:c>
      <x:c r="J1492" s="115" t="str">
        <x:v>Non</x:v>
      </x:c>
      <x:c r="K1492" s="115" t="str">
        <x:v>Pièces décrites, murs, portes, niveaux et mobilier inspectables à l’échelle. Volumes réservés, raccord au seed, butin, rencontres et services de campagne restent à terminer.</x:v>
      </x:c>
    </x:row>
    <x:row r="1493" ht="96" customHeight="1">
      <x:c r="A1493" s="115" t="str">
        <x:v>EXT-MONDE-T030-V38</x:v>
      </x:c>
      <x:c r="B1493" s="115" t="str">
        <x:v>EXT-MONDE-T030</x:v>
      </x:c>
      <x:c r="C1493" s="115" t="str">
        <x:v>Ponts</x:v>
      </x:c>
      <x:c r="D1493" s="115" t="str">
        <x:v>Pont à arches</x:v>
      </x:c>
      <x:c r="E1493" s="115" t="n">
        <x:v>38</x:v>
      </x:c>
      <x:c r="F1493" s="115" t="str">
        <x:v>Inspection physique</x:v>
      </x:c>
      <x:c r="G1493" s="115" t="str">
        <x:v>1 niveaux ; 34 pièces ; 260 segments de mur ; 0 transitions. Inspection physique ; architecture complète encore ouverte.</x:v>
      </x:c>
      <x:c r="H1493" s="115" t="str">
        <x:v>L 920 ; l 1480 ; hauteur 12,28 m ; choix de composition auteur ; dimensions réelles à documenter</x:v>
      </x:c>
      <x:c r="I1493" s="115" t="str">
        <x:v>À équilibrer</x:v>
      </x:c>
      <x:c r="J1493" s="115" t="str">
        <x:v>Non</x:v>
      </x:c>
      <x:c r="K1493" s="115" t="str">
        <x:v>Pièces décrites, murs, portes, niveaux et mobilier inspectables à l’échelle. Volumes réservés, raccord au seed, butin, rencontres et services de campagne restent à terminer.</x:v>
      </x:c>
    </x:row>
    <x:row r="1494" ht="96" customHeight="1">
      <x:c r="A1494" s="115" t="str">
        <x:v>EXT-MONDE-T030-V39</x:v>
      </x:c>
      <x:c r="B1494" s="115" t="str">
        <x:v>EXT-MONDE-T030</x:v>
      </x:c>
      <x:c r="C1494" s="115" t="str">
        <x:v>Ponts</x:v>
      </x:c>
      <x:c r="D1494" s="115" t="str">
        <x:v>Pont à arches</x:v>
      </x:c>
      <x:c r="E1494" s="115" t="n">
        <x:v>39</x:v>
      </x:c>
      <x:c r="F1494" s="115" t="str">
        <x:v>Inspection physique</x:v>
      </x:c>
      <x:c r="G1494" s="115" t="str">
        <x:v>1 niveaux ; 34 pièces ; 260 segments de mur ; 0 transitions. Inspection physique ; architecture complète encore ouverte.</x:v>
      </x:c>
      <x:c r="H1494" s="115" t="str">
        <x:v>L 920 ; l 1480 ; hauteur 12,32 m ; choix de composition auteur ; dimensions réelles à documenter</x:v>
      </x:c>
      <x:c r="I1494" s="115" t="str">
        <x:v>À équilibrer</x:v>
      </x:c>
      <x:c r="J1494" s="115" t="str">
        <x:v>Non</x:v>
      </x:c>
      <x:c r="K1494" s="115" t="str">
        <x:v>Pièces décrites, murs, portes, niveaux et mobilier inspectables à l’échelle. Volumes réservés, raccord au seed, butin, rencontres et services de campagne restent à terminer.</x:v>
      </x:c>
    </x:row>
    <x:row r="1495" ht="96" customHeight="1">
      <x:c r="A1495" s="115" t="str">
        <x:v>EXT-MONDE-T030-V40</x:v>
      </x:c>
      <x:c r="B1495" s="115" t="str">
        <x:v>EXT-MONDE-T030</x:v>
      </x:c>
      <x:c r="C1495" s="115" t="str">
        <x:v>Ponts</x:v>
      </x:c>
      <x:c r="D1495" s="115" t="str">
        <x:v>Pont à arches</x:v>
      </x:c>
      <x:c r="E1495" s="115" t="n">
        <x:v>40</x:v>
      </x:c>
      <x:c r="F1495" s="115" t="str">
        <x:v>Inspection physique</x:v>
      </x:c>
      <x:c r="G1495" s="115" t="str">
        <x:v>1 niveaux ; 34 pièces ; 260 segments de mur ; 0 transitions. Inspection physique ; architecture complète encore ouverte.</x:v>
      </x:c>
      <x:c r="H1495" s="115" t="str">
        <x:v>L 920 ; l 1480 ; hauteur 12,36 m ; choix de composition auteur ; dimensions réelles à documenter</x:v>
      </x:c>
      <x:c r="I1495" s="115" t="str">
        <x:v>À équilibrer</x:v>
      </x:c>
      <x:c r="J1495" s="115" t="str">
        <x:v>Non</x:v>
      </x:c>
      <x:c r="K1495" s="115" t="str">
        <x:v>Pièces décrites, murs, portes, niveaux et mobilier inspectables à l’échelle. Volumes réservés, raccord au seed, butin, rencontres et services de campagne restent à terminer.</x:v>
      </x:c>
    </x:row>
    <x:row r="1496" ht="96" customHeight="1">
      <x:c r="A1496" s="115" t="str">
        <x:v>EXT-MONDE-T030-V41</x:v>
      </x:c>
      <x:c r="B1496" s="115" t="str">
        <x:v>EXT-MONDE-T030</x:v>
      </x:c>
      <x:c r="C1496" s="115" t="str">
        <x:v>Ponts</x:v>
      </x:c>
      <x:c r="D1496" s="115" t="str">
        <x:v>Pont à arches</x:v>
      </x:c>
      <x:c r="E1496" s="115" t="n">
        <x:v>41</x:v>
      </x:c>
      <x:c r="F1496" s="115" t="str">
        <x:v>Inspection physique</x:v>
      </x:c>
      <x:c r="G1496" s="115" t="str">
        <x:v>1 niveaux ; 34 pièces ; 260 segments de mur ; 0 transitions. Inspection physique ; architecture complète encore ouverte.</x:v>
      </x:c>
      <x:c r="H1496" s="115" t="str">
        <x:v>L 1000 ; l 1640 ; hauteur 12 m ; choix de composition auteur ; dimensions réelles à documenter</x:v>
      </x:c>
      <x:c r="I1496" s="115" t="str">
        <x:v>À équilibrer</x:v>
      </x:c>
      <x:c r="J1496" s="115" t="str">
        <x:v>Non</x:v>
      </x:c>
      <x:c r="K1496" s="115" t="str">
        <x:v>Pièces décrites, murs, portes, niveaux et mobilier inspectables à l’échelle. Volumes réservés, raccord au seed, butin, rencontres et services de campagne restent à terminer.</x:v>
      </x:c>
    </x:row>
    <x:row r="1497" ht="96" customHeight="1">
      <x:c r="A1497" s="115" t="str">
        <x:v>EXT-MONDE-T030-V42</x:v>
      </x:c>
      <x:c r="B1497" s="115" t="str">
        <x:v>EXT-MONDE-T030</x:v>
      </x:c>
      <x:c r="C1497" s="115" t="str">
        <x:v>Ponts</x:v>
      </x:c>
      <x:c r="D1497" s="115" t="str">
        <x:v>Pont à arches</x:v>
      </x:c>
      <x:c r="E1497" s="115" t="n">
        <x:v>42</x:v>
      </x:c>
      <x:c r="F1497" s="115" t="str">
        <x:v>Inspection physique</x:v>
      </x:c>
      <x:c r="G1497" s="115" t="str">
        <x:v>1 niveaux ; 34 pièces ; 260 segments de mur ; 0 transitions. Inspection physique ; architecture complète encore ouverte.</x:v>
      </x:c>
      <x:c r="H1497" s="115" t="str">
        <x:v>L 1000 ; l 1640 ; hauteur 12,04 m ; choix de composition auteur ; dimensions réelles à documenter</x:v>
      </x:c>
      <x:c r="I1497" s="115" t="str">
        <x:v>À équilibrer</x:v>
      </x:c>
      <x:c r="J1497" s="115" t="str">
        <x:v>Non</x:v>
      </x:c>
      <x:c r="K1497" s="115" t="str">
        <x:v>Pièces décrites, murs, portes, niveaux et mobilier inspectables à l’échelle. Volumes réservés, raccord au seed, butin, rencontres et services de campagne restent à terminer.</x:v>
      </x:c>
    </x:row>
    <x:row r="1498" ht="96" customHeight="1">
      <x:c r="A1498" s="115" t="str">
        <x:v>EXT-MONDE-T030-V43</x:v>
      </x:c>
      <x:c r="B1498" s="115" t="str">
        <x:v>EXT-MONDE-T030</x:v>
      </x:c>
      <x:c r="C1498" s="115" t="str">
        <x:v>Ponts</x:v>
      </x:c>
      <x:c r="D1498" s="115" t="str">
        <x:v>Pont à arches</x:v>
      </x:c>
      <x:c r="E1498" s="115" t="n">
        <x:v>43</x:v>
      </x:c>
      <x:c r="F1498" s="115" t="str">
        <x:v>Inspection physique</x:v>
      </x:c>
      <x:c r="G1498" s="115" t="str">
        <x:v>1 niveaux ; 34 pièces ; 260 segments de mur ; 0 transitions. Inspection physique ; architecture complète encore ouverte.</x:v>
      </x:c>
      <x:c r="H1498" s="115" t="str">
        <x:v>L 1000 ; l 1640 ; hauteur 12,08 m ; choix de composition auteur ; dimensions réelles à documenter</x:v>
      </x:c>
      <x:c r="I1498" s="115" t="str">
        <x:v>À équilibrer</x:v>
      </x:c>
      <x:c r="J1498" s="115" t="str">
        <x:v>Non</x:v>
      </x:c>
      <x:c r="K1498" s="115" t="str">
        <x:v>Pièces décrites, murs, portes, niveaux et mobilier inspectables à l’échelle. Volumes réservés, raccord au seed, butin, rencontres et services de campagne restent à terminer.</x:v>
      </x:c>
    </x:row>
    <x:row r="1499" ht="96" customHeight="1">
      <x:c r="A1499" s="115" t="str">
        <x:v>EXT-MONDE-T030-V44</x:v>
      </x:c>
      <x:c r="B1499" s="115" t="str">
        <x:v>EXT-MONDE-T030</x:v>
      </x:c>
      <x:c r="C1499" s="115" t="str">
        <x:v>Ponts</x:v>
      </x:c>
      <x:c r="D1499" s="115" t="str">
        <x:v>Pont à arches</x:v>
      </x:c>
      <x:c r="E1499" s="115" t="n">
        <x:v>44</x:v>
      </x:c>
      <x:c r="F1499" s="115" t="str">
        <x:v>Inspection physique</x:v>
      </x:c>
      <x:c r="G1499" s="115" t="str">
        <x:v>1 niveaux ; 34 pièces ; 260 segments de mur ; 0 transitions. Inspection physique ; architecture complète encore ouverte.</x:v>
      </x:c>
      <x:c r="H1499" s="115" t="str">
        <x:v>L 1000 ; l 1640 ; hauteur 12,12 m ; choix de composition auteur ; dimensions réelles à documenter</x:v>
      </x:c>
      <x:c r="I1499" s="115" t="str">
        <x:v>À équilibrer</x:v>
      </x:c>
      <x:c r="J1499" s="115" t="str">
        <x:v>Non</x:v>
      </x:c>
      <x:c r="K1499" s="115" t="str">
        <x:v>Pièces décrites, murs, portes, niveaux et mobilier inspectables à l’échelle. Volumes réservés, raccord au seed, butin, rencontres et services de campagne restent à terminer.</x:v>
      </x:c>
    </x:row>
    <x:row r="1500" ht="96" customHeight="1">
      <x:c r="A1500" s="115" t="str">
        <x:v>EXT-MONDE-T030-V45</x:v>
      </x:c>
      <x:c r="B1500" s="115" t="str">
        <x:v>EXT-MONDE-T030</x:v>
      </x:c>
      <x:c r="C1500" s="115" t="str">
        <x:v>Ponts</x:v>
      </x:c>
      <x:c r="D1500" s="115" t="str">
        <x:v>Pont à arches</x:v>
      </x:c>
      <x:c r="E1500" s="115" t="n">
        <x:v>45</x:v>
      </x:c>
      <x:c r="F1500" s="115" t="str">
        <x:v>Inspection physique</x:v>
      </x:c>
      <x:c r="G1500" s="115" t="str">
        <x:v>1 niveaux ; 34 pièces ; 260 segments de mur ; 0 transitions. Inspection physique ; architecture complète encore ouverte.</x:v>
      </x:c>
      <x:c r="H1500" s="115" t="str">
        <x:v>L 1000 ; l 1640 ; hauteur 12,16 m ; choix de composition auteur ; dimensions réelles à documenter</x:v>
      </x:c>
      <x:c r="I1500" s="115" t="str">
        <x:v>À équilibrer</x:v>
      </x:c>
      <x:c r="J1500" s="115" t="str">
        <x:v>Non</x:v>
      </x:c>
      <x:c r="K1500" s="115" t="str">
        <x:v>Pièces décrites, murs, portes, niveaux et mobilier inspectables à l’échelle. Volumes réservés, raccord au seed, butin, rencontres et services de campagne restent à terminer.</x:v>
      </x:c>
    </x:row>
    <x:row r="1501" ht="96" customHeight="1">
      <x:c r="A1501" s="115" t="str">
        <x:v>EXT-MONDE-T030-V46</x:v>
      </x:c>
      <x:c r="B1501" s="115" t="str">
        <x:v>EXT-MONDE-T030</x:v>
      </x:c>
      <x:c r="C1501" s="115" t="str">
        <x:v>Ponts</x:v>
      </x:c>
      <x:c r="D1501" s="115" t="str">
        <x:v>Pont à arches</x:v>
      </x:c>
      <x:c r="E1501" s="115" t="n">
        <x:v>46</x:v>
      </x:c>
      <x:c r="F1501" s="115" t="str">
        <x:v>Inspection physique</x:v>
      </x:c>
      <x:c r="G1501" s="115" t="str">
        <x:v>1 niveaux ; 34 pièces ; 260 segments de mur ; 0 transitions. Inspection physique ; architecture complète encore ouverte.</x:v>
      </x:c>
      <x:c r="H1501" s="115" t="str">
        <x:v>L 1000 ; l 1640 ; hauteur 12,2 m ; choix de composition auteur ; dimensions réelles à documenter</x:v>
      </x:c>
      <x:c r="I1501" s="115" t="str">
        <x:v>À équilibrer</x:v>
      </x:c>
      <x:c r="J1501" s="115" t="str">
        <x:v>Non</x:v>
      </x:c>
      <x:c r="K1501" s="115" t="str">
        <x:v>Pièces décrites, murs, portes, niveaux et mobilier inspectables à l’échelle. Volumes réservés, raccord au seed, butin, rencontres et services de campagne restent à terminer.</x:v>
      </x:c>
    </x:row>
    <x:row r="1502" ht="96" customHeight="1">
      <x:c r="A1502" s="115" t="str">
        <x:v>EXT-MONDE-T030-V47</x:v>
      </x:c>
      <x:c r="B1502" s="115" t="str">
        <x:v>EXT-MONDE-T030</x:v>
      </x:c>
      <x:c r="C1502" s="115" t="str">
        <x:v>Ponts</x:v>
      </x:c>
      <x:c r="D1502" s="115" t="str">
        <x:v>Pont à arches</x:v>
      </x:c>
      <x:c r="E1502" s="115" t="n">
        <x:v>47</x:v>
      </x:c>
      <x:c r="F1502" s="115" t="str">
        <x:v>Inspection physique</x:v>
      </x:c>
      <x:c r="G1502" s="115" t="str">
        <x:v>1 niveaux ; 34 pièces ; 260 segments de mur ; 0 transitions. Inspection physique ; architecture complète encore ouverte.</x:v>
      </x:c>
      <x:c r="H1502" s="115" t="str">
        <x:v>L 1000 ; l 1640 ; hauteur 12,24 m ; choix de composition auteur ; dimensions réelles à documenter</x:v>
      </x:c>
      <x:c r="I1502" s="115" t="str">
        <x:v>À équilibrer</x:v>
      </x:c>
      <x:c r="J1502" s="115" t="str">
        <x:v>Non</x:v>
      </x:c>
      <x:c r="K1502" s="115" t="str">
        <x:v>Pièces décrites, murs, portes, niveaux et mobilier inspectables à l’échelle. Volumes réservés, raccord au seed, butin, rencontres et services de campagne restent à terminer.</x:v>
      </x:c>
    </x:row>
    <x:row r="1503" ht="96" customHeight="1">
      <x:c r="A1503" s="115" t="str">
        <x:v>EXT-MONDE-T030-V48</x:v>
      </x:c>
      <x:c r="B1503" s="115" t="str">
        <x:v>EXT-MONDE-T030</x:v>
      </x:c>
      <x:c r="C1503" s="115" t="str">
        <x:v>Ponts</x:v>
      </x:c>
      <x:c r="D1503" s="115" t="str">
        <x:v>Pont à arches</x:v>
      </x:c>
      <x:c r="E1503" s="115" t="n">
        <x:v>48</x:v>
      </x:c>
      <x:c r="F1503" s="115" t="str">
        <x:v>Inspection physique</x:v>
      </x:c>
      <x:c r="G1503" s="115" t="str">
        <x:v>1 niveaux ; 34 pièces ; 260 segments de mur ; 0 transitions. Inspection physique ; architecture complète encore ouverte.</x:v>
      </x:c>
      <x:c r="H1503" s="115" t="str">
        <x:v>L 1000 ; l 1640 ; hauteur 12,28 m ; choix de composition auteur ; dimensions réelles à documenter</x:v>
      </x:c>
      <x:c r="I1503" s="115" t="str">
        <x:v>À équilibrer</x:v>
      </x:c>
      <x:c r="J1503" s="115" t="str">
        <x:v>Non</x:v>
      </x:c>
      <x:c r="K1503" s="115" t="str">
        <x:v>Pièces décrites, murs, portes, niveaux et mobilier inspectables à l’échelle. Volumes réservés, raccord au seed, butin, rencontres et services de campagne restent à terminer.</x:v>
      </x:c>
    </x:row>
    <x:row r="1504" ht="96" customHeight="1">
      <x:c r="A1504" s="115" t="str">
        <x:v>EXT-MONDE-T030-V49</x:v>
      </x:c>
      <x:c r="B1504" s="115" t="str">
        <x:v>EXT-MONDE-T030</x:v>
      </x:c>
      <x:c r="C1504" s="115" t="str">
        <x:v>Ponts</x:v>
      </x:c>
      <x:c r="D1504" s="115" t="str">
        <x:v>Pont à arches</x:v>
      </x:c>
      <x:c r="E1504" s="115" t="n">
        <x:v>49</x:v>
      </x:c>
      <x:c r="F1504" s="115" t="str">
        <x:v>Inspection physique</x:v>
      </x:c>
      <x:c r="G1504" s="115" t="str">
        <x:v>1 niveaux ; 34 pièces ; 260 segments de mur ; 0 transitions. Inspection physique ; architecture complète encore ouverte.</x:v>
      </x:c>
      <x:c r="H1504" s="115" t="str">
        <x:v>L 1000 ; l 1640 ; hauteur 12,32 m ; choix de composition auteur ; dimensions réelles à documenter</x:v>
      </x:c>
      <x:c r="I1504" s="115" t="str">
        <x:v>À équilibrer</x:v>
      </x:c>
      <x:c r="J1504" s="115" t="str">
        <x:v>Non</x:v>
      </x:c>
      <x:c r="K1504" s="115" t="str">
        <x:v>Pièces décrites, murs, portes, niveaux et mobilier inspectables à l’échelle. Volumes réservés, raccord au seed, butin, rencontres et services de campagne restent à terminer.</x:v>
      </x:c>
    </x:row>
    <x:row r="1505" ht="96" customHeight="1">
      <x:c r="A1505" s="115" t="str">
        <x:v>EXT-MONDE-T030-V50</x:v>
      </x:c>
      <x:c r="B1505" s="115" t="str">
        <x:v>EXT-MONDE-T030</x:v>
      </x:c>
      <x:c r="C1505" s="115" t="str">
        <x:v>Ponts</x:v>
      </x:c>
      <x:c r="D1505" s="115" t="str">
        <x:v>Pont à arches</x:v>
      </x:c>
      <x:c r="E1505" s="115" t="n">
        <x:v>50</x:v>
      </x:c>
      <x:c r="F1505" s="115" t="str">
        <x:v>Inspection physique</x:v>
      </x:c>
      <x:c r="G1505" s="115" t="str">
        <x:v>1 niveaux ; 34 pièces ; 260 segments de mur ; 0 transitions. Inspection physique ; architecture complète encore ouverte.</x:v>
      </x:c>
      <x:c r="H1505" s="115" t="str">
        <x:v>L 1000 ; l 1640 ; hauteur 12,36 m ; choix de composition auteur ; dimensions réelles à documenter</x:v>
      </x:c>
      <x:c r="I1505" s="115" t="str">
        <x:v>À équilibrer</x:v>
      </x:c>
      <x:c r="J1505" s="115" t="str">
        <x:v>Non</x:v>
      </x:c>
      <x:c r="K1505" s="115" t="str">
        <x:v>Pièces décrites, murs, portes, niveaux et mobilier inspectables à l’échelle. Volumes réservés, raccord au seed, butin, rencontres et services de campagne restent à terminer.</x:v>
      </x:c>
    </x:row>
    <x:row r="1506" ht="96" customHeight="1">
      <x:c r="A1506" s="115" t="str">
        <x:v>EXT-MONDE-T031-V01</x:v>
      </x:c>
      <x:c r="B1506" s="115" t="str">
        <x:v>EXT-MONDE-T031</x:v>
      </x:c>
      <x:c r="C1506" s="115" t="str">
        <x:v>Ponts</x:v>
      </x:c>
      <x:c r="D1506" s="115" t="str">
        <x:v>Pont levant portuaire</x:v>
      </x:c>
      <x:c r="E1506" s="115" t="n">
        <x:v>1</x:v>
      </x:c>
      <x:c r="F1506" s="115" t="str">
        <x:v>Inspection physique</x:v>
      </x:c>
      <x:c r="G1506" s="115" t="str">
        <x:v>1 niveaux ; 34 pièces ; 260 segments de mur ; 0 transitions. Inspection physique ; architecture complète encore ouverte.</x:v>
      </x:c>
      <x:c r="H1506" s="115" t="str">
        <x:v>L 660 ; l 900 ; hauteur 28,5 m ; choix de composition auteur ; dimensions réelles à documenter</x:v>
      </x:c>
      <x:c r="I1506" s="115" t="str">
        <x:v>À équilibrer</x:v>
      </x:c>
      <x:c r="J1506" s="115" t="str">
        <x:v>Non</x:v>
      </x:c>
      <x:c r="K1506" s="115" t="str">
        <x:v>Pièces décrites, murs, portes, niveaux et mobilier inspectables à l’échelle. Volumes réservés, raccord au seed, butin, rencontres et services de campagne restent à terminer.</x:v>
      </x:c>
    </x:row>
    <x:row r="1507" ht="96" customHeight="1">
      <x:c r="A1507" s="115" t="str">
        <x:v>EXT-MONDE-T031-V02</x:v>
      </x:c>
      <x:c r="B1507" s="115" t="str">
        <x:v>EXT-MONDE-T031</x:v>
      </x:c>
      <x:c r="C1507" s="115" t="str">
        <x:v>Ponts</x:v>
      </x:c>
      <x:c r="D1507" s="115" t="str">
        <x:v>Pont levant portuaire</x:v>
      </x:c>
      <x:c r="E1507" s="115" t="n">
        <x:v>2</x:v>
      </x:c>
      <x:c r="F1507" s="115" t="str">
        <x:v>Inspection physique</x:v>
      </x:c>
      <x:c r="G1507" s="115" t="str">
        <x:v>1 niveaux ; 34 pièces ; 260 segments de mur ; 0 transitions. Inspection physique ; architecture complète encore ouverte.</x:v>
      </x:c>
      <x:c r="H1507" s="115" t="str">
        <x:v>L 660 ; l 900 ; hauteur 28,54 m ; choix de composition auteur ; dimensions réelles à documenter</x:v>
      </x:c>
      <x:c r="I1507" s="115" t="str">
        <x:v>À équilibrer</x:v>
      </x:c>
      <x:c r="J1507" s="115" t="str">
        <x:v>Non</x:v>
      </x:c>
      <x:c r="K1507" s="115" t="str">
        <x:v>Pièces décrites, murs, portes, niveaux et mobilier inspectables à l’échelle. Volumes réservés, raccord au seed, butin, rencontres et services de campagne restent à terminer.</x:v>
      </x:c>
    </x:row>
    <x:row r="1508" ht="96" customHeight="1">
      <x:c r="A1508" s="115" t="str">
        <x:v>EXT-MONDE-T031-V03</x:v>
      </x:c>
      <x:c r="B1508" s="115" t="str">
        <x:v>EXT-MONDE-T031</x:v>
      </x:c>
      <x:c r="C1508" s="115" t="str">
        <x:v>Ponts</x:v>
      </x:c>
      <x:c r="D1508" s="115" t="str">
        <x:v>Pont levant portuaire</x:v>
      </x:c>
      <x:c r="E1508" s="115" t="n">
        <x:v>3</x:v>
      </x:c>
      <x:c r="F1508" s="115" t="str">
        <x:v>Inspection physique</x:v>
      </x:c>
      <x:c r="G1508" s="115" t="str">
        <x:v>1 niveaux ; 34 pièces ; 260 segments de mur ; 0 transitions. Inspection physique ; architecture complète encore ouverte.</x:v>
      </x:c>
      <x:c r="H1508" s="115" t="str">
        <x:v>L 660 ; l 900 ; hauteur 28,58 m ; choix de composition auteur ; dimensions réelles à documenter</x:v>
      </x:c>
      <x:c r="I1508" s="115" t="str">
        <x:v>À équilibrer</x:v>
      </x:c>
      <x:c r="J1508" s="115" t="str">
        <x:v>Non</x:v>
      </x:c>
      <x:c r="K1508" s="115" t="str">
        <x:v>Pièces décrites, murs, portes, niveaux et mobilier inspectables à l’échelle. Volumes réservés, raccord au seed, butin, rencontres et services de campagne restent à terminer.</x:v>
      </x:c>
    </x:row>
    <x:row r="1509" ht="96" customHeight="1">
      <x:c r="A1509" s="115" t="str">
        <x:v>EXT-MONDE-T031-V04</x:v>
      </x:c>
      <x:c r="B1509" s="115" t="str">
        <x:v>EXT-MONDE-T031</x:v>
      </x:c>
      <x:c r="C1509" s="115" t="str">
        <x:v>Ponts</x:v>
      </x:c>
      <x:c r="D1509" s="115" t="str">
        <x:v>Pont levant portuaire</x:v>
      </x:c>
      <x:c r="E1509" s="115" t="n">
        <x:v>4</x:v>
      </x:c>
      <x:c r="F1509" s="115" t="str">
        <x:v>Inspection physique</x:v>
      </x:c>
      <x:c r="G1509" s="115" t="str">
        <x:v>1 niveaux ; 34 pièces ; 260 segments de mur ; 0 transitions. Inspection physique ; architecture complète encore ouverte.</x:v>
      </x:c>
      <x:c r="H1509" s="115" t="str">
        <x:v>L 660 ; l 900 ; hauteur 28,62 m ; choix de composition auteur ; dimensions réelles à documenter</x:v>
      </x:c>
      <x:c r="I1509" s="115" t="str">
        <x:v>À équilibrer</x:v>
      </x:c>
      <x:c r="J1509" s="115" t="str">
        <x:v>Non</x:v>
      </x:c>
      <x:c r="K1509" s="115" t="str">
        <x:v>Pièces décrites, murs, portes, niveaux et mobilier inspectables à l’échelle. Volumes réservés, raccord au seed, butin, rencontres et services de campagne restent à terminer.</x:v>
      </x:c>
    </x:row>
    <x:row r="1510" ht="96" customHeight="1">
      <x:c r="A1510" s="115" t="str">
        <x:v>EXT-MONDE-T031-V05</x:v>
      </x:c>
      <x:c r="B1510" s="115" t="str">
        <x:v>EXT-MONDE-T031</x:v>
      </x:c>
      <x:c r="C1510" s="115" t="str">
        <x:v>Ponts</x:v>
      </x:c>
      <x:c r="D1510" s="115" t="str">
        <x:v>Pont levant portuaire</x:v>
      </x:c>
      <x:c r="E1510" s="115" t="n">
        <x:v>5</x:v>
      </x:c>
      <x:c r="F1510" s="115" t="str">
        <x:v>Inspection physique</x:v>
      </x:c>
      <x:c r="G1510" s="115" t="str">
        <x:v>1 niveaux ; 34 pièces ; 260 segments de mur ; 0 transitions. Inspection physique ; architecture complète encore ouverte.</x:v>
      </x:c>
      <x:c r="H1510" s="115" t="str">
        <x:v>L 660 ; l 900 ; hauteur 28,66 m ; choix de composition auteur ; dimensions réelles à documenter</x:v>
      </x:c>
      <x:c r="I1510" s="115" t="str">
        <x:v>À équilibrer</x:v>
      </x:c>
      <x:c r="J1510" s="115" t="str">
        <x:v>Non</x:v>
      </x:c>
      <x:c r="K1510" s="115" t="str">
        <x:v>Pièces décrites, murs, portes, niveaux et mobilier inspectables à l’échelle. Volumes réservés, raccord au seed, butin, rencontres et services de campagne restent à terminer.</x:v>
      </x:c>
    </x:row>
    <x:row r="1511" ht="96" customHeight="1">
      <x:c r="A1511" s="115" t="str">
        <x:v>EXT-MONDE-T031-V06</x:v>
      </x:c>
      <x:c r="B1511" s="115" t="str">
        <x:v>EXT-MONDE-T031</x:v>
      </x:c>
      <x:c r="C1511" s="115" t="str">
        <x:v>Ponts</x:v>
      </x:c>
      <x:c r="D1511" s="115" t="str">
        <x:v>Pont levant portuaire</x:v>
      </x:c>
      <x:c r="E1511" s="115" t="n">
        <x:v>6</x:v>
      </x:c>
      <x:c r="F1511" s="115" t="str">
        <x:v>Inspection physique</x:v>
      </x:c>
      <x:c r="G1511" s="115" t="str">
        <x:v>1 niveaux ; 34 pièces ; 260 segments de mur ; 0 transitions. Inspection physique ; architecture complète encore ouverte.</x:v>
      </x:c>
      <x:c r="H1511" s="115" t="str">
        <x:v>L 660 ; l 900 ; hauteur 28,7 m ; choix de composition auteur ; dimensions réelles à documenter</x:v>
      </x:c>
      <x:c r="I1511" s="115" t="str">
        <x:v>À équilibrer</x:v>
      </x:c>
      <x:c r="J1511" s="115" t="str">
        <x:v>Non</x:v>
      </x:c>
      <x:c r="K1511" s="115" t="str">
        <x:v>Pièces décrites, murs, portes, niveaux et mobilier inspectables à l’échelle. Volumes réservés, raccord au seed, butin, rencontres et services de campagne restent à terminer.</x:v>
      </x:c>
    </x:row>
    <x:row r="1512" ht="96" customHeight="1">
      <x:c r="A1512" s="115" t="str">
        <x:v>EXT-MONDE-T031-V07</x:v>
      </x:c>
      <x:c r="B1512" s="115" t="str">
        <x:v>EXT-MONDE-T031</x:v>
      </x:c>
      <x:c r="C1512" s="115" t="str">
        <x:v>Ponts</x:v>
      </x:c>
      <x:c r="D1512" s="115" t="str">
        <x:v>Pont levant portuaire</x:v>
      </x:c>
      <x:c r="E1512" s="115" t="n">
        <x:v>7</x:v>
      </x:c>
      <x:c r="F1512" s="115" t="str">
        <x:v>Inspection physique</x:v>
      </x:c>
      <x:c r="G1512" s="115" t="str">
        <x:v>1 niveaux ; 34 pièces ; 260 segments de mur ; 0 transitions. Inspection physique ; architecture complète encore ouverte.</x:v>
      </x:c>
      <x:c r="H1512" s="115" t="str">
        <x:v>L 660 ; l 900 ; hauteur 28,74 m ; choix de composition auteur ; dimensions réelles à documenter</x:v>
      </x:c>
      <x:c r="I1512" s="115" t="str">
        <x:v>À équilibrer</x:v>
      </x:c>
      <x:c r="J1512" s="115" t="str">
        <x:v>Non</x:v>
      </x:c>
      <x:c r="K1512" s="115" t="str">
        <x:v>Pièces décrites, murs, portes, niveaux et mobilier inspectables à l’échelle. Volumes réservés, raccord au seed, butin, rencontres et services de campagne restent à terminer.</x:v>
      </x:c>
    </x:row>
    <x:row r="1513" ht="96" customHeight="1">
      <x:c r="A1513" s="115" t="str">
        <x:v>EXT-MONDE-T031-V08</x:v>
      </x:c>
      <x:c r="B1513" s="115" t="str">
        <x:v>EXT-MONDE-T031</x:v>
      </x:c>
      <x:c r="C1513" s="115" t="str">
        <x:v>Ponts</x:v>
      </x:c>
      <x:c r="D1513" s="115" t="str">
        <x:v>Pont levant portuaire</x:v>
      </x:c>
      <x:c r="E1513" s="115" t="n">
        <x:v>8</x:v>
      </x:c>
      <x:c r="F1513" s="115" t="str">
        <x:v>Inspection physique</x:v>
      </x:c>
      <x:c r="G1513" s="115" t="str">
        <x:v>1 niveaux ; 34 pièces ; 260 segments de mur ; 0 transitions. Inspection physique ; architecture complète encore ouverte.</x:v>
      </x:c>
      <x:c r="H1513" s="115" t="str">
        <x:v>L 660 ; l 900 ; hauteur 28,78 m ; choix de composition auteur ; dimensions réelles à documenter</x:v>
      </x:c>
      <x:c r="I1513" s="115" t="str">
        <x:v>À équilibrer</x:v>
      </x:c>
      <x:c r="J1513" s="115" t="str">
        <x:v>Non</x:v>
      </x:c>
      <x:c r="K1513" s="115" t="str">
        <x:v>Pièces décrites, murs, portes, niveaux et mobilier inspectables à l’échelle. Volumes réservés, raccord au seed, butin, rencontres et services de campagne restent à terminer.</x:v>
      </x:c>
    </x:row>
    <x:row r="1514" ht="96" customHeight="1">
      <x:c r="A1514" s="115" t="str">
        <x:v>EXT-MONDE-T031-V09</x:v>
      </x:c>
      <x:c r="B1514" s="115" t="str">
        <x:v>EXT-MONDE-T031</x:v>
      </x:c>
      <x:c r="C1514" s="115" t="str">
        <x:v>Ponts</x:v>
      </x:c>
      <x:c r="D1514" s="115" t="str">
        <x:v>Pont levant portuaire</x:v>
      </x:c>
      <x:c r="E1514" s="115" t="n">
        <x:v>9</x:v>
      </x:c>
      <x:c r="F1514" s="115" t="str">
        <x:v>Inspection physique</x:v>
      </x:c>
      <x:c r="G1514" s="115" t="str">
        <x:v>1 niveaux ; 34 pièces ; 260 segments de mur ; 0 transitions. Inspection physique ; architecture complète encore ouverte.</x:v>
      </x:c>
      <x:c r="H1514" s="115" t="str">
        <x:v>L 660 ; l 900 ; hauteur 28,82 m ; choix de composition auteur ; dimensions réelles à documenter</x:v>
      </x:c>
      <x:c r="I1514" s="115" t="str">
        <x:v>À équilibrer</x:v>
      </x:c>
      <x:c r="J1514" s="115" t="str">
        <x:v>Non</x:v>
      </x:c>
      <x:c r="K1514" s="115" t="str">
        <x:v>Pièces décrites, murs, portes, niveaux et mobilier inspectables à l’échelle. Volumes réservés, raccord au seed, butin, rencontres et services de campagne restent à terminer.</x:v>
      </x:c>
    </x:row>
    <x:row r="1515" ht="96" customHeight="1">
      <x:c r="A1515" s="115" t="str">
        <x:v>EXT-MONDE-T031-V10</x:v>
      </x:c>
      <x:c r="B1515" s="115" t="str">
        <x:v>EXT-MONDE-T031</x:v>
      </x:c>
      <x:c r="C1515" s="115" t="str">
        <x:v>Ponts</x:v>
      </x:c>
      <x:c r="D1515" s="115" t="str">
        <x:v>Pont levant portuaire</x:v>
      </x:c>
      <x:c r="E1515" s="115" t="n">
        <x:v>10</x:v>
      </x:c>
      <x:c r="F1515" s="115" t="str">
        <x:v>Inspection physique</x:v>
      </x:c>
      <x:c r="G1515" s="115" t="str">
        <x:v>1 niveaux ; 34 pièces ; 260 segments de mur ; 0 transitions. Inspection physique ; architecture complète encore ouverte.</x:v>
      </x:c>
      <x:c r="H1515" s="115" t="str">
        <x:v>L 660 ; l 900 ; hauteur 28,86 m ; choix de composition auteur ; dimensions réelles à documenter</x:v>
      </x:c>
      <x:c r="I1515" s="115" t="str">
        <x:v>À équilibrer</x:v>
      </x:c>
      <x:c r="J1515" s="115" t="str">
        <x:v>Non</x:v>
      </x:c>
      <x:c r="K1515" s="115" t="str">
        <x:v>Pièces décrites, murs, portes, niveaux et mobilier inspectables à l’échelle. Volumes réservés, raccord au seed, butin, rencontres et services de campagne restent à terminer.</x:v>
      </x:c>
    </x:row>
    <x:row r="1516" ht="96" customHeight="1">
      <x:c r="A1516" s="115" t="str">
        <x:v>EXT-MONDE-T031-V11</x:v>
      </x:c>
      <x:c r="B1516" s="115" t="str">
        <x:v>EXT-MONDE-T031</x:v>
      </x:c>
      <x:c r="C1516" s="115" t="str">
        <x:v>Ponts</x:v>
      </x:c>
      <x:c r="D1516" s="115" t="str">
        <x:v>Pont levant portuaire</x:v>
      </x:c>
      <x:c r="E1516" s="115" t="n">
        <x:v>11</x:v>
      </x:c>
      <x:c r="F1516" s="115" t="str">
        <x:v>Inspection physique</x:v>
      </x:c>
      <x:c r="G1516" s="115" t="str">
        <x:v>1 niveaux ; 34 pièces ; 260 segments de mur ; 0 transitions. Inspection physique ; architecture complète encore ouverte.</x:v>
      </x:c>
      <x:c r="H1516" s="115" t="str">
        <x:v>L 740 ; l 1060 ; hauteur 30,5 m ; choix de composition auteur ; dimensions réelles à documenter</x:v>
      </x:c>
      <x:c r="I1516" s="115" t="str">
        <x:v>À équilibrer</x:v>
      </x:c>
      <x:c r="J1516" s="115" t="str">
        <x:v>Non</x:v>
      </x:c>
      <x:c r="K1516" s="115" t="str">
        <x:v>Pièces décrites, murs, portes, niveaux et mobilier inspectables à l’échelle. Volumes réservés, raccord au seed, butin, rencontres et services de campagne restent à terminer.</x:v>
      </x:c>
    </x:row>
    <x:row r="1517" ht="96" customHeight="1">
      <x:c r="A1517" s="115" t="str">
        <x:v>EXT-MONDE-T031-V12</x:v>
      </x:c>
      <x:c r="B1517" s="115" t="str">
        <x:v>EXT-MONDE-T031</x:v>
      </x:c>
      <x:c r="C1517" s="115" t="str">
        <x:v>Ponts</x:v>
      </x:c>
      <x:c r="D1517" s="115" t="str">
        <x:v>Pont levant portuaire</x:v>
      </x:c>
      <x:c r="E1517" s="115" t="n">
        <x:v>12</x:v>
      </x:c>
      <x:c r="F1517" s="115" t="str">
        <x:v>Inspection physique</x:v>
      </x:c>
      <x:c r="G1517" s="115" t="str">
        <x:v>1 niveaux ; 34 pièces ; 260 segments de mur ; 0 transitions. Inspection physique ; architecture complète encore ouverte.</x:v>
      </x:c>
      <x:c r="H1517" s="115" t="str">
        <x:v>L 740 ; l 1060 ; hauteur 30,54 m ; choix de composition auteur ; dimensions réelles à documenter</x:v>
      </x:c>
      <x:c r="I1517" s="115" t="str">
        <x:v>À équilibrer</x:v>
      </x:c>
      <x:c r="J1517" s="115" t="str">
        <x:v>Non</x:v>
      </x:c>
      <x:c r="K1517" s="115" t="str">
        <x:v>Pièces décrites, murs, portes, niveaux et mobilier inspectables à l’échelle. Volumes réservés, raccord au seed, butin, rencontres et services de campagne restent à terminer.</x:v>
      </x:c>
    </x:row>
    <x:row r="1518" ht="96" customHeight="1">
      <x:c r="A1518" s="115" t="str">
        <x:v>EXT-MONDE-T031-V13</x:v>
      </x:c>
      <x:c r="B1518" s="115" t="str">
        <x:v>EXT-MONDE-T031</x:v>
      </x:c>
      <x:c r="C1518" s="115" t="str">
        <x:v>Ponts</x:v>
      </x:c>
      <x:c r="D1518" s="115" t="str">
        <x:v>Pont levant portuaire</x:v>
      </x:c>
      <x:c r="E1518" s="115" t="n">
        <x:v>13</x:v>
      </x:c>
      <x:c r="F1518" s="115" t="str">
        <x:v>Inspection physique</x:v>
      </x:c>
      <x:c r="G1518" s="115" t="str">
        <x:v>1 niveaux ; 34 pièces ; 260 segments de mur ; 0 transitions. Inspection physique ; architecture complète encore ouverte.</x:v>
      </x:c>
      <x:c r="H1518" s="115" t="str">
        <x:v>L 740 ; l 1060 ; hauteur 30,58 m ; choix de composition auteur ; dimensions réelles à documenter</x:v>
      </x:c>
      <x:c r="I1518" s="115" t="str">
        <x:v>À équilibrer</x:v>
      </x:c>
      <x:c r="J1518" s="115" t="str">
        <x:v>Non</x:v>
      </x:c>
      <x:c r="K1518" s="115" t="str">
        <x:v>Pièces décrites, murs, portes, niveaux et mobilier inspectables à l’échelle. Volumes réservés, raccord au seed, butin, rencontres et services de campagne restent à terminer.</x:v>
      </x:c>
    </x:row>
    <x:row r="1519" ht="96" customHeight="1">
      <x:c r="A1519" s="115" t="str">
        <x:v>EXT-MONDE-T031-V14</x:v>
      </x:c>
      <x:c r="B1519" s="115" t="str">
        <x:v>EXT-MONDE-T031</x:v>
      </x:c>
      <x:c r="C1519" s="115" t="str">
        <x:v>Ponts</x:v>
      </x:c>
      <x:c r="D1519" s="115" t="str">
        <x:v>Pont levant portuaire</x:v>
      </x:c>
      <x:c r="E1519" s="115" t="n">
        <x:v>14</x:v>
      </x:c>
      <x:c r="F1519" s="115" t="str">
        <x:v>Inspection physique</x:v>
      </x:c>
      <x:c r="G1519" s="115" t="str">
        <x:v>1 niveaux ; 34 pièces ; 260 segments de mur ; 0 transitions. Inspection physique ; architecture complète encore ouverte.</x:v>
      </x:c>
      <x:c r="H1519" s="115" t="str">
        <x:v>L 740 ; l 1060 ; hauteur 30,62 m ; choix de composition auteur ; dimensions réelles à documenter</x:v>
      </x:c>
      <x:c r="I1519" s="115" t="str">
        <x:v>À équilibrer</x:v>
      </x:c>
      <x:c r="J1519" s="115" t="str">
        <x:v>Non</x:v>
      </x:c>
      <x:c r="K1519" s="115" t="str">
        <x:v>Pièces décrites, murs, portes, niveaux et mobilier inspectables à l’échelle. Volumes réservés, raccord au seed, butin, rencontres et services de campagne restent à terminer.</x:v>
      </x:c>
    </x:row>
    <x:row r="1520" ht="96" customHeight="1">
      <x:c r="A1520" s="115" t="str">
        <x:v>EXT-MONDE-T031-V15</x:v>
      </x:c>
      <x:c r="B1520" s="115" t="str">
        <x:v>EXT-MONDE-T031</x:v>
      </x:c>
      <x:c r="C1520" s="115" t="str">
        <x:v>Ponts</x:v>
      </x:c>
      <x:c r="D1520" s="115" t="str">
        <x:v>Pont levant portuaire</x:v>
      </x:c>
      <x:c r="E1520" s="115" t="n">
        <x:v>15</x:v>
      </x:c>
      <x:c r="F1520" s="115" t="str">
        <x:v>Inspection physique</x:v>
      </x:c>
      <x:c r="G1520" s="115" t="str">
        <x:v>1 niveaux ; 34 pièces ; 260 segments de mur ; 0 transitions. Inspection physique ; architecture complète encore ouverte.</x:v>
      </x:c>
      <x:c r="H1520" s="115" t="str">
        <x:v>L 740 ; l 1060 ; hauteur 30,66 m ; choix de composition auteur ; dimensions réelles à documenter</x:v>
      </x:c>
      <x:c r="I1520" s="115" t="str">
        <x:v>À équilibrer</x:v>
      </x:c>
      <x:c r="J1520" s="115" t="str">
        <x:v>Non</x:v>
      </x:c>
      <x:c r="K1520" s="115" t="str">
        <x:v>Pièces décrites, murs, portes, niveaux et mobilier inspectables à l’échelle. Volumes réservés, raccord au seed, butin, rencontres et services de campagne restent à terminer.</x:v>
      </x:c>
    </x:row>
    <x:row r="1521" ht="96" customHeight="1">
      <x:c r="A1521" s="115" t="str">
        <x:v>EXT-MONDE-T031-V16</x:v>
      </x:c>
      <x:c r="B1521" s="115" t="str">
        <x:v>EXT-MONDE-T031</x:v>
      </x:c>
      <x:c r="C1521" s="115" t="str">
        <x:v>Ponts</x:v>
      </x:c>
      <x:c r="D1521" s="115" t="str">
        <x:v>Pont levant portuaire</x:v>
      </x:c>
      <x:c r="E1521" s="115" t="n">
        <x:v>16</x:v>
      </x:c>
      <x:c r="F1521" s="115" t="str">
        <x:v>Inspection physique</x:v>
      </x:c>
      <x:c r="G1521" s="115" t="str">
        <x:v>1 niveaux ; 34 pièces ; 260 segments de mur ; 0 transitions. Inspection physique ; architecture complète encore ouverte.</x:v>
      </x:c>
      <x:c r="H1521" s="115" t="str">
        <x:v>L 740 ; l 1060 ; hauteur 30,7 m ; choix de composition auteur ; dimensions réelles à documenter</x:v>
      </x:c>
      <x:c r="I1521" s="115" t="str">
        <x:v>À équilibrer</x:v>
      </x:c>
      <x:c r="J1521" s="115" t="str">
        <x:v>Non</x:v>
      </x:c>
      <x:c r="K1521" s="115" t="str">
        <x:v>Pièces décrites, murs, portes, niveaux et mobilier inspectables à l’échelle. Volumes réservés, raccord au seed, butin, rencontres et services de campagne restent à terminer.</x:v>
      </x:c>
    </x:row>
    <x:row r="1522" ht="96" customHeight="1">
      <x:c r="A1522" s="115" t="str">
        <x:v>EXT-MONDE-T031-V17</x:v>
      </x:c>
      <x:c r="B1522" s="115" t="str">
        <x:v>EXT-MONDE-T031</x:v>
      </x:c>
      <x:c r="C1522" s="115" t="str">
        <x:v>Ponts</x:v>
      </x:c>
      <x:c r="D1522" s="115" t="str">
        <x:v>Pont levant portuaire</x:v>
      </x:c>
      <x:c r="E1522" s="115" t="n">
        <x:v>17</x:v>
      </x:c>
      <x:c r="F1522" s="115" t="str">
        <x:v>Inspection physique</x:v>
      </x:c>
      <x:c r="G1522" s="115" t="str">
        <x:v>1 niveaux ; 34 pièces ; 260 segments de mur ; 0 transitions. Inspection physique ; architecture complète encore ouverte.</x:v>
      </x:c>
      <x:c r="H1522" s="115" t="str">
        <x:v>L 740 ; l 1060 ; hauteur 30,74 m ; choix de composition auteur ; dimensions réelles à documenter</x:v>
      </x:c>
      <x:c r="I1522" s="115" t="str">
        <x:v>À équilibrer</x:v>
      </x:c>
      <x:c r="J1522" s="115" t="str">
        <x:v>Non</x:v>
      </x:c>
      <x:c r="K1522" s="115" t="str">
        <x:v>Pièces décrites, murs, portes, niveaux et mobilier inspectables à l’échelle. Volumes réservés, raccord au seed, butin, rencontres et services de campagne restent à terminer.</x:v>
      </x:c>
    </x:row>
    <x:row r="1523" ht="96" customHeight="1">
      <x:c r="A1523" s="115" t="str">
        <x:v>EXT-MONDE-T031-V18</x:v>
      </x:c>
      <x:c r="B1523" s="115" t="str">
        <x:v>EXT-MONDE-T031</x:v>
      </x:c>
      <x:c r="C1523" s="115" t="str">
        <x:v>Ponts</x:v>
      </x:c>
      <x:c r="D1523" s="115" t="str">
        <x:v>Pont levant portuaire</x:v>
      </x:c>
      <x:c r="E1523" s="115" t="n">
        <x:v>18</x:v>
      </x:c>
      <x:c r="F1523" s="115" t="str">
        <x:v>Inspection physique</x:v>
      </x:c>
      <x:c r="G1523" s="115" t="str">
        <x:v>1 niveaux ; 34 pièces ; 260 segments de mur ; 0 transitions. Inspection physique ; architecture complète encore ouverte.</x:v>
      </x:c>
      <x:c r="H1523" s="115" t="str">
        <x:v>L 740 ; l 1060 ; hauteur 30,78 m ; choix de composition auteur ; dimensions réelles à documenter</x:v>
      </x:c>
      <x:c r="I1523" s="115" t="str">
        <x:v>À équilibrer</x:v>
      </x:c>
      <x:c r="J1523" s="115" t="str">
        <x:v>Non</x:v>
      </x:c>
      <x:c r="K1523" s="115" t="str">
        <x:v>Pièces décrites, murs, portes, niveaux et mobilier inspectables à l’échelle. Volumes réservés, raccord au seed, butin, rencontres et services de campagne restent à terminer.</x:v>
      </x:c>
    </x:row>
    <x:row r="1524" ht="96" customHeight="1">
      <x:c r="A1524" s="115" t="str">
        <x:v>EXT-MONDE-T031-V19</x:v>
      </x:c>
      <x:c r="B1524" s="115" t="str">
        <x:v>EXT-MONDE-T031</x:v>
      </x:c>
      <x:c r="C1524" s="115" t="str">
        <x:v>Ponts</x:v>
      </x:c>
      <x:c r="D1524" s="115" t="str">
        <x:v>Pont levant portuaire</x:v>
      </x:c>
      <x:c r="E1524" s="115" t="n">
        <x:v>19</x:v>
      </x:c>
      <x:c r="F1524" s="115" t="str">
        <x:v>Inspection physique</x:v>
      </x:c>
      <x:c r="G1524" s="115" t="str">
        <x:v>1 niveaux ; 34 pièces ; 260 segments de mur ; 0 transitions. Inspection physique ; architecture complète encore ouverte.</x:v>
      </x:c>
      <x:c r="H1524" s="115" t="str">
        <x:v>L 740 ; l 1060 ; hauteur 30,82 m ; choix de composition auteur ; dimensions réelles à documenter</x:v>
      </x:c>
      <x:c r="I1524" s="115" t="str">
        <x:v>À équilibrer</x:v>
      </x:c>
      <x:c r="J1524" s="115" t="str">
        <x:v>Non</x:v>
      </x:c>
      <x:c r="K1524" s="115" t="str">
        <x:v>Pièces décrites, murs, portes, niveaux et mobilier inspectables à l’échelle. Volumes réservés, raccord au seed, butin, rencontres et services de campagne restent à terminer.</x:v>
      </x:c>
    </x:row>
    <x:row r="1525" ht="96" customHeight="1">
      <x:c r="A1525" s="115" t="str">
        <x:v>EXT-MONDE-T031-V20</x:v>
      </x:c>
      <x:c r="B1525" s="115" t="str">
        <x:v>EXT-MONDE-T031</x:v>
      </x:c>
      <x:c r="C1525" s="115" t="str">
        <x:v>Ponts</x:v>
      </x:c>
      <x:c r="D1525" s="115" t="str">
        <x:v>Pont levant portuaire</x:v>
      </x:c>
      <x:c r="E1525" s="115" t="n">
        <x:v>20</x:v>
      </x:c>
      <x:c r="F1525" s="115" t="str">
        <x:v>Inspection physique</x:v>
      </x:c>
      <x:c r="G1525" s="115" t="str">
        <x:v>1 niveaux ; 34 pièces ; 260 segments de mur ; 0 transitions. Inspection physique ; architecture complète encore ouverte.</x:v>
      </x:c>
      <x:c r="H1525" s="115" t="str">
        <x:v>L 740 ; l 1060 ; hauteur 30,86 m ; choix de composition auteur ; dimensions réelles à documenter</x:v>
      </x:c>
      <x:c r="I1525" s="115" t="str">
        <x:v>À équilibrer</x:v>
      </x:c>
      <x:c r="J1525" s="115" t="str">
        <x:v>Non</x:v>
      </x:c>
      <x:c r="K1525" s="115" t="str">
        <x:v>Pièces décrites, murs, portes, niveaux et mobilier inspectables à l’échelle. Volumes réservés, raccord au seed, butin, rencontres et services de campagne restent à terminer.</x:v>
      </x:c>
    </x:row>
    <x:row r="1526" ht="96" customHeight="1">
      <x:c r="A1526" s="115" t="str">
        <x:v>EXT-MONDE-T031-V21</x:v>
      </x:c>
      <x:c r="B1526" s="115" t="str">
        <x:v>EXT-MONDE-T031</x:v>
      </x:c>
      <x:c r="C1526" s="115" t="str">
        <x:v>Ponts</x:v>
      </x:c>
      <x:c r="D1526" s="115" t="str">
        <x:v>Pont levant portuaire</x:v>
      </x:c>
      <x:c r="E1526" s="115" t="n">
        <x:v>21</x:v>
      </x:c>
      <x:c r="F1526" s="115" t="str">
        <x:v>Inspection physique</x:v>
      </x:c>
      <x:c r="G1526" s="115" t="str">
        <x:v>1 niveaux ; 34 pièces ; 260 segments de mur ; 0 transitions. Inspection physique ; architecture complète encore ouverte.</x:v>
      </x:c>
      <x:c r="H1526" s="115" t="str">
        <x:v>L 820 ; l 1220 ; hauteur 32,5 m ; choix de composition auteur ; dimensions réelles à documenter</x:v>
      </x:c>
      <x:c r="I1526" s="115" t="str">
        <x:v>À équilibrer</x:v>
      </x:c>
      <x:c r="J1526" s="115" t="str">
        <x:v>Non</x:v>
      </x:c>
      <x:c r="K1526" s="115" t="str">
        <x:v>Pièces décrites, murs, portes, niveaux et mobilier inspectables à l’échelle. Volumes réservés, raccord au seed, butin, rencontres et services de campagne restent à terminer.</x:v>
      </x:c>
    </x:row>
    <x:row r="1527" ht="96" customHeight="1">
      <x:c r="A1527" s="115" t="str">
        <x:v>EXT-MONDE-T031-V22</x:v>
      </x:c>
      <x:c r="B1527" s="115" t="str">
        <x:v>EXT-MONDE-T031</x:v>
      </x:c>
      <x:c r="C1527" s="115" t="str">
        <x:v>Ponts</x:v>
      </x:c>
      <x:c r="D1527" s="115" t="str">
        <x:v>Pont levant portuaire</x:v>
      </x:c>
      <x:c r="E1527" s="115" t="n">
        <x:v>22</x:v>
      </x:c>
      <x:c r="F1527" s="115" t="str">
        <x:v>Inspection physique</x:v>
      </x:c>
      <x:c r="G1527" s="115" t="str">
        <x:v>1 niveaux ; 34 pièces ; 260 segments de mur ; 0 transitions. Inspection physique ; architecture complète encore ouverte.</x:v>
      </x:c>
      <x:c r="H1527" s="115" t="str">
        <x:v>L 820 ; l 1220 ; hauteur 32,54 m ; choix de composition auteur ; dimensions réelles à documenter</x:v>
      </x:c>
      <x:c r="I1527" s="115" t="str">
        <x:v>À équilibrer</x:v>
      </x:c>
      <x:c r="J1527" s="115" t="str">
        <x:v>Non</x:v>
      </x:c>
      <x:c r="K1527" s="115" t="str">
        <x:v>Pièces décrites, murs, portes, niveaux et mobilier inspectables à l’échelle. Volumes réservés, raccord au seed, butin, rencontres et services de campagne restent à terminer.</x:v>
      </x:c>
    </x:row>
    <x:row r="1528" ht="96" customHeight="1">
      <x:c r="A1528" s="115" t="str">
        <x:v>EXT-MONDE-T031-V23</x:v>
      </x:c>
      <x:c r="B1528" s="115" t="str">
        <x:v>EXT-MONDE-T031</x:v>
      </x:c>
      <x:c r="C1528" s="115" t="str">
        <x:v>Ponts</x:v>
      </x:c>
      <x:c r="D1528" s="115" t="str">
        <x:v>Pont levant portuaire</x:v>
      </x:c>
      <x:c r="E1528" s="115" t="n">
        <x:v>23</x:v>
      </x:c>
      <x:c r="F1528" s="115" t="str">
        <x:v>Inspection physique</x:v>
      </x:c>
      <x:c r="G1528" s="115" t="str">
        <x:v>1 niveaux ; 34 pièces ; 260 segments de mur ; 0 transitions. Inspection physique ; architecture complète encore ouverte.</x:v>
      </x:c>
      <x:c r="H1528" s="115" t="str">
        <x:v>L 820 ; l 1220 ; hauteur 32,58 m ; choix de composition auteur ; dimensions réelles à documenter</x:v>
      </x:c>
      <x:c r="I1528" s="115" t="str">
        <x:v>À équilibrer</x:v>
      </x:c>
      <x:c r="J1528" s="115" t="str">
        <x:v>Non</x:v>
      </x:c>
      <x:c r="K1528" s="115" t="str">
        <x:v>Pièces décrites, murs, portes, niveaux et mobilier inspectables à l’échelle. Volumes réservés, raccord au seed, butin, rencontres et services de campagne restent à terminer.</x:v>
      </x:c>
    </x:row>
    <x:row r="1529" ht="96" customHeight="1">
      <x:c r="A1529" s="115" t="str">
        <x:v>EXT-MONDE-T031-V24</x:v>
      </x:c>
      <x:c r="B1529" s="115" t="str">
        <x:v>EXT-MONDE-T031</x:v>
      </x:c>
      <x:c r="C1529" s="115" t="str">
        <x:v>Ponts</x:v>
      </x:c>
      <x:c r="D1529" s="115" t="str">
        <x:v>Pont levant portuaire</x:v>
      </x:c>
      <x:c r="E1529" s="115" t="n">
        <x:v>24</x:v>
      </x:c>
      <x:c r="F1529" s="115" t="str">
        <x:v>Inspection physique</x:v>
      </x:c>
      <x:c r="G1529" s="115" t="str">
        <x:v>1 niveaux ; 34 pièces ; 260 segments de mur ; 0 transitions. Inspection physique ; architecture complète encore ouverte.</x:v>
      </x:c>
      <x:c r="H1529" s="115" t="str">
        <x:v>L 820 ; l 1220 ; hauteur 32,62 m ; choix de composition auteur ; dimensions réelles à documenter</x:v>
      </x:c>
      <x:c r="I1529" s="115" t="str">
        <x:v>À équilibrer</x:v>
      </x:c>
      <x:c r="J1529" s="115" t="str">
        <x:v>Non</x:v>
      </x:c>
      <x:c r="K1529" s="115" t="str">
        <x:v>Pièces décrites, murs, portes, niveaux et mobilier inspectables à l’échelle. Volumes réservés, raccord au seed, butin, rencontres et services de campagne restent à terminer.</x:v>
      </x:c>
    </x:row>
    <x:row r="1530" ht="96" customHeight="1">
      <x:c r="A1530" s="115" t="str">
        <x:v>EXT-MONDE-T031-V25</x:v>
      </x:c>
      <x:c r="B1530" s="115" t="str">
        <x:v>EXT-MONDE-T031</x:v>
      </x:c>
      <x:c r="C1530" s="115" t="str">
        <x:v>Ponts</x:v>
      </x:c>
      <x:c r="D1530" s="115" t="str">
        <x:v>Pont levant portuaire</x:v>
      </x:c>
      <x:c r="E1530" s="115" t="n">
        <x:v>25</x:v>
      </x:c>
      <x:c r="F1530" s="115" t="str">
        <x:v>Inspection physique</x:v>
      </x:c>
      <x:c r="G1530" s="115" t="str">
        <x:v>1 niveaux ; 34 pièces ; 260 segments de mur ; 0 transitions. Inspection physique ; architecture complète encore ouverte.</x:v>
      </x:c>
      <x:c r="H1530" s="115" t="str">
        <x:v>L 820 ; l 1220 ; hauteur 32,66 m ; choix de composition auteur ; dimensions réelles à documenter</x:v>
      </x:c>
      <x:c r="I1530" s="115" t="str">
        <x:v>À équilibrer</x:v>
      </x:c>
      <x:c r="J1530" s="115" t="str">
        <x:v>Non</x:v>
      </x:c>
      <x:c r="K1530" s="115" t="str">
        <x:v>Pièces décrites, murs, portes, niveaux et mobilier inspectables à l’échelle. Volumes réservés, raccord au seed, butin, rencontres et services de campagne restent à terminer.</x:v>
      </x:c>
    </x:row>
    <x:row r="1531" ht="96" customHeight="1">
      <x:c r="A1531" s="115" t="str">
        <x:v>EXT-MONDE-T031-V26</x:v>
      </x:c>
      <x:c r="B1531" s="115" t="str">
        <x:v>EXT-MONDE-T031</x:v>
      </x:c>
      <x:c r="C1531" s="115" t="str">
        <x:v>Ponts</x:v>
      </x:c>
      <x:c r="D1531" s="115" t="str">
        <x:v>Pont levant portuaire</x:v>
      </x:c>
      <x:c r="E1531" s="115" t="n">
        <x:v>26</x:v>
      </x:c>
      <x:c r="F1531" s="115" t="str">
        <x:v>Inspection physique</x:v>
      </x:c>
      <x:c r="G1531" s="115" t="str">
        <x:v>1 niveaux ; 34 pièces ; 260 segments de mur ; 0 transitions. Inspection physique ; architecture complète encore ouverte.</x:v>
      </x:c>
      <x:c r="H1531" s="115" t="str">
        <x:v>L 820 ; l 1220 ; hauteur 32,7 m ; choix de composition auteur ; dimensions réelles à documenter</x:v>
      </x:c>
      <x:c r="I1531" s="115" t="str">
        <x:v>À équilibrer</x:v>
      </x:c>
      <x:c r="J1531" s="115" t="str">
        <x:v>Non</x:v>
      </x:c>
      <x:c r="K1531" s="115" t="str">
        <x:v>Pièces décrites, murs, portes, niveaux et mobilier inspectables à l’échelle. Volumes réservés, raccord au seed, butin, rencontres et services de campagne restent à terminer.</x:v>
      </x:c>
    </x:row>
    <x:row r="1532" ht="96" customHeight="1">
      <x:c r="A1532" s="115" t="str">
        <x:v>EXT-MONDE-T031-V27</x:v>
      </x:c>
      <x:c r="B1532" s="115" t="str">
        <x:v>EXT-MONDE-T031</x:v>
      </x:c>
      <x:c r="C1532" s="115" t="str">
        <x:v>Ponts</x:v>
      </x:c>
      <x:c r="D1532" s="115" t="str">
        <x:v>Pont levant portuaire</x:v>
      </x:c>
      <x:c r="E1532" s="115" t="n">
        <x:v>27</x:v>
      </x:c>
      <x:c r="F1532" s="115" t="str">
        <x:v>Inspection physique</x:v>
      </x:c>
      <x:c r="G1532" s="115" t="str">
        <x:v>1 niveaux ; 34 pièces ; 260 segments de mur ; 0 transitions. Inspection physique ; architecture complète encore ouverte.</x:v>
      </x:c>
      <x:c r="H1532" s="115" t="str">
        <x:v>L 820 ; l 1220 ; hauteur 32,74 m ; choix de composition auteur ; dimensions réelles à documenter</x:v>
      </x:c>
      <x:c r="I1532" s="115" t="str">
        <x:v>À équilibrer</x:v>
      </x:c>
      <x:c r="J1532" s="115" t="str">
        <x:v>Non</x:v>
      </x:c>
      <x:c r="K1532" s="115" t="str">
        <x:v>Pièces décrites, murs, portes, niveaux et mobilier inspectables à l’échelle. Volumes réservés, raccord au seed, butin, rencontres et services de campagne restent à terminer.</x:v>
      </x:c>
    </x:row>
    <x:row r="1533" ht="96" customHeight="1">
      <x:c r="A1533" s="115" t="str">
        <x:v>EXT-MONDE-T031-V28</x:v>
      </x:c>
      <x:c r="B1533" s="115" t="str">
        <x:v>EXT-MONDE-T031</x:v>
      </x:c>
      <x:c r="C1533" s="115" t="str">
        <x:v>Ponts</x:v>
      </x:c>
      <x:c r="D1533" s="115" t="str">
        <x:v>Pont levant portuaire</x:v>
      </x:c>
      <x:c r="E1533" s="115" t="n">
        <x:v>28</x:v>
      </x:c>
      <x:c r="F1533" s="115" t="str">
        <x:v>Inspection physique</x:v>
      </x:c>
      <x:c r="G1533" s="115" t="str">
        <x:v>1 niveaux ; 34 pièces ; 260 segments de mur ; 0 transitions. Inspection physique ; architecture complète encore ouverte.</x:v>
      </x:c>
      <x:c r="H1533" s="115" t="str">
        <x:v>L 820 ; l 1220 ; hauteur 32,78 m ; choix de composition auteur ; dimensions réelles à documenter</x:v>
      </x:c>
      <x:c r="I1533" s="115" t="str">
        <x:v>À équilibrer</x:v>
      </x:c>
      <x:c r="J1533" s="115" t="str">
        <x:v>Non</x:v>
      </x:c>
      <x:c r="K1533" s="115" t="str">
        <x:v>Pièces décrites, murs, portes, niveaux et mobilier inspectables à l’échelle. Volumes réservés, raccord au seed, butin, rencontres et services de campagne restent à terminer.</x:v>
      </x:c>
    </x:row>
    <x:row r="1534" ht="96" customHeight="1">
      <x:c r="A1534" s="115" t="str">
        <x:v>EXT-MONDE-T031-V29</x:v>
      </x:c>
      <x:c r="B1534" s="115" t="str">
        <x:v>EXT-MONDE-T031</x:v>
      </x:c>
      <x:c r="C1534" s="115" t="str">
        <x:v>Ponts</x:v>
      </x:c>
      <x:c r="D1534" s="115" t="str">
        <x:v>Pont levant portuaire</x:v>
      </x:c>
      <x:c r="E1534" s="115" t="n">
        <x:v>29</x:v>
      </x:c>
      <x:c r="F1534" s="115" t="str">
        <x:v>Inspection physique</x:v>
      </x:c>
      <x:c r="G1534" s="115" t="str">
        <x:v>1 niveaux ; 34 pièces ; 260 segments de mur ; 0 transitions. Inspection physique ; architecture complète encore ouverte.</x:v>
      </x:c>
      <x:c r="H1534" s="115" t="str">
        <x:v>L 820 ; l 1220 ; hauteur 32,82 m ; choix de composition auteur ; dimensions réelles à documenter</x:v>
      </x:c>
      <x:c r="I1534" s="115" t="str">
        <x:v>À équilibrer</x:v>
      </x:c>
      <x:c r="J1534" s="115" t="str">
        <x:v>Non</x:v>
      </x:c>
      <x:c r="K1534" s="115" t="str">
        <x:v>Pièces décrites, murs, portes, niveaux et mobilier inspectables à l’échelle. Volumes réservés, raccord au seed, butin, rencontres et services de campagne restent à terminer.</x:v>
      </x:c>
    </x:row>
    <x:row r="1535" ht="96" customHeight="1">
      <x:c r="A1535" s="115" t="str">
        <x:v>EXT-MONDE-T031-V30</x:v>
      </x:c>
      <x:c r="B1535" s="115" t="str">
        <x:v>EXT-MONDE-T031</x:v>
      </x:c>
      <x:c r="C1535" s="115" t="str">
        <x:v>Ponts</x:v>
      </x:c>
      <x:c r="D1535" s="115" t="str">
        <x:v>Pont levant portuaire</x:v>
      </x:c>
      <x:c r="E1535" s="115" t="n">
        <x:v>30</x:v>
      </x:c>
      <x:c r="F1535" s="115" t="str">
        <x:v>Inspection physique</x:v>
      </x:c>
      <x:c r="G1535" s="115" t="str">
        <x:v>1 niveaux ; 34 pièces ; 260 segments de mur ; 0 transitions. Inspection physique ; architecture complète encore ouverte.</x:v>
      </x:c>
      <x:c r="H1535" s="115" t="str">
        <x:v>L 820 ; l 1220 ; hauteur 32,86 m ; choix de composition auteur ; dimensions réelles à documenter</x:v>
      </x:c>
      <x:c r="I1535" s="115" t="str">
        <x:v>À équilibrer</x:v>
      </x:c>
      <x:c r="J1535" s="115" t="str">
        <x:v>Non</x:v>
      </x:c>
      <x:c r="K1535" s="115" t="str">
        <x:v>Pièces décrites, murs, portes, niveaux et mobilier inspectables à l’échelle. Volumes réservés, raccord au seed, butin, rencontres et services de campagne restent à terminer.</x:v>
      </x:c>
    </x:row>
    <x:row r="1536" ht="96" customHeight="1">
      <x:c r="A1536" s="115" t="str">
        <x:v>EXT-MONDE-T031-V31</x:v>
      </x:c>
      <x:c r="B1536" s="115" t="str">
        <x:v>EXT-MONDE-T031</x:v>
      </x:c>
      <x:c r="C1536" s="115" t="str">
        <x:v>Ponts</x:v>
      </x:c>
      <x:c r="D1536" s="115" t="str">
        <x:v>Pont levant portuaire</x:v>
      </x:c>
      <x:c r="E1536" s="115" t="n">
        <x:v>31</x:v>
      </x:c>
      <x:c r="F1536" s="115" t="str">
        <x:v>Inspection physique</x:v>
      </x:c>
      <x:c r="G1536" s="115" t="str">
        <x:v>1 niveaux ; 34 pièces ; 260 segments de mur ; 0 transitions. Inspection physique ; architecture complète encore ouverte.</x:v>
      </x:c>
      <x:c r="H1536" s="115" t="str">
        <x:v>L 900 ; l 1380 ; hauteur 34,5 m ; choix de composition auteur ; dimensions réelles à documenter</x:v>
      </x:c>
      <x:c r="I1536" s="115" t="str">
        <x:v>À équilibrer</x:v>
      </x:c>
      <x:c r="J1536" s="115" t="str">
        <x:v>Non</x:v>
      </x:c>
      <x:c r="K1536" s="115" t="str">
        <x:v>Pièces décrites, murs, portes, niveaux et mobilier inspectables à l’échelle. Volumes réservés, raccord au seed, butin, rencontres et services de campagne restent à terminer.</x:v>
      </x:c>
    </x:row>
    <x:row r="1537" ht="96" customHeight="1">
      <x:c r="A1537" s="115" t="str">
        <x:v>EXT-MONDE-T031-V32</x:v>
      </x:c>
      <x:c r="B1537" s="115" t="str">
        <x:v>EXT-MONDE-T031</x:v>
      </x:c>
      <x:c r="C1537" s="115" t="str">
        <x:v>Ponts</x:v>
      </x:c>
      <x:c r="D1537" s="115" t="str">
        <x:v>Pont levant portuaire</x:v>
      </x:c>
      <x:c r="E1537" s="115" t="n">
        <x:v>32</x:v>
      </x:c>
      <x:c r="F1537" s="115" t="str">
        <x:v>Inspection physique</x:v>
      </x:c>
      <x:c r="G1537" s="115" t="str">
        <x:v>1 niveaux ; 34 pièces ; 260 segments de mur ; 0 transitions. Inspection physique ; architecture complète encore ouverte.</x:v>
      </x:c>
      <x:c r="H1537" s="115" t="str">
        <x:v>L 900 ; l 1380 ; hauteur 34,54 m ; choix de composition auteur ; dimensions réelles à documenter</x:v>
      </x:c>
      <x:c r="I1537" s="115" t="str">
        <x:v>À équilibrer</x:v>
      </x:c>
      <x:c r="J1537" s="115" t="str">
        <x:v>Non</x:v>
      </x:c>
      <x:c r="K1537" s="115" t="str">
        <x:v>Pièces décrites, murs, portes, niveaux et mobilier inspectables à l’échelle. Volumes réservés, raccord au seed, butin, rencontres et services de campagne restent à terminer.</x:v>
      </x:c>
    </x:row>
    <x:row r="1538" ht="96" customHeight="1">
      <x:c r="A1538" s="115" t="str">
        <x:v>EXT-MONDE-T031-V33</x:v>
      </x:c>
      <x:c r="B1538" s="115" t="str">
        <x:v>EXT-MONDE-T031</x:v>
      </x:c>
      <x:c r="C1538" s="115" t="str">
        <x:v>Ponts</x:v>
      </x:c>
      <x:c r="D1538" s="115" t="str">
        <x:v>Pont levant portuaire</x:v>
      </x:c>
      <x:c r="E1538" s="115" t="n">
        <x:v>33</x:v>
      </x:c>
      <x:c r="F1538" s="115" t="str">
        <x:v>Inspection physique</x:v>
      </x:c>
      <x:c r="G1538" s="115" t="str">
        <x:v>1 niveaux ; 34 pièces ; 260 segments de mur ; 0 transitions. Inspection physique ; architecture complète encore ouverte.</x:v>
      </x:c>
      <x:c r="H1538" s="115" t="str">
        <x:v>L 900 ; l 1380 ; hauteur 34,58 m ; choix de composition auteur ; dimensions réelles à documenter</x:v>
      </x:c>
      <x:c r="I1538" s="115" t="str">
        <x:v>À équilibrer</x:v>
      </x:c>
      <x:c r="J1538" s="115" t="str">
        <x:v>Non</x:v>
      </x:c>
      <x:c r="K1538" s="115" t="str">
        <x:v>Pièces décrites, murs, portes, niveaux et mobilier inspectables à l’échelle. Volumes réservés, raccord au seed, butin, rencontres et services de campagne restent à terminer.</x:v>
      </x:c>
    </x:row>
    <x:row r="1539" ht="96" customHeight="1">
      <x:c r="A1539" s="115" t="str">
        <x:v>EXT-MONDE-T031-V34</x:v>
      </x:c>
      <x:c r="B1539" s="115" t="str">
        <x:v>EXT-MONDE-T031</x:v>
      </x:c>
      <x:c r="C1539" s="115" t="str">
        <x:v>Ponts</x:v>
      </x:c>
      <x:c r="D1539" s="115" t="str">
        <x:v>Pont levant portuaire</x:v>
      </x:c>
      <x:c r="E1539" s="115" t="n">
        <x:v>34</x:v>
      </x:c>
      <x:c r="F1539" s="115" t="str">
        <x:v>Inspection physique</x:v>
      </x:c>
      <x:c r="G1539" s="115" t="str">
        <x:v>1 niveaux ; 34 pièces ; 260 segments de mur ; 0 transitions. Inspection physique ; architecture complète encore ouverte.</x:v>
      </x:c>
      <x:c r="H1539" s="115" t="str">
        <x:v>L 900 ; l 1380 ; hauteur 34,62 m ; choix de composition auteur ; dimensions réelles à documenter</x:v>
      </x:c>
      <x:c r="I1539" s="115" t="str">
        <x:v>À équilibrer</x:v>
      </x:c>
      <x:c r="J1539" s="115" t="str">
        <x:v>Non</x:v>
      </x:c>
      <x:c r="K1539" s="115" t="str">
        <x:v>Pièces décrites, murs, portes, niveaux et mobilier inspectables à l’échelle. Volumes réservés, raccord au seed, butin, rencontres et services de campagne restent à terminer.</x:v>
      </x:c>
    </x:row>
    <x:row r="1540" ht="96" customHeight="1">
      <x:c r="A1540" s="115" t="str">
        <x:v>EXT-MONDE-T031-V35</x:v>
      </x:c>
      <x:c r="B1540" s="115" t="str">
        <x:v>EXT-MONDE-T031</x:v>
      </x:c>
      <x:c r="C1540" s="115" t="str">
        <x:v>Ponts</x:v>
      </x:c>
      <x:c r="D1540" s="115" t="str">
        <x:v>Pont levant portuaire</x:v>
      </x:c>
      <x:c r="E1540" s="115" t="n">
        <x:v>35</x:v>
      </x:c>
      <x:c r="F1540" s="115" t="str">
        <x:v>Inspection physique</x:v>
      </x:c>
      <x:c r="G1540" s="115" t="str">
        <x:v>1 niveaux ; 34 pièces ; 260 segments de mur ; 0 transitions. Inspection physique ; architecture complète encore ouverte.</x:v>
      </x:c>
      <x:c r="H1540" s="115" t="str">
        <x:v>L 900 ; l 1380 ; hauteur 34,66 m ; choix de composition auteur ; dimensions réelles à documenter</x:v>
      </x:c>
      <x:c r="I1540" s="115" t="str">
        <x:v>À équilibrer</x:v>
      </x:c>
      <x:c r="J1540" s="115" t="str">
        <x:v>Non</x:v>
      </x:c>
      <x:c r="K1540" s="115" t="str">
        <x:v>Pièces décrites, murs, portes, niveaux et mobilier inspectables à l’échelle. Volumes réservés, raccord au seed, butin, rencontres et services de campagne restent à terminer.</x:v>
      </x:c>
    </x:row>
    <x:row r="1541" ht="96" customHeight="1">
      <x:c r="A1541" s="115" t="str">
        <x:v>EXT-MONDE-T031-V36</x:v>
      </x:c>
      <x:c r="B1541" s="115" t="str">
        <x:v>EXT-MONDE-T031</x:v>
      </x:c>
      <x:c r="C1541" s="115" t="str">
        <x:v>Ponts</x:v>
      </x:c>
      <x:c r="D1541" s="115" t="str">
        <x:v>Pont levant portuaire</x:v>
      </x:c>
      <x:c r="E1541" s="115" t="n">
        <x:v>36</x:v>
      </x:c>
      <x:c r="F1541" s="115" t="str">
        <x:v>Inspection physique</x:v>
      </x:c>
      <x:c r="G1541" s="115" t="str">
        <x:v>1 niveaux ; 34 pièces ; 260 segments de mur ; 0 transitions. Inspection physique ; architecture complète encore ouverte.</x:v>
      </x:c>
      <x:c r="H1541" s="115" t="str">
        <x:v>L 900 ; l 1380 ; hauteur 34,7 m ; choix de composition auteur ; dimensions réelles à documenter</x:v>
      </x:c>
      <x:c r="I1541" s="115" t="str">
        <x:v>À équilibrer</x:v>
      </x:c>
      <x:c r="J1541" s="115" t="str">
        <x:v>Non</x:v>
      </x:c>
      <x:c r="K1541" s="115" t="str">
        <x:v>Pièces décrites, murs, portes, niveaux et mobilier inspectables à l’échelle. Volumes réservés, raccord au seed, butin, rencontres et services de campagne restent à terminer.</x:v>
      </x:c>
    </x:row>
    <x:row r="1542" ht="96" customHeight="1">
      <x:c r="A1542" s="115" t="str">
        <x:v>EXT-MONDE-T031-V37</x:v>
      </x:c>
      <x:c r="B1542" s="115" t="str">
        <x:v>EXT-MONDE-T031</x:v>
      </x:c>
      <x:c r="C1542" s="115" t="str">
        <x:v>Ponts</x:v>
      </x:c>
      <x:c r="D1542" s="115" t="str">
        <x:v>Pont levant portuaire</x:v>
      </x:c>
      <x:c r="E1542" s="115" t="n">
        <x:v>37</x:v>
      </x:c>
      <x:c r="F1542" s="115" t="str">
        <x:v>Inspection physique</x:v>
      </x:c>
      <x:c r="G1542" s="115" t="str">
        <x:v>1 niveaux ; 34 pièces ; 260 segments de mur ; 0 transitions. Inspection physique ; architecture complète encore ouverte.</x:v>
      </x:c>
      <x:c r="H1542" s="115" t="str">
        <x:v>L 900 ; l 1380 ; hauteur 34,74 m ; choix de composition auteur ; dimensions réelles à documenter</x:v>
      </x:c>
      <x:c r="I1542" s="115" t="str">
        <x:v>À équilibrer</x:v>
      </x:c>
      <x:c r="J1542" s="115" t="str">
        <x:v>Non</x:v>
      </x:c>
      <x:c r="K1542" s="115" t="str">
        <x:v>Pièces décrites, murs, portes, niveaux et mobilier inspectables à l’échelle. Volumes réservés, raccord au seed, butin, rencontres et services de campagne restent à terminer.</x:v>
      </x:c>
    </x:row>
    <x:row r="1543" ht="96" customHeight="1">
      <x:c r="A1543" s="115" t="str">
        <x:v>EXT-MONDE-T031-V38</x:v>
      </x:c>
      <x:c r="B1543" s="115" t="str">
        <x:v>EXT-MONDE-T031</x:v>
      </x:c>
      <x:c r="C1543" s="115" t="str">
        <x:v>Ponts</x:v>
      </x:c>
      <x:c r="D1543" s="115" t="str">
        <x:v>Pont levant portuaire</x:v>
      </x:c>
      <x:c r="E1543" s="115" t="n">
        <x:v>38</x:v>
      </x:c>
      <x:c r="F1543" s="115" t="str">
        <x:v>Inspection physique</x:v>
      </x:c>
      <x:c r="G1543" s="115" t="str">
        <x:v>1 niveaux ; 34 pièces ; 260 segments de mur ; 0 transitions. Inspection physique ; architecture complète encore ouverte.</x:v>
      </x:c>
      <x:c r="H1543" s="115" t="str">
        <x:v>L 900 ; l 1380 ; hauteur 34,78 m ; choix de composition auteur ; dimensions réelles à documenter</x:v>
      </x:c>
      <x:c r="I1543" s="115" t="str">
        <x:v>À équilibrer</x:v>
      </x:c>
      <x:c r="J1543" s="115" t="str">
        <x:v>Non</x:v>
      </x:c>
      <x:c r="K1543" s="115" t="str">
        <x:v>Pièces décrites, murs, portes, niveaux et mobilier inspectables à l’échelle. Volumes réservés, raccord au seed, butin, rencontres et services de campagne restent à terminer.</x:v>
      </x:c>
    </x:row>
    <x:row r="1544" ht="96" customHeight="1">
      <x:c r="A1544" s="115" t="str">
        <x:v>EXT-MONDE-T031-V39</x:v>
      </x:c>
      <x:c r="B1544" s="115" t="str">
        <x:v>EXT-MONDE-T031</x:v>
      </x:c>
      <x:c r="C1544" s="115" t="str">
        <x:v>Ponts</x:v>
      </x:c>
      <x:c r="D1544" s="115" t="str">
        <x:v>Pont levant portuaire</x:v>
      </x:c>
      <x:c r="E1544" s="115" t="n">
        <x:v>39</x:v>
      </x:c>
      <x:c r="F1544" s="115" t="str">
        <x:v>Inspection physique</x:v>
      </x:c>
      <x:c r="G1544" s="115" t="str">
        <x:v>1 niveaux ; 34 pièces ; 260 segments de mur ; 0 transitions. Inspection physique ; architecture complète encore ouverte.</x:v>
      </x:c>
      <x:c r="H1544" s="115" t="str">
        <x:v>L 900 ; l 1380 ; hauteur 34,82 m ; choix de composition auteur ; dimensions réelles à documenter</x:v>
      </x:c>
      <x:c r="I1544" s="115" t="str">
        <x:v>À équilibrer</x:v>
      </x:c>
      <x:c r="J1544" s="115" t="str">
        <x:v>Non</x:v>
      </x:c>
      <x:c r="K1544" s="115" t="str">
        <x:v>Pièces décrites, murs, portes, niveaux et mobilier inspectables à l’échelle. Volumes réservés, raccord au seed, butin, rencontres et services de campagne restent à terminer.</x:v>
      </x:c>
    </x:row>
    <x:row r="1545" ht="96" customHeight="1">
      <x:c r="A1545" s="115" t="str">
        <x:v>EXT-MONDE-T031-V40</x:v>
      </x:c>
      <x:c r="B1545" s="115" t="str">
        <x:v>EXT-MONDE-T031</x:v>
      </x:c>
      <x:c r="C1545" s="115" t="str">
        <x:v>Ponts</x:v>
      </x:c>
      <x:c r="D1545" s="115" t="str">
        <x:v>Pont levant portuaire</x:v>
      </x:c>
      <x:c r="E1545" s="115" t="n">
        <x:v>40</x:v>
      </x:c>
      <x:c r="F1545" s="115" t="str">
        <x:v>Inspection physique</x:v>
      </x:c>
      <x:c r="G1545" s="115" t="str">
        <x:v>1 niveaux ; 34 pièces ; 260 segments de mur ; 0 transitions. Inspection physique ; architecture complète encore ouverte.</x:v>
      </x:c>
      <x:c r="H1545" s="115" t="str">
        <x:v>L 900 ; l 1380 ; hauteur 34,86 m ; choix de composition auteur ; dimensions réelles à documenter</x:v>
      </x:c>
      <x:c r="I1545" s="115" t="str">
        <x:v>À équilibrer</x:v>
      </x:c>
      <x:c r="J1545" s="115" t="str">
        <x:v>Non</x:v>
      </x:c>
      <x:c r="K1545" s="115" t="str">
        <x:v>Pièces décrites, murs, portes, niveaux et mobilier inspectables à l’échelle. Volumes réservés, raccord au seed, butin, rencontres et services de campagne restent à terminer.</x:v>
      </x:c>
    </x:row>
    <x:row r="1546" ht="96" customHeight="1">
      <x:c r="A1546" s="115" t="str">
        <x:v>EXT-MONDE-T031-V41</x:v>
      </x:c>
      <x:c r="B1546" s="115" t="str">
        <x:v>EXT-MONDE-T031</x:v>
      </x:c>
      <x:c r="C1546" s="115" t="str">
        <x:v>Ponts</x:v>
      </x:c>
      <x:c r="D1546" s="115" t="str">
        <x:v>Pont levant portuaire</x:v>
      </x:c>
      <x:c r="E1546" s="115" t="n">
        <x:v>41</x:v>
      </x:c>
      <x:c r="F1546" s="115" t="str">
        <x:v>Inspection physique</x:v>
      </x:c>
      <x:c r="G1546" s="115" t="str">
        <x:v>1 niveaux ; 34 pièces ; 260 segments de mur ; 0 transitions. Inspection physique ; architecture complète encore ouverte.</x:v>
      </x:c>
      <x:c r="H1546" s="115" t="str">
        <x:v>L 980 ; l 1540 ; hauteur 36,5 m ; choix de composition auteur ; dimensions réelles à documenter</x:v>
      </x:c>
      <x:c r="I1546" s="115" t="str">
        <x:v>À équilibrer</x:v>
      </x:c>
      <x:c r="J1546" s="115" t="str">
        <x:v>Non</x:v>
      </x:c>
      <x:c r="K1546" s="115" t="str">
        <x:v>Pièces décrites, murs, portes, niveaux et mobilier inspectables à l’échelle. Volumes réservés, raccord au seed, butin, rencontres et services de campagne restent à terminer.</x:v>
      </x:c>
    </x:row>
    <x:row r="1547" ht="96" customHeight="1">
      <x:c r="A1547" s="115" t="str">
        <x:v>EXT-MONDE-T031-V42</x:v>
      </x:c>
      <x:c r="B1547" s="115" t="str">
        <x:v>EXT-MONDE-T031</x:v>
      </x:c>
      <x:c r="C1547" s="115" t="str">
        <x:v>Ponts</x:v>
      </x:c>
      <x:c r="D1547" s="115" t="str">
        <x:v>Pont levant portuaire</x:v>
      </x:c>
      <x:c r="E1547" s="115" t="n">
        <x:v>42</x:v>
      </x:c>
      <x:c r="F1547" s="115" t="str">
        <x:v>Inspection physique</x:v>
      </x:c>
      <x:c r="G1547" s="115" t="str">
        <x:v>1 niveaux ; 34 pièces ; 260 segments de mur ; 0 transitions. Inspection physique ; architecture complète encore ouverte.</x:v>
      </x:c>
      <x:c r="H1547" s="115" t="str">
        <x:v>L 980 ; l 1540 ; hauteur 36,54 m ; choix de composition auteur ; dimensions réelles à documenter</x:v>
      </x:c>
      <x:c r="I1547" s="115" t="str">
        <x:v>À équilibrer</x:v>
      </x:c>
      <x:c r="J1547" s="115" t="str">
        <x:v>Non</x:v>
      </x:c>
      <x:c r="K1547" s="115" t="str">
        <x:v>Pièces décrites, murs, portes, niveaux et mobilier inspectables à l’échelle. Volumes réservés, raccord au seed, butin, rencontres et services de campagne restent à terminer.</x:v>
      </x:c>
    </x:row>
    <x:row r="1548" ht="96" customHeight="1">
      <x:c r="A1548" s="115" t="str">
        <x:v>EXT-MONDE-T031-V43</x:v>
      </x:c>
      <x:c r="B1548" s="115" t="str">
        <x:v>EXT-MONDE-T031</x:v>
      </x:c>
      <x:c r="C1548" s="115" t="str">
        <x:v>Ponts</x:v>
      </x:c>
      <x:c r="D1548" s="115" t="str">
        <x:v>Pont levant portuaire</x:v>
      </x:c>
      <x:c r="E1548" s="115" t="n">
        <x:v>43</x:v>
      </x:c>
      <x:c r="F1548" s="115" t="str">
        <x:v>Inspection physique</x:v>
      </x:c>
      <x:c r="G1548" s="115" t="str">
        <x:v>1 niveaux ; 34 pièces ; 260 segments de mur ; 0 transitions. Inspection physique ; architecture complète encore ouverte.</x:v>
      </x:c>
      <x:c r="H1548" s="115" t="str">
        <x:v>L 980 ; l 1540 ; hauteur 36,58 m ; choix de composition auteur ; dimensions réelles à documenter</x:v>
      </x:c>
      <x:c r="I1548" s="115" t="str">
        <x:v>À équilibrer</x:v>
      </x:c>
      <x:c r="J1548" s="115" t="str">
        <x:v>Non</x:v>
      </x:c>
      <x:c r="K1548" s="115" t="str">
        <x:v>Pièces décrites, murs, portes, niveaux et mobilier inspectables à l’échelle. Volumes réservés, raccord au seed, butin, rencontres et services de campagne restent à terminer.</x:v>
      </x:c>
    </x:row>
    <x:row r="1549" ht="96" customHeight="1">
      <x:c r="A1549" s="115" t="str">
        <x:v>EXT-MONDE-T031-V44</x:v>
      </x:c>
      <x:c r="B1549" s="115" t="str">
        <x:v>EXT-MONDE-T031</x:v>
      </x:c>
      <x:c r="C1549" s="115" t="str">
        <x:v>Ponts</x:v>
      </x:c>
      <x:c r="D1549" s="115" t="str">
        <x:v>Pont levant portuaire</x:v>
      </x:c>
      <x:c r="E1549" s="115" t="n">
        <x:v>44</x:v>
      </x:c>
      <x:c r="F1549" s="115" t="str">
        <x:v>Inspection physique</x:v>
      </x:c>
      <x:c r="G1549" s="115" t="str">
        <x:v>1 niveaux ; 34 pièces ; 260 segments de mur ; 0 transitions. Inspection physique ; architecture complète encore ouverte.</x:v>
      </x:c>
      <x:c r="H1549" s="115" t="str">
        <x:v>L 980 ; l 1540 ; hauteur 36,62 m ; choix de composition auteur ; dimensions réelles à documenter</x:v>
      </x:c>
      <x:c r="I1549" s="115" t="str">
        <x:v>À équilibrer</x:v>
      </x:c>
      <x:c r="J1549" s="115" t="str">
        <x:v>Non</x:v>
      </x:c>
      <x:c r="K1549" s="115" t="str">
        <x:v>Pièces décrites, murs, portes, niveaux et mobilier inspectables à l’échelle. Volumes réservés, raccord au seed, butin, rencontres et services de campagne restent à terminer.</x:v>
      </x:c>
    </x:row>
    <x:row r="1550" ht="96" customHeight="1">
      <x:c r="A1550" s="115" t="str">
        <x:v>EXT-MONDE-T031-V45</x:v>
      </x:c>
      <x:c r="B1550" s="115" t="str">
        <x:v>EXT-MONDE-T031</x:v>
      </x:c>
      <x:c r="C1550" s="115" t="str">
        <x:v>Ponts</x:v>
      </x:c>
      <x:c r="D1550" s="115" t="str">
        <x:v>Pont levant portuaire</x:v>
      </x:c>
      <x:c r="E1550" s="115" t="n">
        <x:v>45</x:v>
      </x:c>
      <x:c r="F1550" s="115" t="str">
        <x:v>Inspection physique</x:v>
      </x:c>
      <x:c r="G1550" s="115" t="str">
        <x:v>1 niveaux ; 34 pièces ; 260 segments de mur ; 0 transitions. Inspection physique ; architecture complète encore ouverte.</x:v>
      </x:c>
      <x:c r="H1550" s="115" t="str">
        <x:v>L 980 ; l 1540 ; hauteur 36,66 m ; choix de composition auteur ; dimensions réelles à documenter</x:v>
      </x:c>
      <x:c r="I1550" s="115" t="str">
        <x:v>À équilibrer</x:v>
      </x:c>
      <x:c r="J1550" s="115" t="str">
        <x:v>Non</x:v>
      </x:c>
      <x:c r="K1550" s="115" t="str">
        <x:v>Pièces décrites, murs, portes, niveaux et mobilier inspectables à l’échelle. Volumes réservés, raccord au seed, butin, rencontres et services de campagne restent à terminer.</x:v>
      </x:c>
    </x:row>
    <x:row r="1551" ht="96" customHeight="1">
      <x:c r="A1551" s="115" t="str">
        <x:v>EXT-MONDE-T031-V46</x:v>
      </x:c>
      <x:c r="B1551" s="115" t="str">
        <x:v>EXT-MONDE-T031</x:v>
      </x:c>
      <x:c r="C1551" s="115" t="str">
        <x:v>Ponts</x:v>
      </x:c>
      <x:c r="D1551" s="115" t="str">
        <x:v>Pont levant portuaire</x:v>
      </x:c>
      <x:c r="E1551" s="115" t="n">
        <x:v>46</x:v>
      </x:c>
      <x:c r="F1551" s="115" t="str">
        <x:v>Inspection physique</x:v>
      </x:c>
      <x:c r="G1551" s="115" t="str">
        <x:v>1 niveaux ; 34 pièces ; 260 segments de mur ; 0 transitions. Inspection physique ; architecture complète encore ouverte.</x:v>
      </x:c>
      <x:c r="H1551" s="115" t="str">
        <x:v>L 980 ; l 1540 ; hauteur 36,7 m ; choix de composition auteur ; dimensions réelles à documenter</x:v>
      </x:c>
      <x:c r="I1551" s="115" t="str">
        <x:v>À équilibrer</x:v>
      </x:c>
      <x:c r="J1551" s="115" t="str">
        <x:v>Non</x:v>
      </x:c>
      <x:c r="K1551" s="115" t="str">
        <x:v>Pièces décrites, murs, portes, niveaux et mobilier inspectables à l’échelle. Volumes réservés, raccord au seed, butin, rencontres et services de campagne restent à terminer.</x:v>
      </x:c>
    </x:row>
    <x:row r="1552" ht="96" customHeight="1">
      <x:c r="A1552" s="115" t="str">
        <x:v>EXT-MONDE-T031-V47</x:v>
      </x:c>
      <x:c r="B1552" s="115" t="str">
        <x:v>EXT-MONDE-T031</x:v>
      </x:c>
      <x:c r="C1552" s="115" t="str">
        <x:v>Ponts</x:v>
      </x:c>
      <x:c r="D1552" s="115" t="str">
        <x:v>Pont levant portuaire</x:v>
      </x:c>
      <x:c r="E1552" s="115" t="n">
        <x:v>47</x:v>
      </x:c>
      <x:c r="F1552" s="115" t="str">
        <x:v>Inspection physique</x:v>
      </x:c>
      <x:c r="G1552" s="115" t="str">
        <x:v>1 niveaux ; 34 pièces ; 260 segments de mur ; 0 transitions. Inspection physique ; architecture complète encore ouverte.</x:v>
      </x:c>
      <x:c r="H1552" s="115" t="str">
        <x:v>L 980 ; l 1540 ; hauteur 36,74 m ; choix de composition auteur ; dimensions réelles à documenter</x:v>
      </x:c>
      <x:c r="I1552" s="115" t="str">
        <x:v>À équilibrer</x:v>
      </x:c>
      <x:c r="J1552" s="115" t="str">
        <x:v>Non</x:v>
      </x:c>
      <x:c r="K1552" s="115" t="str">
        <x:v>Pièces décrites, murs, portes, niveaux et mobilier inspectables à l’échelle. Volumes réservés, raccord au seed, butin, rencontres et services de campagne restent à terminer.</x:v>
      </x:c>
    </x:row>
    <x:row r="1553" ht="96" customHeight="1">
      <x:c r="A1553" s="115" t="str">
        <x:v>EXT-MONDE-T031-V48</x:v>
      </x:c>
      <x:c r="B1553" s="115" t="str">
        <x:v>EXT-MONDE-T031</x:v>
      </x:c>
      <x:c r="C1553" s="115" t="str">
        <x:v>Ponts</x:v>
      </x:c>
      <x:c r="D1553" s="115" t="str">
        <x:v>Pont levant portuaire</x:v>
      </x:c>
      <x:c r="E1553" s="115" t="n">
        <x:v>48</x:v>
      </x:c>
      <x:c r="F1553" s="115" t="str">
        <x:v>Inspection physique</x:v>
      </x:c>
      <x:c r="G1553" s="115" t="str">
        <x:v>1 niveaux ; 34 pièces ; 260 segments de mur ; 0 transitions. Inspection physique ; architecture complète encore ouverte.</x:v>
      </x:c>
      <x:c r="H1553" s="115" t="str">
        <x:v>L 980 ; l 1540 ; hauteur 36,78 m ; choix de composition auteur ; dimensions réelles à documenter</x:v>
      </x:c>
      <x:c r="I1553" s="115" t="str">
        <x:v>À équilibrer</x:v>
      </x:c>
      <x:c r="J1553" s="115" t="str">
        <x:v>Non</x:v>
      </x:c>
      <x:c r="K1553" s="115" t="str">
        <x:v>Pièces décrites, murs, portes, niveaux et mobilier inspectables à l’échelle. Volumes réservés, raccord au seed, butin, rencontres et services de campagne restent à terminer.</x:v>
      </x:c>
    </x:row>
    <x:row r="1554" ht="96" customHeight="1">
      <x:c r="A1554" s="115" t="str">
        <x:v>EXT-MONDE-T031-V49</x:v>
      </x:c>
      <x:c r="B1554" s="115" t="str">
        <x:v>EXT-MONDE-T031</x:v>
      </x:c>
      <x:c r="C1554" s="115" t="str">
        <x:v>Ponts</x:v>
      </x:c>
      <x:c r="D1554" s="115" t="str">
        <x:v>Pont levant portuaire</x:v>
      </x:c>
      <x:c r="E1554" s="115" t="n">
        <x:v>49</x:v>
      </x:c>
      <x:c r="F1554" s="115" t="str">
        <x:v>Inspection physique</x:v>
      </x:c>
      <x:c r="G1554" s="115" t="str">
        <x:v>1 niveaux ; 34 pièces ; 260 segments de mur ; 0 transitions. Inspection physique ; architecture complète encore ouverte.</x:v>
      </x:c>
      <x:c r="H1554" s="115" t="str">
        <x:v>L 980 ; l 1540 ; hauteur 36,82 m ; choix de composition auteur ; dimensions réelles à documenter</x:v>
      </x:c>
      <x:c r="I1554" s="115" t="str">
        <x:v>À équilibrer</x:v>
      </x:c>
      <x:c r="J1554" s="115" t="str">
        <x:v>Non</x:v>
      </x:c>
      <x:c r="K1554" s="115" t="str">
        <x:v>Pièces décrites, murs, portes, niveaux et mobilier inspectables à l’échelle. Volumes réservés, raccord au seed, butin, rencontres et services de campagne restent à terminer.</x:v>
      </x:c>
    </x:row>
    <x:row r="1555" ht="96" customHeight="1">
      <x:c r="A1555" s="115" t="str">
        <x:v>EXT-MONDE-T031-V50</x:v>
      </x:c>
      <x:c r="B1555" s="115" t="str">
        <x:v>EXT-MONDE-T031</x:v>
      </x:c>
      <x:c r="C1555" s="115" t="str">
        <x:v>Ponts</x:v>
      </x:c>
      <x:c r="D1555" s="115" t="str">
        <x:v>Pont levant portuaire</x:v>
      </x:c>
      <x:c r="E1555" s="115" t="n">
        <x:v>50</x:v>
      </x:c>
      <x:c r="F1555" s="115" t="str">
        <x:v>Inspection physique</x:v>
      </x:c>
      <x:c r="G1555" s="115" t="str">
        <x:v>1 niveaux ; 34 pièces ; 260 segments de mur ; 0 transitions. Inspection physique ; architecture complète encore ouverte.</x:v>
      </x:c>
      <x:c r="H1555" s="115" t="str">
        <x:v>L 980 ; l 1540 ; hauteur 36,86 m ; choix de composition auteur ; dimensions réelles à documenter</x:v>
      </x:c>
      <x:c r="I1555" s="115" t="str">
        <x:v>À équilibrer</x:v>
      </x:c>
      <x:c r="J1555" s="115" t="str">
        <x:v>Non</x:v>
      </x:c>
      <x:c r="K1555" s="115" t="str">
        <x:v>Pièces décrites, murs, portes, niveaux et mobilier inspectables à l’échelle. Volumes réservés, raccord au seed, butin, rencontres et services de campagne restent à terminer.</x:v>
      </x:c>
    </x:row>
    <x:row r="1556" ht="96" customHeight="1">
      <x:c r="A1556" s="115" t="str">
        <x:v>EXT-MONDE-T032-V01</x:v>
      </x:c>
      <x:c r="B1556" s="115" t="str">
        <x:v>EXT-MONDE-T032</x:v>
      </x:c>
      <x:c r="C1556" s="115" t="str">
        <x:v>Ponts</x:v>
      </x:c>
      <x:c r="D1556" s="115" t="str">
        <x:v>Viaduc ferroviaire</x:v>
      </x:c>
      <x:c r="E1556" s="115" t="n">
        <x:v>1</x:v>
      </x:c>
      <x:c r="F1556" s="115" t="str">
        <x:v>Inspection physique</x:v>
      </x:c>
      <x:c r="G1556" s="115" t="str">
        <x:v>1 niveaux ; 34 pièces ; 260 segments de mur ; 0 transitions. Inspection physique ; architecture complète encore ouverte.</x:v>
      </x:c>
      <x:c r="H1556" s="115" t="str">
        <x:v>L 800 ; l 2600 ; hauteur 18 m ; choix de composition auteur ; dimensions réelles à documenter</x:v>
      </x:c>
      <x:c r="I1556" s="115" t="str">
        <x:v>À équilibrer</x:v>
      </x:c>
      <x:c r="J1556" s="115" t="str">
        <x:v>Non</x:v>
      </x:c>
      <x:c r="K1556" s="115" t="str">
        <x:v>Pièces décrites, murs, portes, niveaux et mobilier inspectables à l’échelle. Volumes réservés, raccord au seed, butin, rencontres et services de campagne restent à terminer.</x:v>
      </x:c>
    </x:row>
    <x:row r="1557" ht="96" customHeight="1">
      <x:c r="A1557" s="115" t="str">
        <x:v>EXT-MONDE-T032-V02</x:v>
      </x:c>
      <x:c r="B1557" s="115" t="str">
        <x:v>EXT-MONDE-T032</x:v>
      </x:c>
      <x:c r="C1557" s="115" t="str">
        <x:v>Ponts</x:v>
      </x:c>
      <x:c r="D1557" s="115" t="str">
        <x:v>Viaduc ferroviaire</x:v>
      </x:c>
      <x:c r="E1557" s="115" t="n">
        <x:v>2</x:v>
      </x:c>
      <x:c r="F1557" s="115" t="str">
        <x:v>Inspection physique</x:v>
      </x:c>
      <x:c r="G1557" s="115" t="str">
        <x:v>1 niveaux ; 34 pièces ; 260 segments de mur ; 0 transitions. Inspection physique ; architecture complète encore ouverte.</x:v>
      </x:c>
      <x:c r="H1557" s="115" t="str">
        <x:v>L 800 ; l 2600 ; hauteur 18,04 m ; choix de composition auteur ; dimensions réelles à documenter</x:v>
      </x:c>
      <x:c r="I1557" s="115" t="str">
        <x:v>À équilibrer</x:v>
      </x:c>
      <x:c r="J1557" s="115" t="str">
        <x:v>Non</x:v>
      </x:c>
      <x:c r="K1557" s="115" t="str">
        <x:v>Pièces décrites, murs, portes, niveaux et mobilier inspectables à l’échelle. Volumes réservés, raccord au seed, butin, rencontres et services de campagne restent à terminer.</x:v>
      </x:c>
    </x:row>
    <x:row r="1558" ht="96" customHeight="1">
      <x:c r="A1558" s="115" t="str">
        <x:v>EXT-MONDE-T032-V03</x:v>
      </x:c>
      <x:c r="B1558" s="115" t="str">
        <x:v>EXT-MONDE-T032</x:v>
      </x:c>
      <x:c r="C1558" s="115" t="str">
        <x:v>Ponts</x:v>
      </x:c>
      <x:c r="D1558" s="115" t="str">
        <x:v>Viaduc ferroviaire</x:v>
      </x:c>
      <x:c r="E1558" s="115" t="n">
        <x:v>3</x:v>
      </x:c>
      <x:c r="F1558" s="115" t="str">
        <x:v>Inspection physique</x:v>
      </x:c>
      <x:c r="G1558" s="115" t="str">
        <x:v>1 niveaux ; 34 pièces ; 260 segments de mur ; 0 transitions. Inspection physique ; architecture complète encore ouverte.</x:v>
      </x:c>
      <x:c r="H1558" s="115" t="str">
        <x:v>L 800 ; l 2600 ; hauteur 18,08 m ; choix de composition auteur ; dimensions réelles à documenter</x:v>
      </x:c>
      <x:c r="I1558" s="115" t="str">
        <x:v>À équilibrer</x:v>
      </x:c>
      <x:c r="J1558" s="115" t="str">
        <x:v>Non</x:v>
      </x:c>
      <x:c r="K1558" s="115" t="str">
        <x:v>Pièces décrites, murs, portes, niveaux et mobilier inspectables à l’échelle. Volumes réservés, raccord au seed, butin, rencontres et services de campagne restent à terminer.</x:v>
      </x:c>
    </x:row>
    <x:row r="1559" ht="96" customHeight="1">
      <x:c r="A1559" s="115" t="str">
        <x:v>EXT-MONDE-T032-V04</x:v>
      </x:c>
      <x:c r="B1559" s="115" t="str">
        <x:v>EXT-MONDE-T032</x:v>
      </x:c>
      <x:c r="C1559" s="115" t="str">
        <x:v>Ponts</x:v>
      </x:c>
      <x:c r="D1559" s="115" t="str">
        <x:v>Viaduc ferroviaire</x:v>
      </x:c>
      <x:c r="E1559" s="115" t="n">
        <x:v>4</x:v>
      </x:c>
      <x:c r="F1559" s="115" t="str">
        <x:v>Inspection physique</x:v>
      </x:c>
      <x:c r="G1559" s="115" t="str">
        <x:v>1 niveaux ; 34 pièces ; 260 segments de mur ; 0 transitions. Inspection physique ; architecture complète encore ouverte.</x:v>
      </x:c>
      <x:c r="H1559" s="115" t="str">
        <x:v>L 800 ; l 2600 ; hauteur 18,12 m ; choix de composition auteur ; dimensions réelles à documenter</x:v>
      </x:c>
      <x:c r="I1559" s="115" t="str">
        <x:v>À équilibrer</x:v>
      </x:c>
      <x:c r="J1559" s="115" t="str">
        <x:v>Non</x:v>
      </x:c>
      <x:c r="K1559" s="115" t="str">
        <x:v>Pièces décrites, murs, portes, niveaux et mobilier inspectables à l’échelle. Volumes réservés, raccord au seed, butin, rencontres et services de campagne restent à terminer.</x:v>
      </x:c>
    </x:row>
    <x:row r="1560" ht="96" customHeight="1">
      <x:c r="A1560" s="115" t="str">
        <x:v>EXT-MONDE-T032-V05</x:v>
      </x:c>
      <x:c r="B1560" s="115" t="str">
        <x:v>EXT-MONDE-T032</x:v>
      </x:c>
      <x:c r="C1560" s="115" t="str">
        <x:v>Ponts</x:v>
      </x:c>
      <x:c r="D1560" s="115" t="str">
        <x:v>Viaduc ferroviaire</x:v>
      </x:c>
      <x:c r="E1560" s="115" t="n">
        <x:v>5</x:v>
      </x:c>
      <x:c r="F1560" s="115" t="str">
        <x:v>Inspection physique</x:v>
      </x:c>
      <x:c r="G1560" s="115" t="str">
        <x:v>1 niveaux ; 34 pièces ; 260 segments de mur ; 0 transitions. Inspection physique ; architecture complète encore ouverte.</x:v>
      </x:c>
      <x:c r="H1560" s="115" t="str">
        <x:v>L 800 ; l 2600 ; hauteur 18,16 m ; choix de composition auteur ; dimensions réelles à documenter</x:v>
      </x:c>
      <x:c r="I1560" s="115" t="str">
        <x:v>À équilibrer</x:v>
      </x:c>
      <x:c r="J1560" s="115" t="str">
        <x:v>Non</x:v>
      </x:c>
      <x:c r="K1560" s="115" t="str">
        <x:v>Pièces décrites, murs, portes, niveaux et mobilier inspectables à l’échelle. Volumes réservés, raccord au seed, butin, rencontres et services de campagne restent à terminer.</x:v>
      </x:c>
    </x:row>
    <x:row r="1561" ht="96" customHeight="1">
      <x:c r="A1561" s="115" t="str">
        <x:v>EXT-MONDE-T032-V06</x:v>
      </x:c>
      <x:c r="B1561" s="115" t="str">
        <x:v>EXT-MONDE-T032</x:v>
      </x:c>
      <x:c r="C1561" s="115" t="str">
        <x:v>Ponts</x:v>
      </x:c>
      <x:c r="D1561" s="115" t="str">
        <x:v>Viaduc ferroviaire</x:v>
      </x:c>
      <x:c r="E1561" s="115" t="n">
        <x:v>6</x:v>
      </x:c>
      <x:c r="F1561" s="115" t="str">
        <x:v>Inspection physique</x:v>
      </x:c>
      <x:c r="G1561" s="115" t="str">
        <x:v>1 niveaux ; 34 pièces ; 260 segments de mur ; 0 transitions. Inspection physique ; architecture complète encore ouverte.</x:v>
      </x:c>
      <x:c r="H1561" s="115" t="str">
        <x:v>L 800 ; l 2600 ; hauteur 18,2 m ; choix de composition auteur ; dimensions réelles à documenter</x:v>
      </x:c>
      <x:c r="I1561" s="115" t="str">
        <x:v>À équilibrer</x:v>
      </x:c>
      <x:c r="J1561" s="115" t="str">
        <x:v>Non</x:v>
      </x:c>
      <x:c r="K1561" s="115" t="str">
        <x:v>Pièces décrites, murs, portes, niveaux et mobilier inspectables à l’échelle. Volumes réservés, raccord au seed, butin, rencontres et services de campagne restent à terminer.</x:v>
      </x:c>
    </x:row>
    <x:row r="1562" ht="96" customHeight="1">
      <x:c r="A1562" s="115" t="str">
        <x:v>EXT-MONDE-T032-V07</x:v>
      </x:c>
      <x:c r="B1562" s="115" t="str">
        <x:v>EXT-MONDE-T032</x:v>
      </x:c>
      <x:c r="C1562" s="115" t="str">
        <x:v>Ponts</x:v>
      </x:c>
      <x:c r="D1562" s="115" t="str">
        <x:v>Viaduc ferroviaire</x:v>
      </x:c>
      <x:c r="E1562" s="115" t="n">
        <x:v>7</x:v>
      </x:c>
      <x:c r="F1562" s="115" t="str">
        <x:v>Inspection physique</x:v>
      </x:c>
      <x:c r="G1562" s="115" t="str">
        <x:v>1 niveaux ; 34 pièces ; 260 segments de mur ; 0 transitions. Inspection physique ; architecture complète encore ouverte.</x:v>
      </x:c>
      <x:c r="H1562" s="115" t="str">
        <x:v>L 800 ; l 2600 ; hauteur 18,24 m ; choix de composition auteur ; dimensions réelles à documenter</x:v>
      </x:c>
      <x:c r="I1562" s="115" t="str">
        <x:v>À équilibrer</x:v>
      </x:c>
      <x:c r="J1562" s="115" t="str">
        <x:v>Non</x:v>
      </x:c>
      <x:c r="K1562" s="115" t="str">
        <x:v>Pièces décrites, murs, portes, niveaux et mobilier inspectables à l’échelle. Volumes réservés, raccord au seed, butin, rencontres et services de campagne restent à terminer.</x:v>
      </x:c>
    </x:row>
    <x:row r="1563" ht="96" customHeight="1">
      <x:c r="A1563" s="115" t="str">
        <x:v>EXT-MONDE-T032-V08</x:v>
      </x:c>
      <x:c r="B1563" s="115" t="str">
        <x:v>EXT-MONDE-T032</x:v>
      </x:c>
      <x:c r="C1563" s="115" t="str">
        <x:v>Ponts</x:v>
      </x:c>
      <x:c r="D1563" s="115" t="str">
        <x:v>Viaduc ferroviaire</x:v>
      </x:c>
      <x:c r="E1563" s="115" t="n">
        <x:v>8</x:v>
      </x:c>
      <x:c r="F1563" s="115" t="str">
        <x:v>Inspection physique</x:v>
      </x:c>
      <x:c r="G1563" s="115" t="str">
        <x:v>1 niveaux ; 34 pièces ; 260 segments de mur ; 0 transitions. Inspection physique ; architecture complète encore ouverte.</x:v>
      </x:c>
      <x:c r="H1563" s="115" t="str">
        <x:v>L 800 ; l 2600 ; hauteur 18,28 m ; choix de composition auteur ; dimensions réelles à documenter</x:v>
      </x:c>
      <x:c r="I1563" s="115" t="str">
        <x:v>À équilibrer</x:v>
      </x:c>
      <x:c r="J1563" s="115" t="str">
        <x:v>Non</x:v>
      </x:c>
      <x:c r="K1563" s="115" t="str">
        <x:v>Pièces décrites, murs, portes, niveaux et mobilier inspectables à l’échelle. Volumes réservés, raccord au seed, butin, rencontres et services de campagne restent à terminer.</x:v>
      </x:c>
    </x:row>
    <x:row r="1564" ht="96" customHeight="1">
      <x:c r="A1564" s="115" t="str">
        <x:v>EXT-MONDE-T032-V09</x:v>
      </x:c>
      <x:c r="B1564" s="115" t="str">
        <x:v>EXT-MONDE-T032</x:v>
      </x:c>
      <x:c r="C1564" s="115" t="str">
        <x:v>Ponts</x:v>
      </x:c>
      <x:c r="D1564" s="115" t="str">
        <x:v>Viaduc ferroviaire</x:v>
      </x:c>
      <x:c r="E1564" s="115" t="n">
        <x:v>9</x:v>
      </x:c>
      <x:c r="F1564" s="115" t="str">
        <x:v>Inspection physique</x:v>
      </x:c>
      <x:c r="G1564" s="115" t="str">
        <x:v>1 niveaux ; 34 pièces ; 260 segments de mur ; 0 transitions. Inspection physique ; architecture complète encore ouverte.</x:v>
      </x:c>
      <x:c r="H1564" s="115" t="str">
        <x:v>L 800 ; l 2600 ; hauteur 18,32 m ; choix de composition auteur ; dimensions réelles à documenter</x:v>
      </x:c>
      <x:c r="I1564" s="115" t="str">
        <x:v>À équilibrer</x:v>
      </x:c>
      <x:c r="J1564" s="115" t="str">
        <x:v>Non</x:v>
      </x:c>
      <x:c r="K1564" s="115" t="str">
        <x:v>Pièces décrites, murs, portes, niveaux et mobilier inspectables à l’échelle. Volumes réservés, raccord au seed, butin, rencontres et services de campagne restent à terminer.</x:v>
      </x:c>
    </x:row>
    <x:row r="1565" ht="96" customHeight="1">
      <x:c r="A1565" s="115" t="str">
        <x:v>EXT-MONDE-T032-V10</x:v>
      </x:c>
      <x:c r="B1565" s="115" t="str">
        <x:v>EXT-MONDE-T032</x:v>
      </x:c>
      <x:c r="C1565" s="115" t="str">
        <x:v>Ponts</x:v>
      </x:c>
      <x:c r="D1565" s="115" t="str">
        <x:v>Viaduc ferroviaire</x:v>
      </x:c>
      <x:c r="E1565" s="115" t="n">
        <x:v>10</x:v>
      </x:c>
      <x:c r="F1565" s="115" t="str">
        <x:v>Inspection physique</x:v>
      </x:c>
      <x:c r="G1565" s="115" t="str">
        <x:v>1 niveaux ; 34 pièces ; 260 segments de mur ; 0 transitions. Inspection physique ; architecture complète encore ouverte.</x:v>
      </x:c>
      <x:c r="H1565" s="115" t="str">
        <x:v>L 800 ; l 2600 ; hauteur 18,36 m ; choix de composition auteur ; dimensions réelles à documenter</x:v>
      </x:c>
      <x:c r="I1565" s="115" t="str">
        <x:v>À équilibrer</x:v>
      </x:c>
      <x:c r="J1565" s="115" t="str">
        <x:v>Non</x:v>
      </x:c>
      <x:c r="K1565" s="115" t="str">
        <x:v>Pièces décrites, murs, portes, niveaux et mobilier inspectables à l’échelle. Volumes réservés, raccord au seed, butin, rencontres et services de campagne restent à terminer.</x:v>
      </x:c>
    </x:row>
    <x:row r="1566" ht="96" customHeight="1">
      <x:c r="A1566" s="115" t="str">
        <x:v>EXT-MONDE-T032-V11</x:v>
      </x:c>
      <x:c r="B1566" s="115" t="str">
        <x:v>EXT-MONDE-T032</x:v>
      </x:c>
      <x:c r="C1566" s="115" t="str">
        <x:v>Ponts</x:v>
      </x:c>
      <x:c r="D1566" s="115" t="str">
        <x:v>Viaduc ferroviaire</x:v>
      </x:c>
      <x:c r="E1566" s="115" t="n">
        <x:v>11</x:v>
      </x:c>
      <x:c r="F1566" s="115" t="str">
        <x:v>Inspection physique</x:v>
      </x:c>
      <x:c r="G1566" s="115" t="str">
        <x:v>1 niveaux ; 34 pièces ; 260 segments de mur ; 0 transitions. Inspection physique ; architecture complète encore ouverte.</x:v>
      </x:c>
      <x:c r="H1566" s="115" t="str">
        <x:v>L 880 ; l 3000 ; hauteur 18 m ; choix de composition auteur ; dimensions réelles à documenter</x:v>
      </x:c>
      <x:c r="I1566" s="115" t="str">
        <x:v>À équilibrer</x:v>
      </x:c>
      <x:c r="J1566" s="115" t="str">
        <x:v>Non</x:v>
      </x:c>
      <x:c r="K1566" s="115" t="str">
        <x:v>Pièces décrites, murs, portes, niveaux et mobilier inspectables à l’échelle. Volumes réservés, raccord au seed, butin, rencontres et services de campagne restent à terminer.</x:v>
      </x:c>
    </x:row>
    <x:row r="1567" ht="96" customHeight="1">
      <x:c r="A1567" s="115" t="str">
        <x:v>EXT-MONDE-T032-V12</x:v>
      </x:c>
      <x:c r="B1567" s="115" t="str">
        <x:v>EXT-MONDE-T032</x:v>
      </x:c>
      <x:c r="C1567" s="115" t="str">
        <x:v>Ponts</x:v>
      </x:c>
      <x:c r="D1567" s="115" t="str">
        <x:v>Viaduc ferroviaire</x:v>
      </x:c>
      <x:c r="E1567" s="115" t="n">
        <x:v>12</x:v>
      </x:c>
      <x:c r="F1567" s="115" t="str">
        <x:v>Inspection physique</x:v>
      </x:c>
      <x:c r="G1567" s="115" t="str">
        <x:v>1 niveaux ; 34 pièces ; 260 segments de mur ; 0 transitions. Inspection physique ; architecture complète encore ouverte.</x:v>
      </x:c>
      <x:c r="H1567" s="115" t="str">
        <x:v>L 880 ; l 3000 ; hauteur 18,04 m ; choix de composition auteur ; dimensions réelles à documenter</x:v>
      </x:c>
      <x:c r="I1567" s="115" t="str">
        <x:v>À équilibrer</x:v>
      </x:c>
      <x:c r="J1567" s="115" t="str">
        <x:v>Non</x:v>
      </x:c>
      <x:c r="K1567" s="115" t="str">
        <x:v>Pièces décrites, murs, portes, niveaux et mobilier inspectables à l’échelle. Volumes réservés, raccord au seed, butin, rencontres et services de campagne restent à terminer.</x:v>
      </x:c>
    </x:row>
    <x:row r="1568" ht="96" customHeight="1">
      <x:c r="A1568" s="115" t="str">
        <x:v>EXT-MONDE-T032-V13</x:v>
      </x:c>
      <x:c r="B1568" s="115" t="str">
        <x:v>EXT-MONDE-T032</x:v>
      </x:c>
      <x:c r="C1568" s="115" t="str">
        <x:v>Ponts</x:v>
      </x:c>
      <x:c r="D1568" s="115" t="str">
        <x:v>Viaduc ferroviaire</x:v>
      </x:c>
      <x:c r="E1568" s="115" t="n">
        <x:v>13</x:v>
      </x:c>
      <x:c r="F1568" s="115" t="str">
        <x:v>Inspection physique</x:v>
      </x:c>
      <x:c r="G1568" s="115" t="str">
        <x:v>1 niveaux ; 34 pièces ; 260 segments de mur ; 0 transitions. Inspection physique ; architecture complète encore ouverte.</x:v>
      </x:c>
      <x:c r="H1568" s="115" t="str">
        <x:v>L 880 ; l 3000 ; hauteur 18,08 m ; choix de composition auteur ; dimensions réelles à documenter</x:v>
      </x:c>
      <x:c r="I1568" s="115" t="str">
        <x:v>À équilibrer</x:v>
      </x:c>
      <x:c r="J1568" s="115" t="str">
        <x:v>Non</x:v>
      </x:c>
      <x:c r="K1568" s="115" t="str">
        <x:v>Pièces décrites, murs, portes, niveaux et mobilier inspectables à l’échelle. Volumes réservés, raccord au seed, butin, rencontres et services de campagne restent à terminer.</x:v>
      </x:c>
    </x:row>
    <x:row r="1569" ht="96" customHeight="1">
      <x:c r="A1569" s="115" t="str">
        <x:v>EXT-MONDE-T032-V14</x:v>
      </x:c>
      <x:c r="B1569" s="115" t="str">
        <x:v>EXT-MONDE-T032</x:v>
      </x:c>
      <x:c r="C1569" s="115" t="str">
        <x:v>Ponts</x:v>
      </x:c>
      <x:c r="D1569" s="115" t="str">
        <x:v>Viaduc ferroviaire</x:v>
      </x:c>
      <x:c r="E1569" s="115" t="n">
        <x:v>14</x:v>
      </x:c>
      <x:c r="F1569" s="115" t="str">
        <x:v>Inspection physique</x:v>
      </x:c>
      <x:c r="G1569" s="115" t="str">
        <x:v>1 niveaux ; 34 pièces ; 260 segments de mur ; 0 transitions. Inspection physique ; architecture complète encore ouverte.</x:v>
      </x:c>
      <x:c r="H1569" s="115" t="str">
        <x:v>L 880 ; l 3000 ; hauteur 18,12 m ; choix de composition auteur ; dimensions réelles à documenter</x:v>
      </x:c>
      <x:c r="I1569" s="115" t="str">
        <x:v>À équilibrer</x:v>
      </x:c>
      <x:c r="J1569" s="115" t="str">
        <x:v>Non</x:v>
      </x:c>
      <x:c r="K1569" s="115" t="str">
        <x:v>Pièces décrites, murs, portes, niveaux et mobilier inspectables à l’échelle. Volumes réservés, raccord au seed, butin, rencontres et services de campagne restent à terminer.</x:v>
      </x:c>
    </x:row>
    <x:row r="1570" ht="96" customHeight="1">
      <x:c r="A1570" s="115" t="str">
        <x:v>EXT-MONDE-T032-V15</x:v>
      </x:c>
      <x:c r="B1570" s="115" t="str">
        <x:v>EXT-MONDE-T032</x:v>
      </x:c>
      <x:c r="C1570" s="115" t="str">
        <x:v>Ponts</x:v>
      </x:c>
      <x:c r="D1570" s="115" t="str">
        <x:v>Viaduc ferroviaire</x:v>
      </x:c>
      <x:c r="E1570" s="115" t="n">
        <x:v>15</x:v>
      </x:c>
      <x:c r="F1570" s="115" t="str">
        <x:v>Inspection physique</x:v>
      </x:c>
      <x:c r="G1570" s="115" t="str">
        <x:v>1 niveaux ; 34 pièces ; 260 segments de mur ; 0 transitions. Inspection physique ; architecture complète encore ouverte.</x:v>
      </x:c>
      <x:c r="H1570" s="115" t="str">
        <x:v>L 880 ; l 3000 ; hauteur 18,16 m ; choix de composition auteur ; dimensions réelles à documenter</x:v>
      </x:c>
      <x:c r="I1570" s="115" t="str">
        <x:v>À équilibrer</x:v>
      </x:c>
      <x:c r="J1570" s="115" t="str">
        <x:v>Non</x:v>
      </x:c>
      <x:c r="K1570" s="115" t="str">
        <x:v>Pièces décrites, murs, portes, niveaux et mobilier inspectables à l’échelle. Volumes réservés, raccord au seed, butin, rencontres et services de campagne restent à terminer.</x:v>
      </x:c>
    </x:row>
    <x:row r="1571" ht="96" customHeight="1">
      <x:c r="A1571" s="115" t="str">
        <x:v>EXT-MONDE-T032-V16</x:v>
      </x:c>
      <x:c r="B1571" s="115" t="str">
        <x:v>EXT-MONDE-T032</x:v>
      </x:c>
      <x:c r="C1571" s="115" t="str">
        <x:v>Ponts</x:v>
      </x:c>
      <x:c r="D1571" s="115" t="str">
        <x:v>Viaduc ferroviaire</x:v>
      </x:c>
      <x:c r="E1571" s="115" t="n">
        <x:v>16</x:v>
      </x:c>
      <x:c r="F1571" s="115" t="str">
        <x:v>Inspection physique</x:v>
      </x:c>
      <x:c r="G1571" s="115" t="str">
        <x:v>1 niveaux ; 34 pièces ; 260 segments de mur ; 0 transitions. Inspection physique ; architecture complète encore ouverte.</x:v>
      </x:c>
      <x:c r="H1571" s="115" t="str">
        <x:v>L 880 ; l 3000 ; hauteur 18,2 m ; choix de composition auteur ; dimensions réelles à documenter</x:v>
      </x:c>
      <x:c r="I1571" s="115" t="str">
        <x:v>À équilibrer</x:v>
      </x:c>
      <x:c r="J1571" s="115" t="str">
        <x:v>Non</x:v>
      </x:c>
      <x:c r="K1571" s="115" t="str">
        <x:v>Pièces décrites, murs, portes, niveaux et mobilier inspectables à l’échelle. Volumes réservés, raccord au seed, butin, rencontres et services de campagne restent à terminer.</x:v>
      </x:c>
    </x:row>
    <x:row r="1572" ht="96" customHeight="1">
      <x:c r="A1572" s="115" t="str">
        <x:v>EXT-MONDE-T032-V17</x:v>
      </x:c>
      <x:c r="B1572" s="115" t="str">
        <x:v>EXT-MONDE-T032</x:v>
      </x:c>
      <x:c r="C1572" s="115" t="str">
        <x:v>Ponts</x:v>
      </x:c>
      <x:c r="D1572" s="115" t="str">
        <x:v>Viaduc ferroviaire</x:v>
      </x:c>
      <x:c r="E1572" s="115" t="n">
        <x:v>17</x:v>
      </x:c>
      <x:c r="F1572" s="115" t="str">
        <x:v>Inspection physique</x:v>
      </x:c>
      <x:c r="G1572" s="115" t="str">
        <x:v>1 niveaux ; 34 pièces ; 260 segments de mur ; 0 transitions. Inspection physique ; architecture complète encore ouverte.</x:v>
      </x:c>
      <x:c r="H1572" s="115" t="str">
        <x:v>L 880 ; l 3000 ; hauteur 18,24 m ; choix de composition auteur ; dimensions réelles à documenter</x:v>
      </x:c>
      <x:c r="I1572" s="115" t="str">
        <x:v>À équilibrer</x:v>
      </x:c>
      <x:c r="J1572" s="115" t="str">
        <x:v>Non</x:v>
      </x:c>
      <x:c r="K1572" s="115" t="str">
        <x:v>Pièces décrites, murs, portes, niveaux et mobilier inspectables à l’échelle. Volumes réservés, raccord au seed, butin, rencontres et services de campagne restent à terminer.</x:v>
      </x:c>
    </x:row>
    <x:row r="1573" ht="96" customHeight="1">
      <x:c r="A1573" s="115" t="str">
        <x:v>EXT-MONDE-T032-V18</x:v>
      </x:c>
      <x:c r="B1573" s="115" t="str">
        <x:v>EXT-MONDE-T032</x:v>
      </x:c>
      <x:c r="C1573" s="115" t="str">
        <x:v>Ponts</x:v>
      </x:c>
      <x:c r="D1573" s="115" t="str">
        <x:v>Viaduc ferroviaire</x:v>
      </x:c>
      <x:c r="E1573" s="115" t="n">
        <x:v>18</x:v>
      </x:c>
      <x:c r="F1573" s="115" t="str">
        <x:v>Inspection physique</x:v>
      </x:c>
      <x:c r="G1573" s="115" t="str">
        <x:v>1 niveaux ; 34 pièces ; 260 segments de mur ; 0 transitions. Inspection physique ; architecture complète encore ouverte.</x:v>
      </x:c>
      <x:c r="H1573" s="115" t="str">
        <x:v>L 880 ; l 3000 ; hauteur 18,28 m ; choix de composition auteur ; dimensions réelles à documenter</x:v>
      </x:c>
      <x:c r="I1573" s="115" t="str">
        <x:v>À équilibrer</x:v>
      </x:c>
      <x:c r="J1573" s="115" t="str">
        <x:v>Non</x:v>
      </x:c>
      <x:c r="K1573" s="115" t="str">
        <x:v>Pièces décrites, murs, portes, niveaux et mobilier inspectables à l’échelle. Volumes réservés, raccord au seed, butin, rencontres et services de campagne restent à terminer.</x:v>
      </x:c>
    </x:row>
    <x:row r="1574" ht="96" customHeight="1">
      <x:c r="A1574" s="115" t="str">
        <x:v>EXT-MONDE-T032-V19</x:v>
      </x:c>
      <x:c r="B1574" s="115" t="str">
        <x:v>EXT-MONDE-T032</x:v>
      </x:c>
      <x:c r="C1574" s="115" t="str">
        <x:v>Ponts</x:v>
      </x:c>
      <x:c r="D1574" s="115" t="str">
        <x:v>Viaduc ferroviaire</x:v>
      </x:c>
      <x:c r="E1574" s="115" t="n">
        <x:v>19</x:v>
      </x:c>
      <x:c r="F1574" s="115" t="str">
        <x:v>Inspection physique</x:v>
      </x:c>
      <x:c r="G1574" s="115" t="str">
        <x:v>1 niveaux ; 34 pièces ; 260 segments de mur ; 0 transitions. Inspection physique ; architecture complète encore ouverte.</x:v>
      </x:c>
      <x:c r="H1574" s="115" t="str">
        <x:v>L 880 ; l 3000 ; hauteur 18,32 m ; choix de composition auteur ; dimensions réelles à documenter</x:v>
      </x:c>
      <x:c r="I1574" s="115" t="str">
        <x:v>À équilibrer</x:v>
      </x:c>
      <x:c r="J1574" s="115" t="str">
        <x:v>Non</x:v>
      </x:c>
      <x:c r="K1574" s="115" t="str">
        <x:v>Pièces décrites, murs, portes, niveaux et mobilier inspectables à l’échelle. Volumes réservés, raccord au seed, butin, rencontres et services de campagne restent à terminer.</x:v>
      </x:c>
    </x:row>
    <x:row r="1575" ht="96" customHeight="1">
      <x:c r="A1575" s="115" t="str">
        <x:v>EXT-MONDE-T032-V20</x:v>
      </x:c>
      <x:c r="B1575" s="115" t="str">
        <x:v>EXT-MONDE-T032</x:v>
      </x:c>
      <x:c r="C1575" s="115" t="str">
        <x:v>Ponts</x:v>
      </x:c>
      <x:c r="D1575" s="115" t="str">
        <x:v>Viaduc ferroviaire</x:v>
      </x:c>
      <x:c r="E1575" s="115" t="n">
        <x:v>20</x:v>
      </x:c>
      <x:c r="F1575" s="115" t="str">
        <x:v>Inspection physique</x:v>
      </x:c>
      <x:c r="G1575" s="115" t="str">
        <x:v>1 niveaux ; 34 pièces ; 260 segments de mur ; 0 transitions. Inspection physique ; architecture complète encore ouverte.</x:v>
      </x:c>
      <x:c r="H1575" s="115" t="str">
        <x:v>L 880 ; l 3000 ; hauteur 18,36 m ; choix de composition auteur ; dimensions réelles à documenter</x:v>
      </x:c>
      <x:c r="I1575" s="115" t="str">
        <x:v>À équilibrer</x:v>
      </x:c>
      <x:c r="J1575" s="115" t="str">
        <x:v>Non</x:v>
      </x:c>
      <x:c r="K1575" s="115" t="str">
        <x:v>Pièces décrites, murs, portes, niveaux et mobilier inspectables à l’échelle. Volumes réservés, raccord au seed, butin, rencontres et services de campagne restent à terminer.</x:v>
      </x:c>
    </x:row>
    <x:row r="1576" ht="96" customHeight="1">
      <x:c r="A1576" s="115" t="str">
        <x:v>EXT-MONDE-T032-V21</x:v>
      </x:c>
      <x:c r="B1576" s="115" t="str">
        <x:v>EXT-MONDE-T032</x:v>
      </x:c>
      <x:c r="C1576" s="115" t="str">
        <x:v>Ponts</x:v>
      </x:c>
      <x:c r="D1576" s="115" t="str">
        <x:v>Viaduc ferroviaire</x:v>
      </x:c>
      <x:c r="E1576" s="115" t="n">
        <x:v>21</x:v>
      </x:c>
      <x:c r="F1576" s="115" t="str">
        <x:v>Inspection physique</x:v>
      </x:c>
      <x:c r="G1576" s="115" t="str">
        <x:v>1 niveaux ; 34 pièces ; 260 segments de mur ; 0 transitions. Inspection physique ; architecture complète encore ouverte.</x:v>
      </x:c>
      <x:c r="H1576" s="115" t="str">
        <x:v>L 960 ; l 3400 ; hauteur 18 m ; choix de composition auteur ; dimensions réelles à documenter</x:v>
      </x:c>
      <x:c r="I1576" s="115" t="str">
        <x:v>À équilibrer</x:v>
      </x:c>
      <x:c r="J1576" s="115" t="str">
        <x:v>Non</x:v>
      </x:c>
      <x:c r="K1576" s="115" t="str">
        <x:v>Pièces décrites, murs, portes, niveaux et mobilier inspectables à l’échelle. Volumes réservés, raccord au seed, butin, rencontres et services de campagne restent à terminer.</x:v>
      </x:c>
    </x:row>
    <x:row r="1577" ht="96" customHeight="1">
      <x:c r="A1577" s="115" t="str">
        <x:v>EXT-MONDE-T032-V22</x:v>
      </x:c>
      <x:c r="B1577" s="115" t="str">
        <x:v>EXT-MONDE-T032</x:v>
      </x:c>
      <x:c r="C1577" s="115" t="str">
        <x:v>Ponts</x:v>
      </x:c>
      <x:c r="D1577" s="115" t="str">
        <x:v>Viaduc ferroviaire</x:v>
      </x:c>
      <x:c r="E1577" s="115" t="n">
        <x:v>22</x:v>
      </x:c>
      <x:c r="F1577" s="115" t="str">
        <x:v>Inspection physique</x:v>
      </x:c>
      <x:c r="G1577" s="115" t="str">
        <x:v>1 niveaux ; 34 pièces ; 260 segments de mur ; 0 transitions. Inspection physique ; architecture complète encore ouverte.</x:v>
      </x:c>
      <x:c r="H1577" s="115" t="str">
        <x:v>L 960 ; l 3400 ; hauteur 18,04 m ; choix de composition auteur ; dimensions réelles à documenter</x:v>
      </x:c>
      <x:c r="I1577" s="115" t="str">
        <x:v>À équilibrer</x:v>
      </x:c>
      <x:c r="J1577" s="115" t="str">
        <x:v>Non</x:v>
      </x:c>
      <x:c r="K1577" s="115" t="str">
        <x:v>Pièces décrites, murs, portes, niveaux et mobilier inspectables à l’échelle. Volumes réservés, raccord au seed, butin, rencontres et services de campagne restent à terminer.</x:v>
      </x:c>
    </x:row>
    <x:row r="1578" ht="96" customHeight="1">
      <x:c r="A1578" s="115" t="str">
        <x:v>EXT-MONDE-T032-V23</x:v>
      </x:c>
      <x:c r="B1578" s="115" t="str">
        <x:v>EXT-MONDE-T032</x:v>
      </x:c>
      <x:c r="C1578" s="115" t="str">
        <x:v>Ponts</x:v>
      </x:c>
      <x:c r="D1578" s="115" t="str">
        <x:v>Viaduc ferroviaire</x:v>
      </x:c>
      <x:c r="E1578" s="115" t="n">
        <x:v>23</x:v>
      </x:c>
      <x:c r="F1578" s="115" t="str">
        <x:v>Inspection physique</x:v>
      </x:c>
      <x:c r="G1578" s="115" t="str">
        <x:v>1 niveaux ; 34 pièces ; 260 segments de mur ; 0 transitions. Inspection physique ; architecture complète encore ouverte.</x:v>
      </x:c>
      <x:c r="H1578" s="115" t="str">
        <x:v>L 960 ; l 3400 ; hauteur 18,08 m ; choix de composition auteur ; dimensions réelles à documenter</x:v>
      </x:c>
      <x:c r="I1578" s="115" t="str">
        <x:v>À équilibrer</x:v>
      </x:c>
      <x:c r="J1578" s="115" t="str">
        <x:v>Non</x:v>
      </x:c>
      <x:c r="K1578" s="115" t="str">
        <x:v>Pièces décrites, murs, portes, niveaux et mobilier inspectables à l’échelle. Volumes réservés, raccord au seed, butin, rencontres et services de campagne restent à terminer.</x:v>
      </x:c>
    </x:row>
    <x:row r="1579" ht="96" customHeight="1">
      <x:c r="A1579" s="115" t="str">
        <x:v>EXT-MONDE-T032-V24</x:v>
      </x:c>
      <x:c r="B1579" s="115" t="str">
        <x:v>EXT-MONDE-T032</x:v>
      </x:c>
      <x:c r="C1579" s="115" t="str">
        <x:v>Ponts</x:v>
      </x:c>
      <x:c r="D1579" s="115" t="str">
        <x:v>Viaduc ferroviaire</x:v>
      </x:c>
      <x:c r="E1579" s="115" t="n">
        <x:v>24</x:v>
      </x:c>
      <x:c r="F1579" s="115" t="str">
        <x:v>Inspection physique</x:v>
      </x:c>
      <x:c r="G1579" s="115" t="str">
        <x:v>1 niveaux ; 34 pièces ; 260 segments de mur ; 0 transitions. Inspection physique ; architecture complète encore ouverte.</x:v>
      </x:c>
      <x:c r="H1579" s="115" t="str">
        <x:v>L 960 ; l 3400 ; hauteur 18,12 m ; choix de composition auteur ; dimensions réelles à documenter</x:v>
      </x:c>
      <x:c r="I1579" s="115" t="str">
        <x:v>À équilibrer</x:v>
      </x:c>
      <x:c r="J1579" s="115" t="str">
        <x:v>Non</x:v>
      </x:c>
      <x:c r="K1579" s="115" t="str">
        <x:v>Pièces décrites, murs, portes, niveaux et mobilier inspectables à l’échelle. Volumes réservés, raccord au seed, butin, rencontres et services de campagne restent à terminer.</x:v>
      </x:c>
    </x:row>
    <x:row r="1580" ht="96" customHeight="1">
      <x:c r="A1580" s="115" t="str">
        <x:v>EXT-MONDE-T032-V25</x:v>
      </x:c>
      <x:c r="B1580" s="115" t="str">
        <x:v>EXT-MONDE-T032</x:v>
      </x:c>
      <x:c r="C1580" s="115" t="str">
        <x:v>Ponts</x:v>
      </x:c>
      <x:c r="D1580" s="115" t="str">
        <x:v>Viaduc ferroviaire</x:v>
      </x:c>
      <x:c r="E1580" s="115" t="n">
        <x:v>25</x:v>
      </x:c>
      <x:c r="F1580" s="115" t="str">
        <x:v>Inspection physique</x:v>
      </x:c>
      <x:c r="G1580" s="115" t="str">
        <x:v>1 niveaux ; 34 pièces ; 260 segments de mur ; 0 transitions. Inspection physique ; architecture complète encore ouverte.</x:v>
      </x:c>
      <x:c r="H1580" s="115" t="str">
        <x:v>L 960 ; l 3400 ; hauteur 18,16 m ; choix de composition auteur ; dimensions réelles à documenter</x:v>
      </x:c>
      <x:c r="I1580" s="115" t="str">
        <x:v>À équilibrer</x:v>
      </x:c>
      <x:c r="J1580" s="115" t="str">
        <x:v>Non</x:v>
      </x:c>
      <x:c r="K1580" s="115" t="str">
        <x:v>Pièces décrites, murs, portes, niveaux et mobilier inspectables à l’échelle. Volumes réservés, raccord au seed, butin, rencontres et services de campagne restent à terminer.</x:v>
      </x:c>
    </x:row>
    <x:row r="1581" ht="96" customHeight="1">
      <x:c r="A1581" s="115" t="str">
        <x:v>EXT-MONDE-T032-V26</x:v>
      </x:c>
      <x:c r="B1581" s="115" t="str">
        <x:v>EXT-MONDE-T032</x:v>
      </x:c>
      <x:c r="C1581" s="115" t="str">
        <x:v>Ponts</x:v>
      </x:c>
      <x:c r="D1581" s="115" t="str">
        <x:v>Viaduc ferroviaire</x:v>
      </x:c>
      <x:c r="E1581" s="115" t="n">
        <x:v>26</x:v>
      </x:c>
      <x:c r="F1581" s="115" t="str">
        <x:v>Inspection physique</x:v>
      </x:c>
      <x:c r="G1581" s="115" t="str">
        <x:v>1 niveaux ; 34 pièces ; 260 segments de mur ; 0 transitions. Inspection physique ; architecture complète encore ouverte.</x:v>
      </x:c>
      <x:c r="H1581" s="115" t="str">
        <x:v>L 960 ; l 3400 ; hauteur 18,2 m ; choix de composition auteur ; dimensions réelles à documenter</x:v>
      </x:c>
      <x:c r="I1581" s="115" t="str">
        <x:v>À équilibrer</x:v>
      </x:c>
      <x:c r="J1581" s="115" t="str">
        <x:v>Non</x:v>
      </x:c>
      <x:c r="K1581" s="115" t="str">
        <x:v>Pièces décrites, murs, portes, niveaux et mobilier inspectables à l’échelle. Volumes réservés, raccord au seed, butin, rencontres et services de campagne restent à terminer.</x:v>
      </x:c>
    </x:row>
    <x:row r="1582" ht="96" customHeight="1">
      <x:c r="A1582" s="115" t="str">
        <x:v>EXT-MONDE-T032-V27</x:v>
      </x:c>
      <x:c r="B1582" s="115" t="str">
        <x:v>EXT-MONDE-T032</x:v>
      </x:c>
      <x:c r="C1582" s="115" t="str">
        <x:v>Ponts</x:v>
      </x:c>
      <x:c r="D1582" s="115" t="str">
        <x:v>Viaduc ferroviaire</x:v>
      </x:c>
      <x:c r="E1582" s="115" t="n">
        <x:v>27</x:v>
      </x:c>
      <x:c r="F1582" s="115" t="str">
        <x:v>Inspection physique</x:v>
      </x:c>
      <x:c r="G1582" s="115" t="str">
        <x:v>1 niveaux ; 34 pièces ; 260 segments de mur ; 0 transitions. Inspection physique ; architecture complète encore ouverte.</x:v>
      </x:c>
      <x:c r="H1582" s="115" t="str">
        <x:v>L 960 ; l 3400 ; hauteur 18,24 m ; choix de composition auteur ; dimensions réelles à documenter</x:v>
      </x:c>
      <x:c r="I1582" s="115" t="str">
        <x:v>À équilibrer</x:v>
      </x:c>
      <x:c r="J1582" s="115" t="str">
        <x:v>Non</x:v>
      </x:c>
      <x:c r="K1582" s="115" t="str">
        <x:v>Pièces décrites, murs, portes, niveaux et mobilier inspectables à l’échelle. Volumes réservés, raccord au seed, butin, rencontres et services de campagne restent à terminer.</x:v>
      </x:c>
    </x:row>
    <x:row r="1583" ht="96" customHeight="1">
      <x:c r="A1583" s="115" t="str">
        <x:v>EXT-MONDE-T032-V28</x:v>
      </x:c>
      <x:c r="B1583" s="115" t="str">
        <x:v>EXT-MONDE-T032</x:v>
      </x:c>
      <x:c r="C1583" s="115" t="str">
        <x:v>Ponts</x:v>
      </x:c>
      <x:c r="D1583" s="115" t="str">
        <x:v>Viaduc ferroviaire</x:v>
      </x:c>
      <x:c r="E1583" s="115" t="n">
        <x:v>28</x:v>
      </x:c>
      <x:c r="F1583" s="115" t="str">
        <x:v>Inspection physique</x:v>
      </x:c>
      <x:c r="G1583" s="115" t="str">
        <x:v>1 niveaux ; 34 pièces ; 260 segments de mur ; 0 transitions. Inspection physique ; architecture complète encore ouverte.</x:v>
      </x:c>
      <x:c r="H1583" s="115" t="str">
        <x:v>L 960 ; l 3400 ; hauteur 18,28 m ; choix de composition auteur ; dimensions réelles à documenter</x:v>
      </x:c>
      <x:c r="I1583" s="115" t="str">
        <x:v>À équilibrer</x:v>
      </x:c>
      <x:c r="J1583" s="115" t="str">
        <x:v>Non</x:v>
      </x:c>
      <x:c r="K1583" s="115" t="str">
        <x:v>Pièces décrites, murs, portes, niveaux et mobilier inspectables à l’échelle. Volumes réservés, raccord au seed, butin, rencontres et services de campagne restent à terminer.</x:v>
      </x:c>
    </x:row>
    <x:row r="1584" ht="96" customHeight="1">
      <x:c r="A1584" s="115" t="str">
        <x:v>EXT-MONDE-T032-V29</x:v>
      </x:c>
      <x:c r="B1584" s="115" t="str">
        <x:v>EXT-MONDE-T032</x:v>
      </x:c>
      <x:c r="C1584" s="115" t="str">
        <x:v>Ponts</x:v>
      </x:c>
      <x:c r="D1584" s="115" t="str">
        <x:v>Viaduc ferroviaire</x:v>
      </x:c>
      <x:c r="E1584" s="115" t="n">
        <x:v>29</x:v>
      </x:c>
      <x:c r="F1584" s="115" t="str">
        <x:v>Inspection physique</x:v>
      </x:c>
      <x:c r="G1584" s="115" t="str">
        <x:v>1 niveaux ; 34 pièces ; 260 segments de mur ; 0 transitions. Inspection physique ; architecture complète encore ouverte.</x:v>
      </x:c>
      <x:c r="H1584" s="115" t="str">
        <x:v>L 960 ; l 3400 ; hauteur 18,32 m ; choix de composition auteur ; dimensions réelles à documenter</x:v>
      </x:c>
      <x:c r="I1584" s="115" t="str">
        <x:v>À équilibrer</x:v>
      </x:c>
      <x:c r="J1584" s="115" t="str">
        <x:v>Non</x:v>
      </x:c>
      <x:c r="K1584" s="115" t="str">
        <x:v>Pièces décrites, murs, portes, niveaux et mobilier inspectables à l’échelle. Volumes réservés, raccord au seed, butin, rencontres et services de campagne restent à terminer.</x:v>
      </x:c>
    </x:row>
    <x:row r="1585" ht="96" customHeight="1">
      <x:c r="A1585" s="115" t="str">
        <x:v>EXT-MONDE-T032-V30</x:v>
      </x:c>
      <x:c r="B1585" s="115" t="str">
        <x:v>EXT-MONDE-T032</x:v>
      </x:c>
      <x:c r="C1585" s="115" t="str">
        <x:v>Ponts</x:v>
      </x:c>
      <x:c r="D1585" s="115" t="str">
        <x:v>Viaduc ferroviaire</x:v>
      </x:c>
      <x:c r="E1585" s="115" t="n">
        <x:v>30</x:v>
      </x:c>
      <x:c r="F1585" s="115" t="str">
        <x:v>Inspection physique</x:v>
      </x:c>
      <x:c r="G1585" s="115" t="str">
        <x:v>1 niveaux ; 34 pièces ; 260 segments de mur ; 0 transitions. Inspection physique ; architecture complète encore ouverte.</x:v>
      </x:c>
      <x:c r="H1585" s="115" t="str">
        <x:v>L 960 ; l 3400 ; hauteur 18,36 m ; choix de composition auteur ; dimensions réelles à documenter</x:v>
      </x:c>
      <x:c r="I1585" s="115" t="str">
        <x:v>À équilibrer</x:v>
      </x:c>
      <x:c r="J1585" s="115" t="str">
        <x:v>Non</x:v>
      </x:c>
      <x:c r="K1585" s="115" t="str">
        <x:v>Pièces décrites, murs, portes, niveaux et mobilier inspectables à l’échelle. Volumes réservés, raccord au seed, butin, rencontres et services de campagne restent à terminer.</x:v>
      </x:c>
    </x:row>
    <x:row r="1586" ht="96" customHeight="1">
      <x:c r="A1586" s="115" t="str">
        <x:v>EXT-MONDE-T032-V31</x:v>
      </x:c>
      <x:c r="B1586" s="115" t="str">
        <x:v>EXT-MONDE-T032</x:v>
      </x:c>
      <x:c r="C1586" s="115" t="str">
        <x:v>Ponts</x:v>
      </x:c>
      <x:c r="D1586" s="115" t="str">
        <x:v>Viaduc ferroviaire</x:v>
      </x:c>
      <x:c r="E1586" s="115" t="n">
        <x:v>31</x:v>
      </x:c>
      <x:c r="F1586" s="115" t="str">
        <x:v>Inspection physique</x:v>
      </x:c>
      <x:c r="G1586" s="115" t="str">
        <x:v>1 niveaux ; 34 pièces ; 260 segments de mur ; 0 transitions. Inspection physique ; architecture complète encore ouverte.</x:v>
      </x:c>
      <x:c r="H1586" s="115" t="str">
        <x:v>L 1040 ; l 3800 ; hauteur 18 m ; choix de composition auteur ; dimensions réelles à documenter</x:v>
      </x:c>
      <x:c r="I1586" s="115" t="str">
        <x:v>À équilibrer</x:v>
      </x:c>
      <x:c r="J1586" s="115" t="str">
        <x:v>Non</x:v>
      </x:c>
      <x:c r="K1586" s="115" t="str">
        <x:v>Pièces décrites, murs, portes, niveaux et mobilier inspectables à l’échelle. Volumes réservés, raccord au seed, butin, rencontres et services de campagne restent à terminer.</x:v>
      </x:c>
    </x:row>
    <x:row r="1587" ht="96" customHeight="1">
      <x:c r="A1587" s="115" t="str">
        <x:v>EXT-MONDE-T032-V32</x:v>
      </x:c>
      <x:c r="B1587" s="115" t="str">
        <x:v>EXT-MONDE-T032</x:v>
      </x:c>
      <x:c r="C1587" s="115" t="str">
        <x:v>Ponts</x:v>
      </x:c>
      <x:c r="D1587" s="115" t="str">
        <x:v>Viaduc ferroviaire</x:v>
      </x:c>
      <x:c r="E1587" s="115" t="n">
        <x:v>32</x:v>
      </x:c>
      <x:c r="F1587" s="115" t="str">
        <x:v>Inspection physique</x:v>
      </x:c>
      <x:c r="G1587" s="115" t="str">
        <x:v>1 niveaux ; 34 pièces ; 260 segments de mur ; 0 transitions. Inspection physique ; architecture complète encore ouverte.</x:v>
      </x:c>
      <x:c r="H1587" s="115" t="str">
        <x:v>L 1040 ; l 3800 ; hauteur 18,04 m ; choix de composition auteur ; dimensions réelles à documenter</x:v>
      </x:c>
      <x:c r="I1587" s="115" t="str">
        <x:v>À équilibrer</x:v>
      </x:c>
      <x:c r="J1587" s="115" t="str">
        <x:v>Non</x:v>
      </x:c>
      <x:c r="K1587" s="115" t="str">
        <x:v>Pièces décrites, murs, portes, niveaux et mobilier inspectables à l’échelle. Volumes réservés, raccord au seed, butin, rencontres et services de campagne restent à terminer.</x:v>
      </x:c>
    </x:row>
    <x:row r="1588" ht="96" customHeight="1">
      <x:c r="A1588" s="115" t="str">
        <x:v>EXT-MONDE-T032-V33</x:v>
      </x:c>
      <x:c r="B1588" s="115" t="str">
        <x:v>EXT-MONDE-T032</x:v>
      </x:c>
      <x:c r="C1588" s="115" t="str">
        <x:v>Ponts</x:v>
      </x:c>
      <x:c r="D1588" s="115" t="str">
        <x:v>Viaduc ferroviaire</x:v>
      </x:c>
      <x:c r="E1588" s="115" t="n">
        <x:v>33</x:v>
      </x:c>
      <x:c r="F1588" s="115" t="str">
        <x:v>Inspection physique</x:v>
      </x:c>
      <x:c r="G1588" s="115" t="str">
        <x:v>1 niveaux ; 34 pièces ; 260 segments de mur ; 0 transitions. Inspection physique ; architecture complète encore ouverte.</x:v>
      </x:c>
      <x:c r="H1588" s="115" t="str">
        <x:v>L 1040 ; l 3800 ; hauteur 18,08 m ; choix de composition auteur ; dimensions réelles à documenter</x:v>
      </x:c>
      <x:c r="I1588" s="115" t="str">
        <x:v>À équilibrer</x:v>
      </x:c>
      <x:c r="J1588" s="115" t="str">
        <x:v>Non</x:v>
      </x:c>
      <x:c r="K1588" s="115" t="str">
        <x:v>Pièces décrites, murs, portes, niveaux et mobilier inspectables à l’échelle. Volumes réservés, raccord au seed, butin, rencontres et services de campagne restent à terminer.</x:v>
      </x:c>
    </x:row>
    <x:row r="1589" ht="96" customHeight="1">
      <x:c r="A1589" s="115" t="str">
        <x:v>EXT-MONDE-T032-V34</x:v>
      </x:c>
      <x:c r="B1589" s="115" t="str">
        <x:v>EXT-MONDE-T032</x:v>
      </x:c>
      <x:c r="C1589" s="115" t="str">
        <x:v>Ponts</x:v>
      </x:c>
      <x:c r="D1589" s="115" t="str">
        <x:v>Viaduc ferroviaire</x:v>
      </x:c>
      <x:c r="E1589" s="115" t="n">
        <x:v>34</x:v>
      </x:c>
      <x:c r="F1589" s="115" t="str">
        <x:v>Inspection physique</x:v>
      </x:c>
      <x:c r="G1589" s="115" t="str">
        <x:v>1 niveaux ; 34 pièces ; 260 segments de mur ; 0 transitions. Inspection physique ; architecture complète encore ouverte.</x:v>
      </x:c>
      <x:c r="H1589" s="115" t="str">
        <x:v>L 1040 ; l 3800 ; hauteur 18,12 m ; choix de composition auteur ; dimensions réelles à documenter</x:v>
      </x:c>
      <x:c r="I1589" s="115" t="str">
        <x:v>À équilibrer</x:v>
      </x:c>
      <x:c r="J1589" s="115" t="str">
        <x:v>Non</x:v>
      </x:c>
      <x:c r="K1589" s="115" t="str">
        <x:v>Pièces décrites, murs, portes, niveaux et mobilier inspectables à l’échelle. Volumes réservés, raccord au seed, butin, rencontres et services de campagne restent à terminer.</x:v>
      </x:c>
    </x:row>
    <x:row r="1590" ht="96" customHeight="1">
      <x:c r="A1590" s="115" t="str">
        <x:v>EXT-MONDE-T032-V35</x:v>
      </x:c>
      <x:c r="B1590" s="115" t="str">
        <x:v>EXT-MONDE-T032</x:v>
      </x:c>
      <x:c r="C1590" s="115" t="str">
        <x:v>Ponts</x:v>
      </x:c>
      <x:c r="D1590" s="115" t="str">
        <x:v>Viaduc ferroviaire</x:v>
      </x:c>
      <x:c r="E1590" s="115" t="n">
        <x:v>35</x:v>
      </x:c>
      <x:c r="F1590" s="115" t="str">
        <x:v>Inspection physique</x:v>
      </x:c>
      <x:c r="G1590" s="115" t="str">
        <x:v>1 niveaux ; 34 pièces ; 260 segments de mur ; 0 transitions. Inspection physique ; architecture complète encore ouverte.</x:v>
      </x:c>
      <x:c r="H1590" s="115" t="str">
        <x:v>L 1040 ; l 3800 ; hauteur 18,16 m ; choix de composition auteur ; dimensions réelles à documenter</x:v>
      </x:c>
      <x:c r="I1590" s="115" t="str">
        <x:v>À équilibrer</x:v>
      </x:c>
      <x:c r="J1590" s="115" t="str">
        <x:v>Non</x:v>
      </x:c>
      <x:c r="K1590" s="115" t="str">
        <x:v>Pièces décrites, murs, portes, niveaux et mobilier inspectables à l’échelle. Volumes réservés, raccord au seed, butin, rencontres et services de campagne restent à terminer.</x:v>
      </x:c>
    </x:row>
    <x:row r="1591" ht="96" customHeight="1">
      <x:c r="A1591" s="115" t="str">
        <x:v>EXT-MONDE-T032-V36</x:v>
      </x:c>
      <x:c r="B1591" s="115" t="str">
        <x:v>EXT-MONDE-T032</x:v>
      </x:c>
      <x:c r="C1591" s="115" t="str">
        <x:v>Ponts</x:v>
      </x:c>
      <x:c r="D1591" s="115" t="str">
        <x:v>Viaduc ferroviaire</x:v>
      </x:c>
      <x:c r="E1591" s="115" t="n">
        <x:v>36</x:v>
      </x:c>
      <x:c r="F1591" s="115" t="str">
        <x:v>Inspection physique</x:v>
      </x:c>
      <x:c r="G1591" s="115" t="str">
        <x:v>1 niveaux ; 34 pièces ; 260 segments de mur ; 0 transitions. Inspection physique ; architecture complète encore ouverte.</x:v>
      </x:c>
      <x:c r="H1591" s="115" t="str">
        <x:v>L 1040 ; l 3800 ; hauteur 18,2 m ; choix de composition auteur ; dimensions réelles à documenter</x:v>
      </x:c>
      <x:c r="I1591" s="115" t="str">
        <x:v>À équilibrer</x:v>
      </x:c>
      <x:c r="J1591" s="115" t="str">
        <x:v>Non</x:v>
      </x:c>
      <x:c r="K1591" s="115" t="str">
        <x:v>Pièces décrites, murs, portes, niveaux et mobilier inspectables à l’échelle. Volumes réservés, raccord au seed, butin, rencontres et services de campagne restent à terminer.</x:v>
      </x:c>
    </x:row>
    <x:row r="1592" ht="96" customHeight="1">
      <x:c r="A1592" s="115" t="str">
        <x:v>EXT-MONDE-T032-V37</x:v>
      </x:c>
      <x:c r="B1592" s="115" t="str">
        <x:v>EXT-MONDE-T032</x:v>
      </x:c>
      <x:c r="C1592" s="115" t="str">
        <x:v>Ponts</x:v>
      </x:c>
      <x:c r="D1592" s="115" t="str">
        <x:v>Viaduc ferroviaire</x:v>
      </x:c>
      <x:c r="E1592" s="115" t="n">
        <x:v>37</x:v>
      </x:c>
      <x:c r="F1592" s="115" t="str">
        <x:v>Inspection physique</x:v>
      </x:c>
      <x:c r="G1592" s="115" t="str">
        <x:v>1 niveaux ; 34 pièces ; 260 segments de mur ; 0 transitions. Inspection physique ; architecture complète encore ouverte.</x:v>
      </x:c>
      <x:c r="H1592" s="115" t="str">
        <x:v>L 1040 ; l 3800 ; hauteur 18,24 m ; choix de composition auteur ; dimensions réelles à documenter</x:v>
      </x:c>
      <x:c r="I1592" s="115" t="str">
        <x:v>À équilibrer</x:v>
      </x:c>
      <x:c r="J1592" s="115" t="str">
        <x:v>Non</x:v>
      </x:c>
      <x:c r="K1592" s="115" t="str">
        <x:v>Pièces décrites, murs, portes, niveaux et mobilier inspectables à l’échelle. Volumes réservés, raccord au seed, butin, rencontres et services de campagne restent à terminer.</x:v>
      </x:c>
    </x:row>
    <x:row r="1593" ht="96" customHeight="1">
      <x:c r="A1593" s="115" t="str">
        <x:v>EXT-MONDE-T032-V38</x:v>
      </x:c>
      <x:c r="B1593" s="115" t="str">
        <x:v>EXT-MONDE-T032</x:v>
      </x:c>
      <x:c r="C1593" s="115" t="str">
        <x:v>Ponts</x:v>
      </x:c>
      <x:c r="D1593" s="115" t="str">
        <x:v>Viaduc ferroviaire</x:v>
      </x:c>
      <x:c r="E1593" s="115" t="n">
        <x:v>38</x:v>
      </x:c>
      <x:c r="F1593" s="115" t="str">
        <x:v>Inspection physique</x:v>
      </x:c>
      <x:c r="G1593" s="115" t="str">
        <x:v>1 niveaux ; 34 pièces ; 260 segments de mur ; 0 transitions. Inspection physique ; architecture complète encore ouverte.</x:v>
      </x:c>
      <x:c r="H1593" s="115" t="str">
        <x:v>L 1040 ; l 3800 ; hauteur 18,28 m ; choix de composition auteur ; dimensions réelles à documenter</x:v>
      </x:c>
      <x:c r="I1593" s="115" t="str">
        <x:v>À équilibrer</x:v>
      </x:c>
      <x:c r="J1593" s="115" t="str">
        <x:v>Non</x:v>
      </x:c>
      <x:c r="K1593" s="115" t="str">
        <x:v>Pièces décrites, murs, portes, niveaux et mobilier inspectables à l’échelle. Volumes réservés, raccord au seed, butin, rencontres et services de campagne restent à terminer.</x:v>
      </x:c>
    </x:row>
    <x:row r="1594" ht="96" customHeight="1">
      <x:c r="A1594" s="115" t="str">
        <x:v>EXT-MONDE-T032-V39</x:v>
      </x:c>
      <x:c r="B1594" s="115" t="str">
        <x:v>EXT-MONDE-T032</x:v>
      </x:c>
      <x:c r="C1594" s="115" t="str">
        <x:v>Ponts</x:v>
      </x:c>
      <x:c r="D1594" s="115" t="str">
        <x:v>Viaduc ferroviaire</x:v>
      </x:c>
      <x:c r="E1594" s="115" t="n">
        <x:v>39</x:v>
      </x:c>
      <x:c r="F1594" s="115" t="str">
        <x:v>Inspection physique</x:v>
      </x:c>
      <x:c r="G1594" s="115" t="str">
        <x:v>1 niveaux ; 34 pièces ; 260 segments de mur ; 0 transitions. Inspection physique ; architecture complète encore ouverte.</x:v>
      </x:c>
      <x:c r="H1594" s="115" t="str">
        <x:v>L 1040 ; l 3800 ; hauteur 18,32 m ; choix de composition auteur ; dimensions réelles à documenter</x:v>
      </x:c>
      <x:c r="I1594" s="115" t="str">
        <x:v>À équilibrer</x:v>
      </x:c>
      <x:c r="J1594" s="115" t="str">
        <x:v>Non</x:v>
      </x:c>
      <x:c r="K1594" s="115" t="str">
        <x:v>Pièces décrites, murs, portes, niveaux et mobilier inspectables à l’échelle. Volumes réservés, raccord au seed, butin, rencontres et services de campagne restent à terminer.</x:v>
      </x:c>
    </x:row>
    <x:row r="1595" ht="96" customHeight="1">
      <x:c r="A1595" s="115" t="str">
        <x:v>EXT-MONDE-T032-V40</x:v>
      </x:c>
      <x:c r="B1595" s="115" t="str">
        <x:v>EXT-MONDE-T032</x:v>
      </x:c>
      <x:c r="C1595" s="115" t="str">
        <x:v>Ponts</x:v>
      </x:c>
      <x:c r="D1595" s="115" t="str">
        <x:v>Viaduc ferroviaire</x:v>
      </x:c>
      <x:c r="E1595" s="115" t="n">
        <x:v>40</x:v>
      </x:c>
      <x:c r="F1595" s="115" t="str">
        <x:v>Inspection physique</x:v>
      </x:c>
      <x:c r="G1595" s="115" t="str">
        <x:v>1 niveaux ; 34 pièces ; 260 segments de mur ; 0 transitions. Inspection physique ; architecture complète encore ouverte.</x:v>
      </x:c>
      <x:c r="H1595" s="115" t="str">
        <x:v>L 1040 ; l 3800 ; hauteur 18,36 m ; choix de composition auteur ; dimensions réelles à documenter</x:v>
      </x:c>
      <x:c r="I1595" s="115" t="str">
        <x:v>À équilibrer</x:v>
      </x:c>
      <x:c r="J1595" s="115" t="str">
        <x:v>Non</x:v>
      </x:c>
      <x:c r="K1595" s="115" t="str">
        <x:v>Pièces décrites, murs, portes, niveaux et mobilier inspectables à l’échelle. Volumes réservés, raccord au seed, butin, rencontres et services de campagne restent à terminer.</x:v>
      </x:c>
    </x:row>
    <x:row r="1596" ht="96" customHeight="1">
      <x:c r="A1596" s="115" t="str">
        <x:v>EXT-MONDE-T032-V41</x:v>
      </x:c>
      <x:c r="B1596" s="115" t="str">
        <x:v>EXT-MONDE-T032</x:v>
      </x:c>
      <x:c r="C1596" s="115" t="str">
        <x:v>Ponts</x:v>
      </x:c>
      <x:c r="D1596" s="115" t="str">
        <x:v>Viaduc ferroviaire</x:v>
      </x:c>
      <x:c r="E1596" s="115" t="n">
        <x:v>41</x:v>
      </x:c>
      <x:c r="F1596" s="115" t="str">
        <x:v>Inspection physique</x:v>
      </x:c>
      <x:c r="G1596" s="115" t="str">
        <x:v>1 niveaux ; 34 pièces ; 260 segments de mur ; 0 transitions. Inspection physique ; architecture complète encore ouverte.</x:v>
      </x:c>
      <x:c r="H1596" s="115" t="str">
        <x:v>L 1120 ; l 4200 ; hauteur 18 m ; choix de composition auteur ; dimensions réelles à documenter</x:v>
      </x:c>
      <x:c r="I1596" s="115" t="str">
        <x:v>À équilibrer</x:v>
      </x:c>
      <x:c r="J1596" s="115" t="str">
        <x:v>Non</x:v>
      </x:c>
      <x:c r="K1596" s="115" t="str">
        <x:v>Pièces décrites, murs, portes, niveaux et mobilier inspectables à l’échelle. Volumes réservés, raccord au seed, butin, rencontres et services de campagne restent à terminer.</x:v>
      </x:c>
    </x:row>
    <x:row r="1597" ht="96" customHeight="1">
      <x:c r="A1597" s="115" t="str">
        <x:v>EXT-MONDE-T032-V42</x:v>
      </x:c>
      <x:c r="B1597" s="115" t="str">
        <x:v>EXT-MONDE-T032</x:v>
      </x:c>
      <x:c r="C1597" s="115" t="str">
        <x:v>Ponts</x:v>
      </x:c>
      <x:c r="D1597" s="115" t="str">
        <x:v>Viaduc ferroviaire</x:v>
      </x:c>
      <x:c r="E1597" s="115" t="n">
        <x:v>42</x:v>
      </x:c>
      <x:c r="F1597" s="115" t="str">
        <x:v>Inspection physique</x:v>
      </x:c>
      <x:c r="G1597" s="115" t="str">
        <x:v>1 niveaux ; 34 pièces ; 260 segments de mur ; 0 transitions. Inspection physique ; architecture complète encore ouverte.</x:v>
      </x:c>
      <x:c r="H1597" s="115" t="str">
        <x:v>L 1120 ; l 4200 ; hauteur 18,04 m ; choix de composition auteur ; dimensions réelles à documenter</x:v>
      </x:c>
      <x:c r="I1597" s="115" t="str">
        <x:v>À équilibrer</x:v>
      </x:c>
      <x:c r="J1597" s="115" t="str">
        <x:v>Non</x:v>
      </x:c>
      <x:c r="K1597" s="115" t="str">
        <x:v>Pièces décrites, murs, portes, niveaux et mobilier inspectables à l’échelle. Volumes réservés, raccord au seed, butin, rencontres et services de campagne restent à terminer.</x:v>
      </x:c>
    </x:row>
    <x:row r="1598" ht="96" customHeight="1">
      <x:c r="A1598" s="115" t="str">
        <x:v>EXT-MONDE-T032-V43</x:v>
      </x:c>
      <x:c r="B1598" s="115" t="str">
        <x:v>EXT-MONDE-T032</x:v>
      </x:c>
      <x:c r="C1598" s="115" t="str">
        <x:v>Ponts</x:v>
      </x:c>
      <x:c r="D1598" s="115" t="str">
        <x:v>Viaduc ferroviaire</x:v>
      </x:c>
      <x:c r="E1598" s="115" t="n">
        <x:v>43</x:v>
      </x:c>
      <x:c r="F1598" s="115" t="str">
        <x:v>Inspection physique</x:v>
      </x:c>
      <x:c r="G1598" s="115" t="str">
        <x:v>1 niveaux ; 34 pièces ; 260 segments de mur ; 0 transitions. Inspection physique ; architecture complète encore ouverte.</x:v>
      </x:c>
      <x:c r="H1598" s="115" t="str">
        <x:v>L 1120 ; l 4200 ; hauteur 18,08 m ; choix de composition auteur ; dimensions réelles à documenter</x:v>
      </x:c>
      <x:c r="I1598" s="115" t="str">
        <x:v>À équilibrer</x:v>
      </x:c>
      <x:c r="J1598" s="115" t="str">
        <x:v>Non</x:v>
      </x:c>
      <x:c r="K1598" s="115" t="str">
        <x:v>Pièces décrites, murs, portes, niveaux et mobilier inspectables à l’échelle. Volumes réservés, raccord au seed, butin, rencontres et services de campagne restent à terminer.</x:v>
      </x:c>
    </x:row>
    <x:row r="1599" ht="96" customHeight="1">
      <x:c r="A1599" s="115" t="str">
        <x:v>EXT-MONDE-T032-V44</x:v>
      </x:c>
      <x:c r="B1599" s="115" t="str">
        <x:v>EXT-MONDE-T032</x:v>
      </x:c>
      <x:c r="C1599" s="115" t="str">
        <x:v>Ponts</x:v>
      </x:c>
      <x:c r="D1599" s="115" t="str">
        <x:v>Viaduc ferroviaire</x:v>
      </x:c>
      <x:c r="E1599" s="115" t="n">
        <x:v>44</x:v>
      </x:c>
      <x:c r="F1599" s="115" t="str">
        <x:v>Inspection physique</x:v>
      </x:c>
      <x:c r="G1599" s="115" t="str">
        <x:v>1 niveaux ; 34 pièces ; 260 segments de mur ; 0 transitions. Inspection physique ; architecture complète encore ouverte.</x:v>
      </x:c>
      <x:c r="H1599" s="115" t="str">
        <x:v>L 1120 ; l 4200 ; hauteur 18,12 m ; choix de composition auteur ; dimensions réelles à documenter</x:v>
      </x:c>
      <x:c r="I1599" s="115" t="str">
        <x:v>À équilibrer</x:v>
      </x:c>
      <x:c r="J1599" s="115" t="str">
        <x:v>Non</x:v>
      </x:c>
      <x:c r="K1599" s="115" t="str">
        <x:v>Pièces décrites, murs, portes, niveaux et mobilier inspectables à l’échelle. Volumes réservés, raccord au seed, butin, rencontres et services de campagne restent à terminer.</x:v>
      </x:c>
    </x:row>
    <x:row r="1600" ht="96" customHeight="1">
      <x:c r="A1600" s="115" t="str">
        <x:v>EXT-MONDE-T032-V45</x:v>
      </x:c>
      <x:c r="B1600" s="115" t="str">
        <x:v>EXT-MONDE-T032</x:v>
      </x:c>
      <x:c r="C1600" s="115" t="str">
        <x:v>Ponts</x:v>
      </x:c>
      <x:c r="D1600" s="115" t="str">
        <x:v>Viaduc ferroviaire</x:v>
      </x:c>
      <x:c r="E1600" s="115" t="n">
        <x:v>45</x:v>
      </x:c>
      <x:c r="F1600" s="115" t="str">
        <x:v>Inspection physique</x:v>
      </x:c>
      <x:c r="G1600" s="115" t="str">
        <x:v>1 niveaux ; 34 pièces ; 260 segments de mur ; 0 transitions. Inspection physique ; architecture complète encore ouverte.</x:v>
      </x:c>
      <x:c r="H1600" s="115" t="str">
        <x:v>L 1120 ; l 4200 ; hauteur 18,16 m ; choix de composition auteur ; dimensions réelles à documenter</x:v>
      </x:c>
      <x:c r="I1600" s="115" t="str">
        <x:v>À équilibrer</x:v>
      </x:c>
      <x:c r="J1600" s="115" t="str">
        <x:v>Non</x:v>
      </x:c>
      <x:c r="K1600" s="115" t="str">
        <x:v>Pièces décrites, murs, portes, niveaux et mobilier inspectables à l’échelle. Volumes réservés, raccord au seed, butin, rencontres et services de campagne restent à terminer.</x:v>
      </x:c>
    </x:row>
    <x:row r="1601" ht="96" customHeight="1">
      <x:c r="A1601" s="115" t="str">
        <x:v>EXT-MONDE-T032-V46</x:v>
      </x:c>
      <x:c r="B1601" s="115" t="str">
        <x:v>EXT-MONDE-T032</x:v>
      </x:c>
      <x:c r="C1601" s="115" t="str">
        <x:v>Ponts</x:v>
      </x:c>
      <x:c r="D1601" s="115" t="str">
        <x:v>Viaduc ferroviaire</x:v>
      </x:c>
      <x:c r="E1601" s="115" t="n">
        <x:v>46</x:v>
      </x:c>
      <x:c r="F1601" s="115" t="str">
        <x:v>Inspection physique</x:v>
      </x:c>
      <x:c r="G1601" s="115" t="str">
        <x:v>1 niveaux ; 34 pièces ; 260 segments de mur ; 0 transitions. Inspection physique ; architecture complète encore ouverte.</x:v>
      </x:c>
      <x:c r="H1601" s="115" t="str">
        <x:v>L 1120 ; l 4200 ; hauteur 18,2 m ; choix de composition auteur ; dimensions réelles à documenter</x:v>
      </x:c>
      <x:c r="I1601" s="115" t="str">
        <x:v>À équilibrer</x:v>
      </x:c>
      <x:c r="J1601" s="115" t="str">
        <x:v>Non</x:v>
      </x:c>
      <x:c r="K1601" s="115" t="str">
        <x:v>Pièces décrites, murs, portes, niveaux et mobilier inspectables à l’échelle. Volumes réservés, raccord au seed, butin, rencontres et services de campagne restent à terminer.</x:v>
      </x:c>
    </x:row>
    <x:row r="1602" ht="96" customHeight="1">
      <x:c r="A1602" s="115" t="str">
        <x:v>EXT-MONDE-T032-V47</x:v>
      </x:c>
      <x:c r="B1602" s="115" t="str">
        <x:v>EXT-MONDE-T032</x:v>
      </x:c>
      <x:c r="C1602" s="115" t="str">
        <x:v>Ponts</x:v>
      </x:c>
      <x:c r="D1602" s="115" t="str">
        <x:v>Viaduc ferroviaire</x:v>
      </x:c>
      <x:c r="E1602" s="115" t="n">
        <x:v>47</x:v>
      </x:c>
      <x:c r="F1602" s="115" t="str">
        <x:v>Inspection physique</x:v>
      </x:c>
      <x:c r="G1602" s="115" t="str">
        <x:v>1 niveaux ; 34 pièces ; 260 segments de mur ; 0 transitions. Inspection physique ; architecture complète encore ouverte.</x:v>
      </x:c>
      <x:c r="H1602" s="115" t="str">
        <x:v>L 1120 ; l 4200 ; hauteur 18,24 m ; choix de composition auteur ; dimensions réelles à documenter</x:v>
      </x:c>
      <x:c r="I1602" s="115" t="str">
        <x:v>À équilibrer</x:v>
      </x:c>
      <x:c r="J1602" s="115" t="str">
        <x:v>Non</x:v>
      </x:c>
      <x:c r="K1602" s="115" t="str">
        <x:v>Pièces décrites, murs, portes, niveaux et mobilier inspectables à l’échelle. Volumes réservés, raccord au seed, butin, rencontres et services de campagne restent à terminer.</x:v>
      </x:c>
    </x:row>
    <x:row r="1603" ht="96" customHeight="1">
      <x:c r="A1603" s="115" t="str">
        <x:v>EXT-MONDE-T032-V48</x:v>
      </x:c>
      <x:c r="B1603" s="115" t="str">
        <x:v>EXT-MONDE-T032</x:v>
      </x:c>
      <x:c r="C1603" s="115" t="str">
        <x:v>Ponts</x:v>
      </x:c>
      <x:c r="D1603" s="115" t="str">
        <x:v>Viaduc ferroviaire</x:v>
      </x:c>
      <x:c r="E1603" s="115" t="n">
        <x:v>48</x:v>
      </x:c>
      <x:c r="F1603" s="115" t="str">
        <x:v>Inspection physique</x:v>
      </x:c>
      <x:c r="G1603" s="115" t="str">
        <x:v>1 niveaux ; 34 pièces ; 260 segments de mur ; 0 transitions. Inspection physique ; architecture complète encore ouverte.</x:v>
      </x:c>
      <x:c r="H1603" s="115" t="str">
        <x:v>L 1120 ; l 4200 ; hauteur 18,28 m ; choix de composition auteur ; dimensions réelles à documenter</x:v>
      </x:c>
      <x:c r="I1603" s="115" t="str">
        <x:v>À équilibrer</x:v>
      </x:c>
      <x:c r="J1603" s="115" t="str">
        <x:v>Non</x:v>
      </x:c>
      <x:c r="K1603" s="115" t="str">
        <x:v>Pièces décrites, murs, portes, niveaux et mobilier inspectables à l’échelle. Volumes réservés, raccord au seed, butin, rencontres et services de campagne restent à terminer.</x:v>
      </x:c>
    </x:row>
    <x:row r="1604" ht="96" customHeight="1">
      <x:c r="A1604" s="115" t="str">
        <x:v>EXT-MONDE-T032-V49</x:v>
      </x:c>
      <x:c r="B1604" s="115" t="str">
        <x:v>EXT-MONDE-T032</x:v>
      </x:c>
      <x:c r="C1604" s="115" t="str">
        <x:v>Ponts</x:v>
      </x:c>
      <x:c r="D1604" s="115" t="str">
        <x:v>Viaduc ferroviaire</x:v>
      </x:c>
      <x:c r="E1604" s="115" t="n">
        <x:v>49</x:v>
      </x:c>
      <x:c r="F1604" s="115" t="str">
        <x:v>Inspection physique</x:v>
      </x:c>
      <x:c r="G1604" s="115" t="str">
        <x:v>1 niveaux ; 34 pièces ; 260 segments de mur ; 0 transitions. Inspection physique ; architecture complète encore ouverte.</x:v>
      </x:c>
      <x:c r="H1604" s="115" t="str">
        <x:v>L 1120 ; l 4200 ; hauteur 18,32 m ; choix de composition auteur ; dimensions réelles à documenter</x:v>
      </x:c>
      <x:c r="I1604" s="115" t="str">
        <x:v>À équilibrer</x:v>
      </x:c>
      <x:c r="J1604" s="115" t="str">
        <x:v>Non</x:v>
      </x:c>
      <x:c r="K1604" s="115" t="str">
        <x:v>Pièces décrites, murs, portes, niveaux et mobilier inspectables à l’échelle. Volumes réservés, raccord au seed, butin, rencontres et services de campagne restent à terminer.</x:v>
      </x:c>
    </x:row>
    <x:row r="1605" ht="96" customHeight="1">
      <x:c r="A1605" s="115" t="str">
        <x:v>EXT-MONDE-T032-V50</x:v>
      </x:c>
      <x:c r="B1605" s="115" t="str">
        <x:v>EXT-MONDE-T032</x:v>
      </x:c>
      <x:c r="C1605" s="115" t="str">
        <x:v>Ponts</x:v>
      </x:c>
      <x:c r="D1605" s="115" t="str">
        <x:v>Viaduc ferroviaire</x:v>
      </x:c>
      <x:c r="E1605" s="115" t="n">
        <x:v>50</x:v>
      </x:c>
      <x:c r="F1605" s="115" t="str">
        <x:v>Inspection physique</x:v>
      </x:c>
      <x:c r="G1605" s="115" t="str">
        <x:v>1 niveaux ; 34 pièces ; 260 segments de mur ; 0 transitions. Inspection physique ; architecture complète encore ouverte.</x:v>
      </x:c>
      <x:c r="H1605" s="115" t="str">
        <x:v>L 1120 ; l 4200 ; hauteur 18,36 m ; choix de composition auteur ; dimensions réelles à documenter</x:v>
      </x:c>
      <x:c r="I1605" s="115" t="str">
        <x:v>À équilibrer</x:v>
      </x:c>
      <x:c r="J1605" s="115" t="str">
        <x:v>Non</x:v>
      </x:c>
      <x:c r="K1605" s="115" t="str">
        <x:v>Pièces décrites, murs, portes, niveaux et mobilier inspectables à l’échelle. Volumes réservés, raccord au seed, butin, rencontres et services de campagne restent à terminer.</x:v>
      </x:c>
    </x:row>
    <x:row r="1606" ht="96" customHeight="1">
      <x:c r="A1606" s="115" t="str">
        <x:v>EXT-MONDE-T033-V01</x:v>
      </x:c>
      <x:c r="B1606" s="115" t="str">
        <x:v>EXT-MONDE-T033</x:v>
      </x:c>
      <x:c r="C1606" s="115" t="str">
        <x:v>Échangeurs</x:v>
      </x:c>
      <x:c r="D1606" s="115" t="str">
        <x:v>Échangeur en losange</x:v>
      </x:c>
      <x:c r="E1606" s="115" t="n">
        <x:v>1</x:v>
      </x:c>
      <x:c r="F1606" s="115" t="str">
        <x:v>Inspection physique</x:v>
      </x:c>
      <x:c r="G1606" s="115" t="str">
        <x:v>1 niveaux ; 34 pièces ; 260 segments de mur ; 0 transitions. Inspection physique ; architecture complète encore ouverte.</x:v>
      </x:c>
      <x:c r="H1606" s="115" t="str">
        <x:v>L 1200 ; l 1200 ; hauteur 8 m ; choix de composition auteur ; dimensions réelles à documenter</x:v>
      </x:c>
      <x:c r="I1606" s="115" t="str">
        <x:v>À équilibrer</x:v>
      </x:c>
      <x:c r="J1606" s="115" t="str">
        <x:v>Non</x:v>
      </x:c>
      <x:c r="K1606" s="115" t="str">
        <x:v>Pièces décrites, murs, portes, niveaux et mobilier inspectables à l’échelle. Volumes réservés, raccord au seed, butin, rencontres et services de campagne restent à terminer.</x:v>
      </x:c>
    </x:row>
    <x:row r="1607" ht="96" customHeight="1">
      <x:c r="A1607" s="115" t="str">
        <x:v>EXT-MONDE-T033-V02</x:v>
      </x:c>
      <x:c r="B1607" s="115" t="str">
        <x:v>EXT-MONDE-T033</x:v>
      </x:c>
      <x:c r="C1607" s="115" t="str">
        <x:v>Échangeurs</x:v>
      </x:c>
      <x:c r="D1607" s="115" t="str">
        <x:v>Échangeur en losange</x:v>
      </x:c>
      <x:c r="E1607" s="115" t="n">
        <x:v>2</x:v>
      </x:c>
      <x:c r="F1607" s="115" t="str">
        <x:v>Inspection physique</x:v>
      </x:c>
      <x:c r="G1607" s="115" t="str">
        <x:v>1 niveaux ; 34 pièces ; 260 segments de mur ; 0 transitions. Inspection physique ; architecture complète encore ouverte.</x:v>
      </x:c>
      <x:c r="H1607" s="115" t="str">
        <x:v>L 1200 ; l 1200 ; hauteur 8 m ; choix de composition auteur ; dimensions réelles à documenter</x:v>
      </x:c>
      <x:c r="I1607" s="115" t="str">
        <x:v>À équilibrer</x:v>
      </x:c>
      <x:c r="J1607" s="115" t="str">
        <x:v>Non</x:v>
      </x:c>
      <x:c r="K1607" s="115" t="str">
        <x:v>Pièces décrites, murs, portes, niveaux et mobilier inspectables à l’échelle. Volumes réservés, raccord au seed, butin, rencontres et services de campagne restent à terminer.</x:v>
      </x:c>
    </x:row>
    <x:row r="1608" ht="96" customHeight="1">
      <x:c r="A1608" s="115" t="str">
        <x:v>EXT-MONDE-T033-V03</x:v>
      </x:c>
      <x:c r="B1608" s="115" t="str">
        <x:v>EXT-MONDE-T033</x:v>
      </x:c>
      <x:c r="C1608" s="115" t="str">
        <x:v>Échangeurs</x:v>
      </x:c>
      <x:c r="D1608" s="115" t="str">
        <x:v>Échangeur en losange</x:v>
      </x:c>
      <x:c r="E1608" s="115" t="n">
        <x:v>3</x:v>
      </x:c>
      <x:c r="F1608" s="115" t="str">
        <x:v>Inspection physique</x:v>
      </x:c>
      <x:c r="G1608" s="115" t="str">
        <x:v>1 niveaux ; 34 pièces ; 260 segments de mur ; 0 transitions. Inspection physique ; architecture complète encore ouverte.</x:v>
      </x:c>
      <x:c r="H1608" s="115" t="str">
        <x:v>L 1200 ; l 1200 ; hauteur 8 m ; choix de composition auteur ; dimensions réelles à documenter</x:v>
      </x:c>
      <x:c r="I1608" s="115" t="str">
        <x:v>À équilibrer</x:v>
      </x:c>
      <x:c r="J1608" s="115" t="str">
        <x:v>Non</x:v>
      </x:c>
      <x:c r="K1608" s="115" t="str">
        <x:v>Pièces décrites, murs, portes, niveaux et mobilier inspectables à l’échelle. Volumes réservés, raccord au seed, butin, rencontres et services de campagne restent à terminer.</x:v>
      </x:c>
    </x:row>
    <x:row r="1609" ht="96" customHeight="1">
      <x:c r="A1609" s="115" t="str">
        <x:v>EXT-MONDE-T033-V04</x:v>
      </x:c>
      <x:c r="B1609" s="115" t="str">
        <x:v>EXT-MONDE-T033</x:v>
      </x:c>
      <x:c r="C1609" s="115" t="str">
        <x:v>Échangeurs</x:v>
      </x:c>
      <x:c r="D1609" s="115" t="str">
        <x:v>Échangeur en losange</x:v>
      </x:c>
      <x:c r="E1609" s="115" t="n">
        <x:v>4</x:v>
      </x:c>
      <x:c r="F1609" s="115" t="str">
        <x:v>Inspection physique</x:v>
      </x:c>
      <x:c r="G1609" s="115" t="str">
        <x:v>1 niveaux ; 34 pièces ; 260 segments de mur ; 0 transitions. Inspection physique ; architecture complète encore ouverte.</x:v>
      </x:c>
      <x:c r="H1609" s="115" t="str">
        <x:v>L 1200 ; l 1200 ; hauteur 8 m ; choix de composition auteur ; dimensions réelles à documenter</x:v>
      </x:c>
      <x:c r="I1609" s="115" t="str">
        <x:v>À équilibrer</x:v>
      </x:c>
      <x:c r="J1609" s="115" t="str">
        <x:v>Non</x:v>
      </x:c>
      <x:c r="K1609" s="115" t="str">
        <x:v>Pièces décrites, murs, portes, niveaux et mobilier inspectables à l’échelle. Volumes réservés, raccord au seed, butin, rencontres et services de campagne restent à terminer.</x:v>
      </x:c>
    </x:row>
    <x:row r="1610" ht="96" customHeight="1">
      <x:c r="A1610" s="115" t="str">
        <x:v>EXT-MONDE-T033-V05</x:v>
      </x:c>
      <x:c r="B1610" s="115" t="str">
        <x:v>EXT-MONDE-T033</x:v>
      </x:c>
      <x:c r="C1610" s="115" t="str">
        <x:v>Échangeurs</x:v>
      </x:c>
      <x:c r="D1610" s="115" t="str">
        <x:v>Échangeur en losange</x:v>
      </x:c>
      <x:c r="E1610" s="115" t="n">
        <x:v>5</x:v>
      </x:c>
      <x:c r="F1610" s="115" t="str">
        <x:v>Inspection physique</x:v>
      </x:c>
      <x:c r="G1610" s="115" t="str">
        <x:v>1 niveaux ; 34 pièces ; 260 segments de mur ; 0 transitions. Inspection physique ; architecture complète encore ouverte.</x:v>
      </x:c>
      <x:c r="H1610" s="115" t="str">
        <x:v>L 1200 ; l 1200 ; hauteur 8 m ; choix de composition auteur ; dimensions réelles à documenter</x:v>
      </x:c>
      <x:c r="I1610" s="115" t="str">
        <x:v>À équilibrer</x:v>
      </x:c>
      <x:c r="J1610" s="115" t="str">
        <x:v>Non</x:v>
      </x:c>
      <x:c r="K1610" s="115" t="str">
        <x:v>Pièces décrites, murs, portes, niveaux et mobilier inspectables à l’échelle. Volumes réservés, raccord au seed, butin, rencontres et services de campagne restent à terminer.</x:v>
      </x:c>
    </x:row>
    <x:row r="1611" ht="96" customHeight="1">
      <x:c r="A1611" s="115" t="str">
        <x:v>EXT-MONDE-T033-V06</x:v>
      </x:c>
      <x:c r="B1611" s="115" t="str">
        <x:v>EXT-MONDE-T033</x:v>
      </x:c>
      <x:c r="C1611" s="115" t="str">
        <x:v>Échangeurs</x:v>
      </x:c>
      <x:c r="D1611" s="115" t="str">
        <x:v>Échangeur en losange</x:v>
      </x:c>
      <x:c r="E1611" s="115" t="n">
        <x:v>6</x:v>
      </x:c>
      <x:c r="F1611" s="115" t="str">
        <x:v>Inspection physique</x:v>
      </x:c>
      <x:c r="G1611" s="115" t="str">
        <x:v>1 niveaux ; 34 pièces ; 260 segments de mur ; 0 transitions. Inspection physique ; architecture complète encore ouverte.</x:v>
      </x:c>
      <x:c r="H1611" s="115" t="str">
        <x:v>L 1200 ; l 1200 ; hauteur 8 m ; choix de composition auteur ; dimensions réelles à documenter</x:v>
      </x:c>
      <x:c r="I1611" s="115" t="str">
        <x:v>À équilibrer</x:v>
      </x:c>
      <x:c r="J1611" s="115" t="str">
        <x:v>Non</x:v>
      </x:c>
      <x:c r="K1611" s="115" t="str">
        <x:v>Pièces décrites, murs, portes, niveaux et mobilier inspectables à l’échelle. Volumes réservés, raccord au seed, butin, rencontres et services de campagne restent à terminer.</x:v>
      </x:c>
    </x:row>
    <x:row r="1612" ht="96" customHeight="1">
      <x:c r="A1612" s="115" t="str">
        <x:v>EXT-MONDE-T033-V07</x:v>
      </x:c>
      <x:c r="B1612" s="115" t="str">
        <x:v>EXT-MONDE-T033</x:v>
      </x:c>
      <x:c r="C1612" s="115" t="str">
        <x:v>Échangeurs</x:v>
      </x:c>
      <x:c r="D1612" s="115" t="str">
        <x:v>Échangeur en losange</x:v>
      </x:c>
      <x:c r="E1612" s="115" t="n">
        <x:v>7</x:v>
      </x:c>
      <x:c r="F1612" s="115" t="str">
        <x:v>Inspection physique</x:v>
      </x:c>
      <x:c r="G1612" s="115" t="str">
        <x:v>1 niveaux ; 34 pièces ; 260 segments de mur ; 0 transitions. Inspection physique ; architecture complète encore ouverte.</x:v>
      </x:c>
      <x:c r="H1612" s="115" t="str">
        <x:v>L 1200 ; l 1200 ; hauteur 8 m ; choix de composition auteur ; dimensions réelles à documenter</x:v>
      </x:c>
      <x:c r="I1612" s="115" t="str">
        <x:v>À équilibrer</x:v>
      </x:c>
      <x:c r="J1612" s="115" t="str">
        <x:v>Non</x:v>
      </x:c>
      <x:c r="K1612" s="115" t="str">
        <x:v>Pièces décrites, murs, portes, niveaux et mobilier inspectables à l’échelle. Volumes réservés, raccord au seed, butin, rencontres et services de campagne restent à terminer.</x:v>
      </x:c>
    </x:row>
    <x:row r="1613" ht="96" customHeight="1">
      <x:c r="A1613" s="115" t="str">
        <x:v>EXT-MONDE-T033-V08</x:v>
      </x:c>
      <x:c r="B1613" s="115" t="str">
        <x:v>EXT-MONDE-T033</x:v>
      </x:c>
      <x:c r="C1613" s="115" t="str">
        <x:v>Échangeurs</x:v>
      </x:c>
      <x:c r="D1613" s="115" t="str">
        <x:v>Échangeur en losange</x:v>
      </x:c>
      <x:c r="E1613" s="115" t="n">
        <x:v>8</x:v>
      </x:c>
      <x:c r="F1613" s="115" t="str">
        <x:v>Inspection physique</x:v>
      </x:c>
      <x:c r="G1613" s="115" t="str">
        <x:v>1 niveaux ; 34 pièces ; 260 segments de mur ; 0 transitions. Inspection physique ; architecture complète encore ouverte.</x:v>
      </x:c>
      <x:c r="H1613" s="115" t="str">
        <x:v>L 1200 ; l 1200 ; hauteur 8 m ; choix de composition auteur ; dimensions réelles à documenter</x:v>
      </x:c>
      <x:c r="I1613" s="115" t="str">
        <x:v>À équilibrer</x:v>
      </x:c>
      <x:c r="J1613" s="115" t="str">
        <x:v>Non</x:v>
      </x:c>
      <x:c r="K1613" s="115" t="str">
        <x:v>Pièces décrites, murs, portes, niveaux et mobilier inspectables à l’échelle. Volumes réservés, raccord au seed, butin, rencontres et services de campagne restent à terminer.</x:v>
      </x:c>
    </x:row>
    <x:row r="1614" ht="96" customHeight="1">
      <x:c r="A1614" s="115" t="str">
        <x:v>EXT-MONDE-T033-V09</x:v>
      </x:c>
      <x:c r="B1614" s="115" t="str">
        <x:v>EXT-MONDE-T033</x:v>
      </x:c>
      <x:c r="C1614" s="115" t="str">
        <x:v>Échangeurs</x:v>
      </x:c>
      <x:c r="D1614" s="115" t="str">
        <x:v>Échangeur en losange</x:v>
      </x:c>
      <x:c r="E1614" s="115" t="n">
        <x:v>9</x:v>
      </x:c>
      <x:c r="F1614" s="115" t="str">
        <x:v>Inspection physique</x:v>
      </x:c>
      <x:c r="G1614" s="115" t="str">
        <x:v>1 niveaux ; 34 pièces ; 260 segments de mur ; 0 transitions. Inspection physique ; architecture complète encore ouverte.</x:v>
      </x:c>
      <x:c r="H1614" s="115" t="str">
        <x:v>L 1200 ; l 1200 ; hauteur 8 m ; choix de composition auteur ; dimensions réelles à documenter</x:v>
      </x:c>
      <x:c r="I1614" s="115" t="str">
        <x:v>À équilibrer</x:v>
      </x:c>
      <x:c r="J1614" s="115" t="str">
        <x:v>Non</x:v>
      </x:c>
      <x:c r="K1614" s="115" t="str">
        <x:v>Pièces décrites, murs, portes, niveaux et mobilier inspectables à l’échelle. Volumes réservés, raccord au seed, butin, rencontres et services de campagne restent à terminer.</x:v>
      </x:c>
    </x:row>
    <x:row r="1615" ht="96" customHeight="1">
      <x:c r="A1615" s="115" t="str">
        <x:v>EXT-MONDE-T033-V10</x:v>
      </x:c>
      <x:c r="B1615" s="115" t="str">
        <x:v>EXT-MONDE-T033</x:v>
      </x:c>
      <x:c r="C1615" s="115" t="str">
        <x:v>Échangeurs</x:v>
      </x:c>
      <x:c r="D1615" s="115" t="str">
        <x:v>Échangeur en losange</x:v>
      </x:c>
      <x:c r="E1615" s="115" t="n">
        <x:v>10</x:v>
      </x:c>
      <x:c r="F1615" s="115" t="str">
        <x:v>Inspection physique</x:v>
      </x:c>
      <x:c r="G1615" s="115" t="str">
        <x:v>1 niveaux ; 34 pièces ; 260 segments de mur ; 0 transitions. Inspection physique ; architecture complète encore ouverte.</x:v>
      </x:c>
      <x:c r="H1615" s="115" t="str">
        <x:v>L 1200 ; l 1200 ; hauteur 8 m ; choix de composition auteur ; dimensions réelles à documenter</x:v>
      </x:c>
      <x:c r="I1615" s="115" t="str">
        <x:v>À équilibrer</x:v>
      </x:c>
      <x:c r="J1615" s="115" t="str">
        <x:v>Non</x:v>
      </x:c>
      <x:c r="K1615" s="115" t="str">
        <x:v>Pièces décrites, murs, portes, niveaux et mobilier inspectables à l’échelle. Volumes réservés, raccord au seed, butin, rencontres et services de campagne restent à terminer.</x:v>
      </x:c>
    </x:row>
    <x:row r="1616" ht="96" customHeight="1">
      <x:c r="A1616" s="115" t="str">
        <x:v>EXT-MONDE-T033-V11</x:v>
      </x:c>
      <x:c r="B1616" s="115" t="str">
        <x:v>EXT-MONDE-T033</x:v>
      </x:c>
      <x:c r="C1616" s="115" t="str">
        <x:v>Échangeurs</x:v>
      </x:c>
      <x:c r="D1616" s="115" t="str">
        <x:v>Échangeur en losange</x:v>
      </x:c>
      <x:c r="E1616" s="115" t="n">
        <x:v>11</x:v>
      </x:c>
      <x:c r="F1616" s="115" t="str">
        <x:v>Inspection physique</x:v>
      </x:c>
      <x:c r="G1616" s="115" t="str">
        <x:v>1 niveaux ; 34 pièces ; 260 segments de mur ; 0 transitions. Inspection physique ; architecture complète encore ouverte.</x:v>
      </x:c>
      <x:c r="H1616" s="115" t="str">
        <x:v>L 1280 ; l 1360 ; hauteur 8 m ; choix de composition auteur ; dimensions réelles à documenter</x:v>
      </x:c>
      <x:c r="I1616" s="115" t="str">
        <x:v>À équilibrer</x:v>
      </x:c>
      <x:c r="J1616" s="115" t="str">
        <x:v>Non</x:v>
      </x:c>
      <x:c r="K1616" s="115" t="str">
        <x:v>Pièces décrites, murs, portes, niveaux et mobilier inspectables à l’échelle. Volumes réservés, raccord au seed, butin, rencontres et services de campagne restent à terminer.</x:v>
      </x:c>
    </x:row>
    <x:row r="1617" ht="96" customHeight="1">
      <x:c r="A1617" s="115" t="str">
        <x:v>EXT-MONDE-T033-V12</x:v>
      </x:c>
      <x:c r="B1617" s="115" t="str">
        <x:v>EXT-MONDE-T033</x:v>
      </x:c>
      <x:c r="C1617" s="115" t="str">
        <x:v>Échangeurs</x:v>
      </x:c>
      <x:c r="D1617" s="115" t="str">
        <x:v>Échangeur en losange</x:v>
      </x:c>
      <x:c r="E1617" s="115" t="n">
        <x:v>12</x:v>
      </x:c>
      <x:c r="F1617" s="115" t="str">
        <x:v>Inspection physique</x:v>
      </x:c>
      <x:c r="G1617" s="115" t="str">
        <x:v>1 niveaux ; 34 pièces ; 260 segments de mur ; 0 transitions. Inspection physique ; architecture complète encore ouverte.</x:v>
      </x:c>
      <x:c r="H1617" s="115" t="str">
        <x:v>L 1280 ; l 1360 ; hauteur 8 m ; choix de composition auteur ; dimensions réelles à documenter</x:v>
      </x:c>
      <x:c r="I1617" s="115" t="str">
        <x:v>À équilibrer</x:v>
      </x:c>
      <x:c r="J1617" s="115" t="str">
        <x:v>Non</x:v>
      </x:c>
      <x:c r="K1617" s="115" t="str">
        <x:v>Pièces décrites, murs, portes, niveaux et mobilier inspectables à l’échelle. Volumes réservés, raccord au seed, butin, rencontres et services de campagne restent à terminer.</x:v>
      </x:c>
    </x:row>
    <x:row r="1618" ht="96" customHeight="1">
      <x:c r="A1618" s="115" t="str">
        <x:v>EXT-MONDE-T033-V13</x:v>
      </x:c>
      <x:c r="B1618" s="115" t="str">
        <x:v>EXT-MONDE-T033</x:v>
      </x:c>
      <x:c r="C1618" s="115" t="str">
        <x:v>Échangeurs</x:v>
      </x:c>
      <x:c r="D1618" s="115" t="str">
        <x:v>Échangeur en losange</x:v>
      </x:c>
      <x:c r="E1618" s="115" t="n">
        <x:v>13</x:v>
      </x:c>
      <x:c r="F1618" s="115" t="str">
        <x:v>Inspection physique</x:v>
      </x:c>
      <x:c r="G1618" s="115" t="str">
        <x:v>1 niveaux ; 34 pièces ; 260 segments de mur ; 0 transitions. Inspection physique ; architecture complète encore ouverte.</x:v>
      </x:c>
      <x:c r="H1618" s="115" t="str">
        <x:v>L 1280 ; l 1360 ; hauteur 8 m ; choix de composition auteur ; dimensions réelles à documenter</x:v>
      </x:c>
      <x:c r="I1618" s="115" t="str">
        <x:v>À équilibrer</x:v>
      </x:c>
      <x:c r="J1618" s="115" t="str">
        <x:v>Non</x:v>
      </x:c>
      <x:c r="K1618" s="115" t="str">
        <x:v>Pièces décrites, murs, portes, niveaux et mobilier inspectables à l’échelle. Volumes réservés, raccord au seed, butin, rencontres et services de campagne restent à terminer.</x:v>
      </x:c>
    </x:row>
    <x:row r="1619" ht="96" customHeight="1">
      <x:c r="A1619" s="115" t="str">
        <x:v>EXT-MONDE-T033-V14</x:v>
      </x:c>
      <x:c r="B1619" s="115" t="str">
        <x:v>EXT-MONDE-T033</x:v>
      </x:c>
      <x:c r="C1619" s="115" t="str">
        <x:v>Échangeurs</x:v>
      </x:c>
      <x:c r="D1619" s="115" t="str">
        <x:v>Échangeur en losange</x:v>
      </x:c>
      <x:c r="E1619" s="115" t="n">
        <x:v>14</x:v>
      </x:c>
      <x:c r="F1619" s="115" t="str">
        <x:v>Inspection physique</x:v>
      </x:c>
      <x:c r="G1619" s="115" t="str">
        <x:v>1 niveaux ; 34 pièces ; 260 segments de mur ; 0 transitions. Inspection physique ; architecture complète encore ouverte.</x:v>
      </x:c>
      <x:c r="H1619" s="115" t="str">
        <x:v>L 1280 ; l 1360 ; hauteur 8 m ; choix de composition auteur ; dimensions réelles à documenter</x:v>
      </x:c>
      <x:c r="I1619" s="115" t="str">
        <x:v>À équilibrer</x:v>
      </x:c>
      <x:c r="J1619" s="115" t="str">
        <x:v>Non</x:v>
      </x:c>
      <x:c r="K1619" s="115" t="str">
        <x:v>Pièces décrites, murs, portes, niveaux et mobilier inspectables à l’échelle. Volumes réservés, raccord au seed, butin, rencontres et services de campagne restent à terminer.</x:v>
      </x:c>
    </x:row>
    <x:row r="1620" ht="96" customHeight="1">
      <x:c r="A1620" s="115" t="str">
        <x:v>EXT-MONDE-T033-V15</x:v>
      </x:c>
      <x:c r="B1620" s="115" t="str">
        <x:v>EXT-MONDE-T033</x:v>
      </x:c>
      <x:c r="C1620" s="115" t="str">
        <x:v>Échangeurs</x:v>
      </x:c>
      <x:c r="D1620" s="115" t="str">
        <x:v>Échangeur en losange</x:v>
      </x:c>
      <x:c r="E1620" s="115" t="n">
        <x:v>15</x:v>
      </x:c>
      <x:c r="F1620" s="115" t="str">
        <x:v>Inspection physique</x:v>
      </x:c>
      <x:c r="G1620" s="115" t="str">
        <x:v>1 niveaux ; 34 pièces ; 260 segments de mur ; 0 transitions. Inspection physique ; architecture complète encore ouverte.</x:v>
      </x:c>
      <x:c r="H1620" s="115" t="str">
        <x:v>L 1280 ; l 1360 ; hauteur 8 m ; choix de composition auteur ; dimensions réelles à documenter</x:v>
      </x:c>
      <x:c r="I1620" s="115" t="str">
        <x:v>À équilibrer</x:v>
      </x:c>
      <x:c r="J1620" s="115" t="str">
        <x:v>Non</x:v>
      </x:c>
      <x:c r="K1620" s="115" t="str">
        <x:v>Pièces décrites, murs, portes, niveaux et mobilier inspectables à l’échelle. Volumes réservés, raccord au seed, butin, rencontres et services de campagne restent à terminer.</x:v>
      </x:c>
    </x:row>
    <x:row r="1621" ht="96" customHeight="1">
      <x:c r="A1621" s="115" t="str">
        <x:v>EXT-MONDE-T033-V16</x:v>
      </x:c>
      <x:c r="B1621" s="115" t="str">
        <x:v>EXT-MONDE-T033</x:v>
      </x:c>
      <x:c r="C1621" s="115" t="str">
        <x:v>Échangeurs</x:v>
      </x:c>
      <x:c r="D1621" s="115" t="str">
        <x:v>Échangeur en losange</x:v>
      </x:c>
      <x:c r="E1621" s="115" t="n">
        <x:v>16</x:v>
      </x:c>
      <x:c r="F1621" s="115" t="str">
        <x:v>Inspection physique</x:v>
      </x:c>
      <x:c r="G1621" s="115" t="str">
        <x:v>1 niveaux ; 34 pièces ; 260 segments de mur ; 0 transitions. Inspection physique ; architecture complète encore ouverte.</x:v>
      </x:c>
      <x:c r="H1621" s="115" t="str">
        <x:v>L 1280 ; l 1360 ; hauteur 8 m ; choix de composition auteur ; dimensions réelles à documenter</x:v>
      </x:c>
      <x:c r="I1621" s="115" t="str">
        <x:v>À équilibrer</x:v>
      </x:c>
      <x:c r="J1621" s="115" t="str">
        <x:v>Non</x:v>
      </x:c>
      <x:c r="K1621" s="115" t="str">
        <x:v>Pièces décrites, murs, portes, niveaux et mobilier inspectables à l’échelle. Volumes réservés, raccord au seed, butin, rencontres et services de campagne restent à terminer.</x:v>
      </x:c>
    </x:row>
    <x:row r="1622" ht="96" customHeight="1">
      <x:c r="A1622" s="115" t="str">
        <x:v>EXT-MONDE-T033-V17</x:v>
      </x:c>
      <x:c r="B1622" s="115" t="str">
        <x:v>EXT-MONDE-T033</x:v>
      </x:c>
      <x:c r="C1622" s="115" t="str">
        <x:v>Échangeurs</x:v>
      </x:c>
      <x:c r="D1622" s="115" t="str">
        <x:v>Échangeur en losange</x:v>
      </x:c>
      <x:c r="E1622" s="115" t="n">
        <x:v>17</x:v>
      </x:c>
      <x:c r="F1622" s="115" t="str">
        <x:v>Inspection physique</x:v>
      </x:c>
      <x:c r="G1622" s="115" t="str">
        <x:v>1 niveaux ; 34 pièces ; 260 segments de mur ; 0 transitions. Inspection physique ; architecture complète encore ouverte.</x:v>
      </x:c>
      <x:c r="H1622" s="115" t="str">
        <x:v>L 1280 ; l 1360 ; hauteur 8 m ; choix de composition auteur ; dimensions réelles à documenter</x:v>
      </x:c>
      <x:c r="I1622" s="115" t="str">
        <x:v>À équilibrer</x:v>
      </x:c>
      <x:c r="J1622" s="115" t="str">
        <x:v>Non</x:v>
      </x:c>
      <x:c r="K1622" s="115" t="str">
        <x:v>Pièces décrites, murs, portes, niveaux et mobilier inspectables à l’échelle. Volumes réservés, raccord au seed, butin, rencontres et services de campagne restent à terminer.</x:v>
      </x:c>
    </x:row>
    <x:row r="1623" ht="96" customHeight="1">
      <x:c r="A1623" s="115" t="str">
        <x:v>EXT-MONDE-T033-V18</x:v>
      </x:c>
      <x:c r="B1623" s="115" t="str">
        <x:v>EXT-MONDE-T033</x:v>
      </x:c>
      <x:c r="C1623" s="115" t="str">
        <x:v>Échangeurs</x:v>
      </x:c>
      <x:c r="D1623" s="115" t="str">
        <x:v>Échangeur en losange</x:v>
      </x:c>
      <x:c r="E1623" s="115" t="n">
        <x:v>18</x:v>
      </x:c>
      <x:c r="F1623" s="115" t="str">
        <x:v>Inspection physique</x:v>
      </x:c>
      <x:c r="G1623" s="115" t="str">
        <x:v>1 niveaux ; 34 pièces ; 260 segments de mur ; 0 transitions. Inspection physique ; architecture complète encore ouverte.</x:v>
      </x:c>
      <x:c r="H1623" s="115" t="str">
        <x:v>L 1280 ; l 1360 ; hauteur 8 m ; choix de composition auteur ; dimensions réelles à documenter</x:v>
      </x:c>
      <x:c r="I1623" s="115" t="str">
        <x:v>À équilibrer</x:v>
      </x:c>
      <x:c r="J1623" s="115" t="str">
        <x:v>Non</x:v>
      </x:c>
      <x:c r="K1623" s="115" t="str">
        <x:v>Pièces décrites, murs, portes, niveaux et mobilier inspectables à l’échelle. Volumes réservés, raccord au seed, butin, rencontres et services de campagne restent à terminer.</x:v>
      </x:c>
    </x:row>
    <x:row r="1624" ht="96" customHeight="1">
      <x:c r="A1624" s="115" t="str">
        <x:v>EXT-MONDE-T033-V19</x:v>
      </x:c>
      <x:c r="B1624" s="115" t="str">
        <x:v>EXT-MONDE-T033</x:v>
      </x:c>
      <x:c r="C1624" s="115" t="str">
        <x:v>Échangeurs</x:v>
      </x:c>
      <x:c r="D1624" s="115" t="str">
        <x:v>Échangeur en losange</x:v>
      </x:c>
      <x:c r="E1624" s="115" t="n">
        <x:v>19</x:v>
      </x:c>
      <x:c r="F1624" s="115" t="str">
        <x:v>Inspection physique</x:v>
      </x:c>
      <x:c r="G1624" s="115" t="str">
        <x:v>1 niveaux ; 34 pièces ; 260 segments de mur ; 0 transitions. Inspection physique ; architecture complète encore ouverte.</x:v>
      </x:c>
      <x:c r="H1624" s="115" t="str">
        <x:v>L 1280 ; l 1360 ; hauteur 8 m ; choix de composition auteur ; dimensions réelles à documenter</x:v>
      </x:c>
      <x:c r="I1624" s="115" t="str">
        <x:v>À équilibrer</x:v>
      </x:c>
      <x:c r="J1624" s="115" t="str">
        <x:v>Non</x:v>
      </x:c>
      <x:c r="K1624" s="115" t="str">
        <x:v>Pièces décrites, murs, portes, niveaux et mobilier inspectables à l’échelle. Volumes réservés, raccord au seed, butin, rencontres et services de campagne restent à terminer.</x:v>
      </x:c>
    </x:row>
    <x:row r="1625" ht="96" customHeight="1">
      <x:c r="A1625" s="115" t="str">
        <x:v>EXT-MONDE-T033-V20</x:v>
      </x:c>
      <x:c r="B1625" s="115" t="str">
        <x:v>EXT-MONDE-T033</x:v>
      </x:c>
      <x:c r="C1625" s="115" t="str">
        <x:v>Échangeurs</x:v>
      </x:c>
      <x:c r="D1625" s="115" t="str">
        <x:v>Échangeur en losange</x:v>
      </x:c>
      <x:c r="E1625" s="115" t="n">
        <x:v>20</x:v>
      </x:c>
      <x:c r="F1625" s="115" t="str">
        <x:v>Inspection physique</x:v>
      </x:c>
      <x:c r="G1625" s="115" t="str">
        <x:v>1 niveaux ; 34 pièces ; 260 segments de mur ; 0 transitions. Inspection physique ; architecture complète encore ouverte.</x:v>
      </x:c>
      <x:c r="H1625" s="115" t="str">
        <x:v>L 1280 ; l 1360 ; hauteur 8 m ; choix de composition auteur ; dimensions réelles à documenter</x:v>
      </x:c>
      <x:c r="I1625" s="115" t="str">
        <x:v>À équilibrer</x:v>
      </x:c>
      <x:c r="J1625" s="115" t="str">
        <x:v>Non</x:v>
      </x:c>
      <x:c r="K1625" s="115" t="str">
        <x:v>Pièces décrites, murs, portes, niveaux et mobilier inspectables à l’échelle. Volumes réservés, raccord au seed, butin, rencontres et services de campagne restent à terminer.</x:v>
      </x:c>
    </x:row>
    <x:row r="1626" ht="96" customHeight="1">
      <x:c r="A1626" s="115" t="str">
        <x:v>EXT-MONDE-T033-V21</x:v>
      </x:c>
      <x:c r="B1626" s="115" t="str">
        <x:v>EXT-MONDE-T033</x:v>
      </x:c>
      <x:c r="C1626" s="115" t="str">
        <x:v>Échangeurs</x:v>
      </x:c>
      <x:c r="D1626" s="115" t="str">
        <x:v>Échangeur en losange</x:v>
      </x:c>
      <x:c r="E1626" s="115" t="n">
        <x:v>21</x:v>
      </x:c>
      <x:c r="F1626" s="115" t="str">
        <x:v>Inspection physique</x:v>
      </x:c>
      <x:c r="G1626" s="115" t="str">
        <x:v>1 niveaux ; 34 pièces ; 260 segments de mur ; 0 transitions. Inspection physique ; architecture complète encore ouverte.</x:v>
      </x:c>
      <x:c r="H1626" s="115" t="str">
        <x:v>L 1360 ; l 1520 ; hauteur 8 m ; choix de composition auteur ; dimensions réelles à documenter</x:v>
      </x:c>
      <x:c r="I1626" s="115" t="str">
        <x:v>À équilibrer</x:v>
      </x:c>
      <x:c r="J1626" s="115" t="str">
        <x:v>Non</x:v>
      </x:c>
      <x:c r="K1626" s="115" t="str">
        <x:v>Pièces décrites, murs, portes, niveaux et mobilier inspectables à l’échelle. Volumes réservés, raccord au seed, butin, rencontres et services de campagne restent à terminer.</x:v>
      </x:c>
    </x:row>
    <x:row r="1627" ht="96" customHeight="1">
      <x:c r="A1627" s="115" t="str">
        <x:v>EXT-MONDE-T033-V22</x:v>
      </x:c>
      <x:c r="B1627" s="115" t="str">
        <x:v>EXT-MONDE-T033</x:v>
      </x:c>
      <x:c r="C1627" s="115" t="str">
        <x:v>Échangeurs</x:v>
      </x:c>
      <x:c r="D1627" s="115" t="str">
        <x:v>Échangeur en losange</x:v>
      </x:c>
      <x:c r="E1627" s="115" t="n">
        <x:v>22</x:v>
      </x:c>
      <x:c r="F1627" s="115" t="str">
        <x:v>Inspection physique</x:v>
      </x:c>
      <x:c r="G1627" s="115" t="str">
        <x:v>1 niveaux ; 34 pièces ; 260 segments de mur ; 0 transitions. Inspection physique ; architecture complète encore ouverte.</x:v>
      </x:c>
      <x:c r="H1627" s="115" t="str">
        <x:v>L 1360 ; l 1520 ; hauteur 8 m ; choix de composition auteur ; dimensions réelles à documenter</x:v>
      </x:c>
      <x:c r="I1627" s="115" t="str">
        <x:v>À équilibrer</x:v>
      </x:c>
      <x:c r="J1627" s="115" t="str">
        <x:v>Non</x:v>
      </x:c>
      <x:c r="K1627" s="115" t="str">
        <x:v>Pièces décrites, murs, portes, niveaux et mobilier inspectables à l’échelle. Volumes réservés, raccord au seed, butin, rencontres et services de campagne restent à terminer.</x:v>
      </x:c>
    </x:row>
    <x:row r="1628" ht="96" customHeight="1">
      <x:c r="A1628" s="115" t="str">
        <x:v>EXT-MONDE-T033-V23</x:v>
      </x:c>
      <x:c r="B1628" s="115" t="str">
        <x:v>EXT-MONDE-T033</x:v>
      </x:c>
      <x:c r="C1628" s="115" t="str">
        <x:v>Échangeurs</x:v>
      </x:c>
      <x:c r="D1628" s="115" t="str">
        <x:v>Échangeur en losange</x:v>
      </x:c>
      <x:c r="E1628" s="115" t="n">
        <x:v>23</x:v>
      </x:c>
      <x:c r="F1628" s="115" t="str">
        <x:v>Inspection physique</x:v>
      </x:c>
      <x:c r="G1628" s="115" t="str">
        <x:v>1 niveaux ; 34 pièces ; 260 segments de mur ; 0 transitions. Inspection physique ; architecture complète encore ouverte.</x:v>
      </x:c>
      <x:c r="H1628" s="115" t="str">
        <x:v>L 1360 ; l 1520 ; hauteur 8 m ; choix de composition auteur ; dimensions réelles à documenter</x:v>
      </x:c>
      <x:c r="I1628" s="115" t="str">
        <x:v>À équilibrer</x:v>
      </x:c>
      <x:c r="J1628" s="115" t="str">
        <x:v>Non</x:v>
      </x:c>
      <x:c r="K1628" s="115" t="str">
        <x:v>Pièces décrites, murs, portes, niveaux et mobilier inspectables à l’échelle. Volumes réservés, raccord au seed, butin, rencontres et services de campagne restent à terminer.</x:v>
      </x:c>
    </x:row>
    <x:row r="1629" ht="96" customHeight="1">
      <x:c r="A1629" s="115" t="str">
        <x:v>EXT-MONDE-T033-V24</x:v>
      </x:c>
      <x:c r="B1629" s="115" t="str">
        <x:v>EXT-MONDE-T033</x:v>
      </x:c>
      <x:c r="C1629" s="115" t="str">
        <x:v>Échangeurs</x:v>
      </x:c>
      <x:c r="D1629" s="115" t="str">
        <x:v>Échangeur en losange</x:v>
      </x:c>
      <x:c r="E1629" s="115" t="n">
        <x:v>24</x:v>
      </x:c>
      <x:c r="F1629" s="115" t="str">
        <x:v>Inspection physique</x:v>
      </x:c>
      <x:c r="G1629" s="115" t="str">
        <x:v>1 niveaux ; 34 pièces ; 260 segments de mur ; 0 transitions. Inspection physique ; architecture complète encore ouverte.</x:v>
      </x:c>
      <x:c r="H1629" s="115" t="str">
        <x:v>L 1360 ; l 1520 ; hauteur 8 m ; choix de composition auteur ; dimensions réelles à documenter</x:v>
      </x:c>
      <x:c r="I1629" s="115" t="str">
        <x:v>À équilibrer</x:v>
      </x:c>
      <x:c r="J1629" s="115" t="str">
        <x:v>Non</x:v>
      </x:c>
      <x:c r="K1629" s="115" t="str">
        <x:v>Pièces décrites, murs, portes, niveaux et mobilier inspectables à l’échelle. Volumes réservés, raccord au seed, butin, rencontres et services de campagne restent à terminer.</x:v>
      </x:c>
    </x:row>
    <x:row r="1630" ht="96" customHeight="1">
      <x:c r="A1630" s="115" t="str">
        <x:v>EXT-MONDE-T033-V25</x:v>
      </x:c>
      <x:c r="B1630" s="115" t="str">
        <x:v>EXT-MONDE-T033</x:v>
      </x:c>
      <x:c r="C1630" s="115" t="str">
        <x:v>Échangeurs</x:v>
      </x:c>
      <x:c r="D1630" s="115" t="str">
        <x:v>Échangeur en losange</x:v>
      </x:c>
      <x:c r="E1630" s="115" t="n">
        <x:v>25</x:v>
      </x:c>
      <x:c r="F1630" s="115" t="str">
        <x:v>Inspection physique</x:v>
      </x:c>
      <x:c r="G1630" s="115" t="str">
        <x:v>1 niveaux ; 34 pièces ; 260 segments de mur ; 0 transitions. Inspection physique ; architecture complète encore ouverte.</x:v>
      </x:c>
      <x:c r="H1630" s="115" t="str">
        <x:v>L 1360 ; l 1520 ; hauteur 8 m ; choix de composition auteur ; dimensions réelles à documenter</x:v>
      </x:c>
      <x:c r="I1630" s="115" t="str">
        <x:v>À équilibrer</x:v>
      </x:c>
      <x:c r="J1630" s="115" t="str">
        <x:v>Non</x:v>
      </x:c>
      <x:c r="K1630" s="115" t="str">
        <x:v>Pièces décrites, murs, portes, niveaux et mobilier inspectables à l’échelle. Volumes réservés, raccord au seed, butin, rencontres et services de campagne restent à terminer.</x:v>
      </x:c>
    </x:row>
    <x:row r="1631" ht="96" customHeight="1">
      <x:c r="A1631" s="115" t="str">
        <x:v>EXT-MONDE-T033-V26</x:v>
      </x:c>
      <x:c r="B1631" s="115" t="str">
        <x:v>EXT-MONDE-T033</x:v>
      </x:c>
      <x:c r="C1631" s="115" t="str">
        <x:v>Échangeurs</x:v>
      </x:c>
      <x:c r="D1631" s="115" t="str">
        <x:v>Échangeur en losange</x:v>
      </x:c>
      <x:c r="E1631" s="115" t="n">
        <x:v>26</x:v>
      </x:c>
      <x:c r="F1631" s="115" t="str">
        <x:v>Inspection physique</x:v>
      </x:c>
      <x:c r="G1631" s="115" t="str">
        <x:v>1 niveaux ; 34 pièces ; 260 segments de mur ; 0 transitions. Inspection physique ; architecture complète encore ouverte.</x:v>
      </x:c>
      <x:c r="H1631" s="115" t="str">
        <x:v>L 1360 ; l 1520 ; hauteur 8 m ; choix de composition auteur ; dimensions réelles à documenter</x:v>
      </x:c>
      <x:c r="I1631" s="115" t="str">
        <x:v>À équilibrer</x:v>
      </x:c>
      <x:c r="J1631" s="115" t="str">
        <x:v>Non</x:v>
      </x:c>
      <x:c r="K1631" s="115" t="str">
        <x:v>Pièces décrites, murs, portes, niveaux et mobilier inspectables à l’échelle. Volumes réservés, raccord au seed, butin, rencontres et services de campagne restent à terminer.</x:v>
      </x:c>
    </x:row>
    <x:row r="1632" ht="96" customHeight="1">
      <x:c r="A1632" s="115" t="str">
        <x:v>EXT-MONDE-T033-V27</x:v>
      </x:c>
      <x:c r="B1632" s="115" t="str">
        <x:v>EXT-MONDE-T033</x:v>
      </x:c>
      <x:c r="C1632" s="115" t="str">
        <x:v>Échangeurs</x:v>
      </x:c>
      <x:c r="D1632" s="115" t="str">
        <x:v>Échangeur en losange</x:v>
      </x:c>
      <x:c r="E1632" s="115" t="n">
        <x:v>27</x:v>
      </x:c>
      <x:c r="F1632" s="115" t="str">
        <x:v>Inspection physique</x:v>
      </x:c>
      <x:c r="G1632" s="115" t="str">
        <x:v>1 niveaux ; 34 pièces ; 260 segments de mur ; 0 transitions. Inspection physique ; architecture complète encore ouverte.</x:v>
      </x:c>
      <x:c r="H1632" s="115" t="str">
        <x:v>L 1360 ; l 1520 ; hauteur 8 m ; choix de composition auteur ; dimensions réelles à documenter</x:v>
      </x:c>
      <x:c r="I1632" s="115" t="str">
        <x:v>À équilibrer</x:v>
      </x:c>
      <x:c r="J1632" s="115" t="str">
        <x:v>Non</x:v>
      </x:c>
      <x:c r="K1632" s="115" t="str">
        <x:v>Pièces décrites, murs, portes, niveaux et mobilier inspectables à l’échelle. Volumes réservés, raccord au seed, butin, rencontres et services de campagne restent à terminer.</x:v>
      </x:c>
    </x:row>
    <x:row r="1633" ht="96" customHeight="1">
      <x:c r="A1633" s="115" t="str">
        <x:v>EXT-MONDE-T033-V28</x:v>
      </x:c>
      <x:c r="B1633" s="115" t="str">
        <x:v>EXT-MONDE-T033</x:v>
      </x:c>
      <x:c r="C1633" s="115" t="str">
        <x:v>Échangeurs</x:v>
      </x:c>
      <x:c r="D1633" s="115" t="str">
        <x:v>Échangeur en losange</x:v>
      </x:c>
      <x:c r="E1633" s="115" t="n">
        <x:v>28</x:v>
      </x:c>
      <x:c r="F1633" s="115" t="str">
        <x:v>Inspection physique</x:v>
      </x:c>
      <x:c r="G1633" s="115" t="str">
        <x:v>1 niveaux ; 34 pièces ; 260 segments de mur ; 0 transitions. Inspection physique ; architecture complète encore ouverte.</x:v>
      </x:c>
      <x:c r="H1633" s="115" t="str">
        <x:v>L 1360 ; l 1520 ; hauteur 8 m ; choix de composition auteur ; dimensions réelles à documenter</x:v>
      </x:c>
      <x:c r="I1633" s="115" t="str">
        <x:v>À équilibrer</x:v>
      </x:c>
      <x:c r="J1633" s="115" t="str">
        <x:v>Non</x:v>
      </x:c>
      <x:c r="K1633" s="115" t="str">
        <x:v>Pièces décrites, murs, portes, niveaux et mobilier inspectables à l’échelle. Volumes réservés, raccord au seed, butin, rencontres et services de campagne restent à terminer.</x:v>
      </x:c>
    </x:row>
    <x:row r="1634" ht="96" customHeight="1">
      <x:c r="A1634" s="115" t="str">
        <x:v>EXT-MONDE-T033-V29</x:v>
      </x:c>
      <x:c r="B1634" s="115" t="str">
        <x:v>EXT-MONDE-T033</x:v>
      </x:c>
      <x:c r="C1634" s="115" t="str">
        <x:v>Échangeurs</x:v>
      </x:c>
      <x:c r="D1634" s="115" t="str">
        <x:v>Échangeur en losange</x:v>
      </x:c>
      <x:c r="E1634" s="115" t="n">
        <x:v>29</x:v>
      </x:c>
      <x:c r="F1634" s="115" t="str">
        <x:v>Inspection physique</x:v>
      </x:c>
      <x:c r="G1634" s="115" t="str">
        <x:v>1 niveaux ; 34 pièces ; 260 segments de mur ; 0 transitions. Inspection physique ; architecture complète encore ouverte.</x:v>
      </x:c>
      <x:c r="H1634" s="115" t="str">
        <x:v>L 1360 ; l 1520 ; hauteur 8 m ; choix de composition auteur ; dimensions réelles à documenter</x:v>
      </x:c>
      <x:c r="I1634" s="115" t="str">
        <x:v>À équilibrer</x:v>
      </x:c>
      <x:c r="J1634" s="115" t="str">
        <x:v>Non</x:v>
      </x:c>
      <x:c r="K1634" s="115" t="str">
        <x:v>Pièces décrites, murs, portes, niveaux et mobilier inspectables à l’échelle. Volumes réservés, raccord au seed, butin, rencontres et services de campagne restent à terminer.</x:v>
      </x:c>
    </x:row>
    <x:row r="1635" ht="96" customHeight="1">
      <x:c r="A1635" s="115" t="str">
        <x:v>EXT-MONDE-T033-V30</x:v>
      </x:c>
      <x:c r="B1635" s="115" t="str">
        <x:v>EXT-MONDE-T033</x:v>
      </x:c>
      <x:c r="C1635" s="115" t="str">
        <x:v>Échangeurs</x:v>
      </x:c>
      <x:c r="D1635" s="115" t="str">
        <x:v>Échangeur en losange</x:v>
      </x:c>
      <x:c r="E1635" s="115" t="n">
        <x:v>30</x:v>
      </x:c>
      <x:c r="F1635" s="115" t="str">
        <x:v>Inspection physique</x:v>
      </x:c>
      <x:c r="G1635" s="115" t="str">
        <x:v>1 niveaux ; 34 pièces ; 260 segments de mur ; 0 transitions. Inspection physique ; architecture complète encore ouverte.</x:v>
      </x:c>
      <x:c r="H1635" s="115" t="str">
        <x:v>L 1360 ; l 1520 ; hauteur 8 m ; choix de composition auteur ; dimensions réelles à documenter</x:v>
      </x:c>
      <x:c r="I1635" s="115" t="str">
        <x:v>À équilibrer</x:v>
      </x:c>
      <x:c r="J1635" s="115" t="str">
        <x:v>Non</x:v>
      </x:c>
      <x:c r="K1635" s="115" t="str">
        <x:v>Pièces décrites, murs, portes, niveaux et mobilier inspectables à l’échelle. Volumes réservés, raccord au seed, butin, rencontres et services de campagne restent à terminer.</x:v>
      </x:c>
    </x:row>
    <x:row r="1636" ht="96" customHeight="1">
      <x:c r="A1636" s="115" t="str">
        <x:v>EXT-MONDE-T033-V31</x:v>
      </x:c>
      <x:c r="B1636" s="115" t="str">
        <x:v>EXT-MONDE-T033</x:v>
      </x:c>
      <x:c r="C1636" s="115" t="str">
        <x:v>Échangeurs</x:v>
      </x:c>
      <x:c r="D1636" s="115" t="str">
        <x:v>Échangeur en losange</x:v>
      </x:c>
      <x:c r="E1636" s="115" t="n">
        <x:v>31</x:v>
      </x:c>
      <x:c r="F1636" s="115" t="str">
        <x:v>Inspection physique</x:v>
      </x:c>
      <x:c r="G1636" s="115" t="str">
        <x:v>1 niveaux ; 34 pièces ; 260 segments de mur ; 0 transitions. Inspection physique ; architecture complète encore ouverte.</x:v>
      </x:c>
      <x:c r="H1636" s="115" t="str">
        <x:v>L 1440 ; l 1680 ; hauteur 8 m ; choix de composition auteur ; dimensions réelles à documenter</x:v>
      </x:c>
      <x:c r="I1636" s="115" t="str">
        <x:v>À équilibrer</x:v>
      </x:c>
      <x:c r="J1636" s="115" t="str">
        <x:v>Non</x:v>
      </x:c>
      <x:c r="K1636" s="115" t="str">
        <x:v>Pièces décrites, murs, portes, niveaux et mobilier inspectables à l’échelle. Volumes réservés, raccord au seed, butin, rencontres et services de campagne restent à terminer.</x:v>
      </x:c>
    </x:row>
    <x:row r="1637" ht="96" customHeight="1">
      <x:c r="A1637" s="115" t="str">
        <x:v>EXT-MONDE-T033-V32</x:v>
      </x:c>
      <x:c r="B1637" s="115" t="str">
        <x:v>EXT-MONDE-T033</x:v>
      </x:c>
      <x:c r="C1637" s="115" t="str">
        <x:v>Échangeurs</x:v>
      </x:c>
      <x:c r="D1637" s="115" t="str">
        <x:v>Échangeur en losange</x:v>
      </x:c>
      <x:c r="E1637" s="115" t="n">
        <x:v>32</x:v>
      </x:c>
      <x:c r="F1637" s="115" t="str">
        <x:v>Inspection physique</x:v>
      </x:c>
      <x:c r="G1637" s="115" t="str">
        <x:v>1 niveaux ; 34 pièces ; 260 segments de mur ; 0 transitions. Inspection physique ; architecture complète encore ouverte.</x:v>
      </x:c>
      <x:c r="H1637" s="115" t="str">
        <x:v>L 1440 ; l 1680 ; hauteur 8 m ; choix de composition auteur ; dimensions réelles à documenter</x:v>
      </x:c>
      <x:c r="I1637" s="115" t="str">
        <x:v>À équilibrer</x:v>
      </x:c>
      <x:c r="J1637" s="115" t="str">
        <x:v>Non</x:v>
      </x:c>
      <x:c r="K1637" s="115" t="str">
        <x:v>Pièces décrites, murs, portes, niveaux et mobilier inspectables à l’échelle. Volumes réservés, raccord au seed, butin, rencontres et services de campagne restent à terminer.</x:v>
      </x:c>
    </x:row>
    <x:row r="1638" ht="96" customHeight="1">
      <x:c r="A1638" s="115" t="str">
        <x:v>EXT-MONDE-T033-V33</x:v>
      </x:c>
      <x:c r="B1638" s="115" t="str">
        <x:v>EXT-MONDE-T033</x:v>
      </x:c>
      <x:c r="C1638" s="115" t="str">
        <x:v>Échangeurs</x:v>
      </x:c>
      <x:c r="D1638" s="115" t="str">
        <x:v>Échangeur en losange</x:v>
      </x:c>
      <x:c r="E1638" s="115" t="n">
        <x:v>33</x:v>
      </x:c>
      <x:c r="F1638" s="115" t="str">
        <x:v>Inspection physique</x:v>
      </x:c>
      <x:c r="G1638" s="115" t="str">
        <x:v>1 niveaux ; 34 pièces ; 260 segments de mur ; 0 transitions. Inspection physique ; architecture complète encore ouverte.</x:v>
      </x:c>
      <x:c r="H1638" s="115" t="str">
        <x:v>L 1440 ; l 1680 ; hauteur 8 m ; choix de composition auteur ; dimensions réelles à documenter</x:v>
      </x:c>
      <x:c r="I1638" s="115" t="str">
        <x:v>À équilibrer</x:v>
      </x:c>
      <x:c r="J1638" s="115" t="str">
        <x:v>Non</x:v>
      </x:c>
      <x:c r="K1638" s="115" t="str">
        <x:v>Pièces décrites, murs, portes, niveaux et mobilier inspectables à l’échelle. Volumes réservés, raccord au seed, butin, rencontres et services de campagne restent à terminer.</x:v>
      </x:c>
    </x:row>
    <x:row r="1639" ht="96" customHeight="1">
      <x:c r="A1639" s="115" t="str">
        <x:v>EXT-MONDE-T033-V34</x:v>
      </x:c>
      <x:c r="B1639" s="115" t="str">
        <x:v>EXT-MONDE-T033</x:v>
      </x:c>
      <x:c r="C1639" s="115" t="str">
        <x:v>Échangeurs</x:v>
      </x:c>
      <x:c r="D1639" s="115" t="str">
        <x:v>Échangeur en losange</x:v>
      </x:c>
      <x:c r="E1639" s="115" t="n">
        <x:v>34</x:v>
      </x:c>
      <x:c r="F1639" s="115" t="str">
        <x:v>Inspection physique</x:v>
      </x:c>
      <x:c r="G1639" s="115" t="str">
        <x:v>1 niveaux ; 34 pièces ; 260 segments de mur ; 0 transitions. Inspection physique ; architecture complète encore ouverte.</x:v>
      </x:c>
      <x:c r="H1639" s="115" t="str">
        <x:v>L 1440 ; l 1680 ; hauteur 8 m ; choix de composition auteur ; dimensions réelles à documenter</x:v>
      </x:c>
      <x:c r="I1639" s="115" t="str">
        <x:v>À équilibrer</x:v>
      </x:c>
      <x:c r="J1639" s="115" t="str">
        <x:v>Non</x:v>
      </x:c>
      <x:c r="K1639" s="115" t="str">
        <x:v>Pièces décrites, murs, portes, niveaux et mobilier inspectables à l’échelle. Volumes réservés, raccord au seed, butin, rencontres et services de campagne restent à terminer.</x:v>
      </x:c>
    </x:row>
    <x:row r="1640" ht="96" customHeight="1">
      <x:c r="A1640" s="115" t="str">
        <x:v>EXT-MONDE-T033-V35</x:v>
      </x:c>
      <x:c r="B1640" s="115" t="str">
        <x:v>EXT-MONDE-T033</x:v>
      </x:c>
      <x:c r="C1640" s="115" t="str">
        <x:v>Échangeurs</x:v>
      </x:c>
      <x:c r="D1640" s="115" t="str">
        <x:v>Échangeur en losange</x:v>
      </x:c>
      <x:c r="E1640" s="115" t="n">
        <x:v>35</x:v>
      </x:c>
      <x:c r="F1640" s="115" t="str">
        <x:v>Inspection physique</x:v>
      </x:c>
      <x:c r="G1640" s="115" t="str">
        <x:v>1 niveaux ; 34 pièces ; 260 segments de mur ; 0 transitions. Inspection physique ; architecture complète encore ouverte.</x:v>
      </x:c>
      <x:c r="H1640" s="115" t="str">
        <x:v>L 1440 ; l 1680 ; hauteur 8 m ; choix de composition auteur ; dimensions réelles à documenter</x:v>
      </x:c>
      <x:c r="I1640" s="115" t="str">
        <x:v>À équilibrer</x:v>
      </x:c>
      <x:c r="J1640" s="115" t="str">
        <x:v>Non</x:v>
      </x:c>
      <x:c r="K1640" s="115" t="str">
        <x:v>Pièces décrites, murs, portes, niveaux et mobilier inspectables à l’échelle. Volumes réservés, raccord au seed, butin, rencontres et services de campagne restent à terminer.</x:v>
      </x:c>
    </x:row>
    <x:row r="1641" ht="96" customHeight="1">
      <x:c r="A1641" s="115" t="str">
        <x:v>EXT-MONDE-T033-V36</x:v>
      </x:c>
      <x:c r="B1641" s="115" t="str">
        <x:v>EXT-MONDE-T033</x:v>
      </x:c>
      <x:c r="C1641" s="115" t="str">
        <x:v>Échangeurs</x:v>
      </x:c>
      <x:c r="D1641" s="115" t="str">
        <x:v>Échangeur en losange</x:v>
      </x:c>
      <x:c r="E1641" s="115" t="n">
        <x:v>36</x:v>
      </x:c>
      <x:c r="F1641" s="115" t="str">
        <x:v>Inspection physique</x:v>
      </x:c>
      <x:c r="G1641" s="115" t="str">
        <x:v>1 niveaux ; 34 pièces ; 260 segments de mur ; 0 transitions. Inspection physique ; architecture complète encore ouverte.</x:v>
      </x:c>
      <x:c r="H1641" s="115" t="str">
        <x:v>L 1440 ; l 1680 ; hauteur 8 m ; choix de composition auteur ; dimensions réelles à documenter</x:v>
      </x:c>
      <x:c r="I1641" s="115" t="str">
        <x:v>À équilibrer</x:v>
      </x:c>
      <x:c r="J1641" s="115" t="str">
        <x:v>Non</x:v>
      </x:c>
      <x:c r="K1641" s="115" t="str">
        <x:v>Pièces décrites, murs, portes, niveaux et mobilier inspectables à l’échelle. Volumes réservés, raccord au seed, butin, rencontres et services de campagne restent à terminer.</x:v>
      </x:c>
    </x:row>
    <x:row r="1642" ht="96" customHeight="1">
      <x:c r="A1642" s="115" t="str">
        <x:v>EXT-MONDE-T033-V37</x:v>
      </x:c>
      <x:c r="B1642" s="115" t="str">
        <x:v>EXT-MONDE-T033</x:v>
      </x:c>
      <x:c r="C1642" s="115" t="str">
        <x:v>Échangeurs</x:v>
      </x:c>
      <x:c r="D1642" s="115" t="str">
        <x:v>Échangeur en losange</x:v>
      </x:c>
      <x:c r="E1642" s="115" t="n">
        <x:v>37</x:v>
      </x:c>
      <x:c r="F1642" s="115" t="str">
        <x:v>Inspection physique</x:v>
      </x:c>
      <x:c r="G1642" s="115" t="str">
        <x:v>1 niveaux ; 34 pièces ; 260 segments de mur ; 0 transitions. Inspection physique ; architecture complète encore ouverte.</x:v>
      </x:c>
      <x:c r="H1642" s="115" t="str">
        <x:v>L 1440 ; l 1680 ; hauteur 8 m ; choix de composition auteur ; dimensions réelles à documenter</x:v>
      </x:c>
      <x:c r="I1642" s="115" t="str">
        <x:v>À équilibrer</x:v>
      </x:c>
      <x:c r="J1642" s="115" t="str">
        <x:v>Non</x:v>
      </x:c>
      <x:c r="K1642" s="115" t="str">
        <x:v>Pièces décrites, murs, portes, niveaux et mobilier inspectables à l’échelle. Volumes réservés, raccord au seed, butin, rencontres et services de campagne restent à terminer.</x:v>
      </x:c>
    </x:row>
    <x:row r="1643" ht="96" customHeight="1">
      <x:c r="A1643" s="115" t="str">
        <x:v>EXT-MONDE-T033-V38</x:v>
      </x:c>
      <x:c r="B1643" s="115" t="str">
        <x:v>EXT-MONDE-T033</x:v>
      </x:c>
      <x:c r="C1643" s="115" t="str">
        <x:v>Échangeurs</x:v>
      </x:c>
      <x:c r="D1643" s="115" t="str">
        <x:v>Échangeur en losange</x:v>
      </x:c>
      <x:c r="E1643" s="115" t="n">
        <x:v>38</x:v>
      </x:c>
      <x:c r="F1643" s="115" t="str">
        <x:v>Inspection physique</x:v>
      </x:c>
      <x:c r="G1643" s="115" t="str">
        <x:v>1 niveaux ; 34 pièces ; 260 segments de mur ; 0 transitions. Inspection physique ; architecture complète encore ouverte.</x:v>
      </x:c>
      <x:c r="H1643" s="115" t="str">
        <x:v>L 1440 ; l 1680 ; hauteur 8 m ; choix de composition auteur ; dimensions réelles à documenter</x:v>
      </x:c>
      <x:c r="I1643" s="115" t="str">
        <x:v>À équilibrer</x:v>
      </x:c>
      <x:c r="J1643" s="115" t="str">
        <x:v>Non</x:v>
      </x:c>
      <x:c r="K1643" s="115" t="str">
        <x:v>Pièces décrites, murs, portes, niveaux et mobilier inspectables à l’échelle. Volumes réservés, raccord au seed, butin, rencontres et services de campagne restent à terminer.</x:v>
      </x:c>
    </x:row>
    <x:row r="1644" ht="96" customHeight="1">
      <x:c r="A1644" s="115" t="str">
        <x:v>EXT-MONDE-T033-V39</x:v>
      </x:c>
      <x:c r="B1644" s="115" t="str">
        <x:v>EXT-MONDE-T033</x:v>
      </x:c>
      <x:c r="C1644" s="115" t="str">
        <x:v>Échangeurs</x:v>
      </x:c>
      <x:c r="D1644" s="115" t="str">
        <x:v>Échangeur en losange</x:v>
      </x:c>
      <x:c r="E1644" s="115" t="n">
        <x:v>39</x:v>
      </x:c>
      <x:c r="F1644" s="115" t="str">
        <x:v>Inspection physique</x:v>
      </x:c>
      <x:c r="G1644" s="115" t="str">
        <x:v>1 niveaux ; 34 pièces ; 260 segments de mur ; 0 transitions. Inspection physique ; architecture complète encore ouverte.</x:v>
      </x:c>
      <x:c r="H1644" s="115" t="str">
        <x:v>L 1440 ; l 1680 ; hauteur 8 m ; choix de composition auteur ; dimensions réelles à documenter</x:v>
      </x:c>
      <x:c r="I1644" s="115" t="str">
        <x:v>À équilibrer</x:v>
      </x:c>
      <x:c r="J1644" s="115" t="str">
        <x:v>Non</x:v>
      </x:c>
      <x:c r="K1644" s="115" t="str">
        <x:v>Pièces décrites, murs, portes, niveaux et mobilier inspectables à l’échelle. Volumes réservés, raccord au seed, butin, rencontres et services de campagne restent à terminer.</x:v>
      </x:c>
    </x:row>
    <x:row r="1645" ht="96" customHeight="1">
      <x:c r="A1645" s="115" t="str">
        <x:v>EXT-MONDE-T033-V40</x:v>
      </x:c>
      <x:c r="B1645" s="115" t="str">
        <x:v>EXT-MONDE-T033</x:v>
      </x:c>
      <x:c r="C1645" s="115" t="str">
        <x:v>Échangeurs</x:v>
      </x:c>
      <x:c r="D1645" s="115" t="str">
        <x:v>Échangeur en losange</x:v>
      </x:c>
      <x:c r="E1645" s="115" t="n">
        <x:v>40</x:v>
      </x:c>
      <x:c r="F1645" s="115" t="str">
        <x:v>Inspection physique</x:v>
      </x:c>
      <x:c r="G1645" s="115" t="str">
        <x:v>1 niveaux ; 34 pièces ; 260 segments de mur ; 0 transitions. Inspection physique ; architecture complète encore ouverte.</x:v>
      </x:c>
      <x:c r="H1645" s="115" t="str">
        <x:v>L 1440 ; l 1680 ; hauteur 8 m ; choix de composition auteur ; dimensions réelles à documenter</x:v>
      </x:c>
      <x:c r="I1645" s="115" t="str">
        <x:v>À équilibrer</x:v>
      </x:c>
      <x:c r="J1645" s="115" t="str">
        <x:v>Non</x:v>
      </x:c>
      <x:c r="K1645" s="115" t="str">
        <x:v>Pièces décrites, murs, portes, niveaux et mobilier inspectables à l’échelle. Volumes réservés, raccord au seed, butin, rencontres et services de campagne restent à terminer.</x:v>
      </x:c>
    </x:row>
    <x:row r="1646" ht="96" customHeight="1">
      <x:c r="A1646" s="115" t="str">
        <x:v>EXT-MONDE-T033-V41</x:v>
      </x:c>
      <x:c r="B1646" s="115" t="str">
        <x:v>EXT-MONDE-T033</x:v>
      </x:c>
      <x:c r="C1646" s="115" t="str">
        <x:v>Échangeurs</x:v>
      </x:c>
      <x:c r="D1646" s="115" t="str">
        <x:v>Échangeur en losange</x:v>
      </x:c>
      <x:c r="E1646" s="115" t="n">
        <x:v>41</x:v>
      </x:c>
      <x:c r="F1646" s="115" t="str">
        <x:v>Inspection physique</x:v>
      </x:c>
      <x:c r="G1646" s="115" t="str">
        <x:v>1 niveaux ; 34 pièces ; 260 segments de mur ; 0 transitions. Inspection physique ; architecture complète encore ouverte.</x:v>
      </x:c>
      <x:c r="H1646" s="115" t="str">
        <x:v>L 1520 ; l 1840 ; hauteur 8 m ; choix de composition auteur ; dimensions réelles à documenter</x:v>
      </x:c>
      <x:c r="I1646" s="115" t="str">
        <x:v>À équilibrer</x:v>
      </x:c>
      <x:c r="J1646" s="115" t="str">
        <x:v>Non</x:v>
      </x:c>
      <x:c r="K1646" s="115" t="str">
        <x:v>Pièces décrites, murs, portes, niveaux et mobilier inspectables à l’échelle. Volumes réservés, raccord au seed, butin, rencontres et services de campagne restent à terminer.</x:v>
      </x:c>
    </x:row>
    <x:row r="1647" ht="96" customHeight="1">
      <x:c r="A1647" s="115" t="str">
        <x:v>EXT-MONDE-T033-V42</x:v>
      </x:c>
      <x:c r="B1647" s="115" t="str">
        <x:v>EXT-MONDE-T033</x:v>
      </x:c>
      <x:c r="C1647" s="115" t="str">
        <x:v>Échangeurs</x:v>
      </x:c>
      <x:c r="D1647" s="115" t="str">
        <x:v>Échangeur en losange</x:v>
      </x:c>
      <x:c r="E1647" s="115" t="n">
        <x:v>42</x:v>
      </x:c>
      <x:c r="F1647" s="115" t="str">
        <x:v>Inspection physique</x:v>
      </x:c>
      <x:c r="G1647" s="115" t="str">
        <x:v>1 niveaux ; 34 pièces ; 260 segments de mur ; 0 transitions. Inspection physique ; architecture complète encore ouverte.</x:v>
      </x:c>
      <x:c r="H1647" s="115" t="str">
        <x:v>L 1520 ; l 1840 ; hauteur 8 m ; choix de composition auteur ; dimensions réelles à documenter</x:v>
      </x:c>
      <x:c r="I1647" s="115" t="str">
        <x:v>À équilibrer</x:v>
      </x:c>
      <x:c r="J1647" s="115" t="str">
        <x:v>Non</x:v>
      </x:c>
      <x:c r="K1647" s="115" t="str">
        <x:v>Pièces décrites, murs, portes, niveaux et mobilier inspectables à l’échelle. Volumes réservés, raccord au seed, butin, rencontres et services de campagne restent à terminer.</x:v>
      </x:c>
    </x:row>
    <x:row r="1648" ht="96" customHeight="1">
      <x:c r="A1648" s="115" t="str">
        <x:v>EXT-MONDE-T033-V43</x:v>
      </x:c>
      <x:c r="B1648" s="115" t="str">
        <x:v>EXT-MONDE-T033</x:v>
      </x:c>
      <x:c r="C1648" s="115" t="str">
        <x:v>Échangeurs</x:v>
      </x:c>
      <x:c r="D1648" s="115" t="str">
        <x:v>Échangeur en losange</x:v>
      </x:c>
      <x:c r="E1648" s="115" t="n">
        <x:v>43</x:v>
      </x:c>
      <x:c r="F1648" s="115" t="str">
        <x:v>Inspection physique</x:v>
      </x:c>
      <x:c r="G1648" s="115" t="str">
        <x:v>1 niveaux ; 34 pièces ; 260 segments de mur ; 0 transitions. Inspection physique ; architecture complète encore ouverte.</x:v>
      </x:c>
      <x:c r="H1648" s="115" t="str">
        <x:v>L 1520 ; l 1840 ; hauteur 8 m ; choix de composition auteur ; dimensions réelles à documenter</x:v>
      </x:c>
      <x:c r="I1648" s="115" t="str">
        <x:v>À équilibrer</x:v>
      </x:c>
      <x:c r="J1648" s="115" t="str">
        <x:v>Non</x:v>
      </x:c>
      <x:c r="K1648" s="115" t="str">
        <x:v>Pièces décrites, murs, portes, niveaux et mobilier inspectables à l’échelle. Volumes réservés, raccord au seed, butin, rencontres et services de campagne restent à terminer.</x:v>
      </x:c>
    </x:row>
    <x:row r="1649" ht="96" customHeight="1">
      <x:c r="A1649" s="115" t="str">
        <x:v>EXT-MONDE-T033-V44</x:v>
      </x:c>
      <x:c r="B1649" s="115" t="str">
        <x:v>EXT-MONDE-T033</x:v>
      </x:c>
      <x:c r="C1649" s="115" t="str">
        <x:v>Échangeurs</x:v>
      </x:c>
      <x:c r="D1649" s="115" t="str">
        <x:v>Échangeur en losange</x:v>
      </x:c>
      <x:c r="E1649" s="115" t="n">
        <x:v>44</x:v>
      </x:c>
      <x:c r="F1649" s="115" t="str">
        <x:v>Inspection physique</x:v>
      </x:c>
      <x:c r="G1649" s="115" t="str">
        <x:v>1 niveaux ; 34 pièces ; 260 segments de mur ; 0 transitions. Inspection physique ; architecture complète encore ouverte.</x:v>
      </x:c>
      <x:c r="H1649" s="115" t="str">
        <x:v>L 1520 ; l 1840 ; hauteur 8 m ; choix de composition auteur ; dimensions réelles à documenter</x:v>
      </x:c>
      <x:c r="I1649" s="115" t="str">
        <x:v>À équilibrer</x:v>
      </x:c>
      <x:c r="J1649" s="115" t="str">
        <x:v>Non</x:v>
      </x:c>
      <x:c r="K1649" s="115" t="str">
        <x:v>Pièces décrites, murs, portes, niveaux et mobilier inspectables à l’échelle. Volumes réservés, raccord au seed, butin, rencontres et services de campagne restent à terminer.</x:v>
      </x:c>
    </x:row>
    <x:row r="1650" ht="96" customHeight="1">
      <x:c r="A1650" s="115" t="str">
        <x:v>EXT-MONDE-T033-V45</x:v>
      </x:c>
      <x:c r="B1650" s="115" t="str">
        <x:v>EXT-MONDE-T033</x:v>
      </x:c>
      <x:c r="C1650" s="115" t="str">
        <x:v>Échangeurs</x:v>
      </x:c>
      <x:c r="D1650" s="115" t="str">
        <x:v>Échangeur en losange</x:v>
      </x:c>
      <x:c r="E1650" s="115" t="n">
        <x:v>45</x:v>
      </x:c>
      <x:c r="F1650" s="115" t="str">
        <x:v>Inspection physique</x:v>
      </x:c>
      <x:c r="G1650" s="115" t="str">
        <x:v>1 niveaux ; 34 pièces ; 260 segments de mur ; 0 transitions. Inspection physique ; architecture complète encore ouverte.</x:v>
      </x:c>
      <x:c r="H1650" s="115" t="str">
        <x:v>L 1520 ; l 1840 ; hauteur 8 m ; choix de composition auteur ; dimensions réelles à documenter</x:v>
      </x:c>
      <x:c r="I1650" s="115" t="str">
        <x:v>À équilibrer</x:v>
      </x:c>
      <x:c r="J1650" s="115" t="str">
        <x:v>Non</x:v>
      </x:c>
      <x:c r="K1650" s="115" t="str">
        <x:v>Pièces décrites, murs, portes, niveaux et mobilier inspectables à l’échelle. Volumes réservés, raccord au seed, butin, rencontres et services de campagne restent à terminer.</x:v>
      </x:c>
    </x:row>
    <x:row r="1651" ht="96" customHeight="1">
      <x:c r="A1651" s="115" t="str">
        <x:v>EXT-MONDE-T033-V46</x:v>
      </x:c>
      <x:c r="B1651" s="115" t="str">
        <x:v>EXT-MONDE-T033</x:v>
      </x:c>
      <x:c r="C1651" s="115" t="str">
        <x:v>Échangeurs</x:v>
      </x:c>
      <x:c r="D1651" s="115" t="str">
        <x:v>Échangeur en losange</x:v>
      </x:c>
      <x:c r="E1651" s="115" t="n">
        <x:v>46</x:v>
      </x:c>
      <x:c r="F1651" s="115" t="str">
        <x:v>Inspection physique</x:v>
      </x:c>
      <x:c r="G1651" s="115" t="str">
        <x:v>1 niveaux ; 34 pièces ; 260 segments de mur ; 0 transitions. Inspection physique ; architecture complète encore ouverte.</x:v>
      </x:c>
      <x:c r="H1651" s="115" t="str">
        <x:v>L 1520 ; l 1840 ; hauteur 8 m ; choix de composition auteur ; dimensions réelles à documenter</x:v>
      </x:c>
      <x:c r="I1651" s="115" t="str">
        <x:v>À équilibrer</x:v>
      </x:c>
      <x:c r="J1651" s="115" t="str">
        <x:v>Non</x:v>
      </x:c>
      <x:c r="K1651" s="115" t="str">
        <x:v>Pièces décrites, murs, portes, niveaux et mobilier inspectables à l’échelle. Volumes réservés, raccord au seed, butin, rencontres et services de campagne restent à terminer.</x:v>
      </x:c>
    </x:row>
    <x:row r="1652" ht="96" customHeight="1">
      <x:c r="A1652" s="115" t="str">
        <x:v>EXT-MONDE-T033-V47</x:v>
      </x:c>
      <x:c r="B1652" s="115" t="str">
        <x:v>EXT-MONDE-T033</x:v>
      </x:c>
      <x:c r="C1652" s="115" t="str">
        <x:v>Échangeurs</x:v>
      </x:c>
      <x:c r="D1652" s="115" t="str">
        <x:v>Échangeur en losange</x:v>
      </x:c>
      <x:c r="E1652" s="115" t="n">
        <x:v>47</x:v>
      </x:c>
      <x:c r="F1652" s="115" t="str">
        <x:v>Inspection physique</x:v>
      </x:c>
      <x:c r="G1652" s="115" t="str">
        <x:v>1 niveaux ; 34 pièces ; 260 segments de mur ; 0 transitions. Inspection physique ; architecture complète encore ouverte.</x:v>
      </x:c>
      <x:c r="H1652" s="115" t="str">
        <x:v>L 1520 ; l 1840 ; hauteur 8 m ; choix de composition auteur ; dimensions réelles à documenter</x:v>
      </x:c>
      <x:c r="I1652" s="115" t="str">
        <x:v>À équilibrer</x:v>
      </x:c>
      <x:c r="J1652" s="115" t="str">
        <x:v>Non</x:v>
      </x:c>
      <x:c r="K1652" s="115" t="str">
        <x:v>Pièces décrites, murs, portes, niveaux et mobilier inspectables à l’échelle. Volumes réservés, raccord au seed, butin, rencontres et services de campagne restent à terminer.</x:v>
      </x:c>
    </x:row>
    <x:row r="1653" ht="96" customHeight="1">
      <x:c r="A1653" s="115" t="str">
        <x:v>EXT-MONDE-T033-V48</x:v>
      </x:c>
      <x:c r="B1653" s="115" t="str">
        <x:v>EXT-MONDE-T033</x:v>
      </x:c>
      <x:c r="C1653" s="115" t="str">
        <x:v>Échangeurs</x:v>
      </x:c>
      <x:c r="D1653" s="115" t="str">
        <x:v>Échangeur en losange</x:v>
      </x:c>
      <x:c r="E1653" s="115" t="n">
        <x:v>48</x:v>
      </x:c>
      <x:c r="F1653" s="115" t="str">
        <x:v>Inspection physique</x:v>
      </x:c>
      <x:c r="G1653" s="115" t="str">
        <x:v>1 niveaux ; 34 pièces ; 260 segments de mur ; 0 transitions. Inspection physique ; architecture complète encore ouverte.</x:v>
      </x:c>
      <x:c r="H1653" s="115" t="str">
        <x:v>L 1520 ; l 1840 ; hauteur 8 m ; choix de composition auteur ; dimensions réelles à documenter</x:v>
      </x:c>
      <x:c r="I1653" s="115" t="str">
        <x:v>À équilibrer</x:v>
      </x:c>
      <x:c r="J1653" s="115" t="str">
        <x:v>Non</x:v>
      </x:c>
      <x:c r="K1653" s="115" t="str">
        <x:v>Pièces décrites, murs, portes, niveaux et mobilier inspectables à l’échelle. Volumes réservés, raccord au seed, butin, rencontres et services de campagne restent à terminer.</x:v>
      </x:c>
    </x:row>
    <x:row r="1654" ht="96" customHeight="1">
      <x:c r="A1654" s="115" t="str">
        <x:v>EXT-MONDE-T033-V49</x:v>
      </x:c>
      <x:c r="B1654" s="115" t="str">
        <x:v>EXT-MONDE-T033</x:v>
      </x:c>
      <x:c r="C1654" s="115" t="str">
        <x:v>Échangeurs</x:v>
      </x:c>
      <x:c r="D1654" s="115" t="str">
        <x:v>Échangeur en losange</x:v>
      </x:c>
      <x:c r="E1654" s="115" t="n">
        <x:v>49</x:v>
      </x:c>
      <x:c r="F1654" s="115" t="str">
        <x:v>Inspection physique</x:v>
      </x:c>
      <x:c r="G1654" s="115" t="str">
        <x:v>1 niveaux ; 34 pièces ; 260 segments de mur ; 0 transitions. Inspection physique ; architecture complète encore ouverte.</x:v>
      </x:c>
      <x:c r="H1654" s="115" t="str">
        <x:v>L 1520 ; l 1840 ; hauteur 8 m ; choix de composition auteur ; dimensions réelles à documenter</x:v>
      </x:c>
      <x:c r="I1654" s="115" t="str">
        <x:v>À équilibrer</x:v>
      </x:c>
      <x:c r="J1654" s="115" t="str">
        <x:v>Non</x:v>
      </x:c>
      <x:c r="K1654" s="115" t="str">
        <x:v>Pièces décrites, murs, portes, niveaux et mobilier inspectables à l’échelle. Volumes réservés, raccord au seed, butin, rencontres et services de campagne restent à terminer.</x:v>
      </x:c>
    </x:row>
    <x:row r="1655" ht="96" customHeight="1">
      <x:c r="A1655" s="115" t="str">
        <x:v>EXT-MONDE-T033-V50</x:v>
      </x:c>
      <x:c r="B1655" s="115" t="str">
        <x:v>EXT-MONDE-T033</x:v>
      </x:c>
      <x:c r="C1655" s="115" t="str">
        <x:v>Échangeurs</x:v>
      </x:c>
      <x:c r="D1655" s="115" t="str">
        <x:v>Échangeur en losange</x:v>
      </x:c>
      <x:c r="E1655" s="115" t="n">
        <x:v>50</x:v>
      </x:c>
      <x:c r="F1655" s="115" t="str">
        <x:v>Inspection physique</x:v>
      </x:c>
      <x:c r="G1655" s="115" t="str">
        <x:v>1 niveaux ; 34 pièces ; 260 segments de mur ; 0 transitions. Inspection physique ; architecture complète encore ouverte.</x:v>
      </x:c>
      <x:c r="H1655" s="115" t="str">
        <x:v>L 1520 ; l 1840 ; hauteur 8 m ; choix de composition auteur ; dimensions réelles à documenter</x:v>
      </x:c>
      <x:c r="I1655" s="115" t="str">
        <x:v>À équilibrer</x:v>
      </x:c>
      <x:c r="J1655" s="115" t="str">
        <x:v>Non</x:v>
      </x:c>
      <x:c r="K1655" s="115" t="str">
        <x:v>Pièces décrites, murs, portes, niveaux et mobilier inspectables à l’échelle. Volumes réservés, raccord au seed, butin, rencontres et services de campagne restent à terminer.</x:v>
      </x:c>
    </x:row>
    <x:row r="1656" ht="96" customHeight="1">
      <x:c r="A1656" s="115" t="str">
        <x:v>EXT-MONDE-T034-V01</x:v>
      </x:c>
      <x:c r="B1656" s="115" t="str">
        <x:v>EXT-MONDE-T034</x:v>
      </x:c>
      <x:c r="C1656" s="115" t="str">
        <x:v>Échangeurs</x:v>
      </x:c>
      <x:c r="D1656" s="115" t="str">
        <x:v>Échangeur en trompette</x:v>
      </x:c>
      <x:c r="E1656" s="115" t="n">
        <x:v>1</x:v>
      </x:c>
      <x:c r="F1656" s="115" t="str">
        <x:v>Inspection physique</x:v>
      </x:c>
      <x:c r="G1656" s="115" t="str">
        <x:v>1 niveaux ; 34 pièces ; 260 segments de mur ; 0 transitions. Inspection physique ; architecture complète encore ouverte.</x:v>
      </x:c>
      <x:c r="H1656" s="115" t="str">
        <x:v>L 1200 ; l 1200 ; hauteur 8 m ; choix de composition auteur ; dimensions réelles à documenter</x:v>
      </x:c>
      <x:c r="I1656" s="115" t="str">
        <x:v>À équilibrer</x:v>
      </x:c>
      <x:c r="J1656" s="115" t="str">
        <x:v>Non</x:v>
      </x:c>
      <x:c r="K1656" s="115" t="str">
        <x:v>Pièces décrites, murs, portes, niveaux et mobilier inspectables à l’échelle. Volumes réservés, raccord au seed, butin, rencontres et services de campagne restent à terminer.</x:v>
      </x:c>
    </x:row>
    <x:row r="1657" ht="96" customHeight="1">
      <x:c r="A1657" s="115" t="str">
        <x:v>EXT-MONDE-T034-V02</x:v>
      </x:c>
      <x:c r="B1657" s="115" t="str">
        <x:v>EXT-MONDE-T034</x:v>
      </x:c>
      <x:c r="C1657" s="115" t="str">
        <x:v>Échangeurs</x:v>
      </x:c>
      <x:c r="D1657" s="115" t="str">
        <x:v>Échangeur en trompette</x:v>
      </x:c>
      <x:c r="E1657" s="115" t="n">
        <x:v>2</x:v>
      </x:c>
      <x:c r="F1657" s="115" t="str">
        <x:v>Inspection physique</x:v>
      </x:c>
      <x:c r="G1657" s="115" t="str">
        <x:v>1 niveaux ; 34 pièces ; 260 segments de mur ; 0 transitions. Inspection physique ; architecture complète encore ouverte.</x:v>
      </x:c>
      <x:c r="H1657" s="115" t="str">
        <x:v>L 1200 ; l 1200 ; hauteur 8 m ; choix de composition auteur ; dimensions réelles à documenter</x:v>
      </x:c>
      <x:c r="I1657" s="115" t="str">
        <x:v>À équilibrer</x:v>
      </x:c>
      <x:c r="J1657" s="115" t="str">
        <x:v>Non</x:v>
      </x:c>
      <x:c r="K1657" s="115" t="str">
        <x:v>Pièces décrites, murs, portes, niveaux et mobilier inspectables à l’échelle. Volumes réservés, raccord au seed, butin, rencontres et services de campagne restent à terminer.</x:v>
      </x:c>
    </x:row>
    <x:row r="1658" ht="96" customHeight="1">
      <x:c r="A1658" s="115" t="str">
        <x:v>EXT-MONDE-T034-V03</x:v>
      </x:c>
      <x:c r="B1658" s="115" t="str">
        <x:v>EXT-MONDE-T034</x:v>
      </x:c>
      <x:c r="C1658" s="115" t="str">
        <x:v>Échangeurs</x:v>
      </x:c>
      <x:c r="D1658" s="115" t="str">
        <x:v>Échangeur en trompette</x:v>
      </x:c>
      <x:c r="E1658" s="115" t="n">
        <x:v>3</x:v>
      </x:c>
      <x:c r="F1658" s="115" t="str">
        <x:v>Inspection physique</x:v>
      </x:c>
      <x:c r="G1658" s="115" t="str">
        <x:v>1 niveaux ; 34 pièces ; 260 segments de mur ; 0 transitions. Inspection physique ; architecture complète encore ouverte.</x:v>
      </x:c>
      <x:c r="H1658" s="115" t="str">
        <x:v>L 1200 ; l 1200 ; hauteur 8 m ; choix de composition auteur ; dimensions réelles à documenter</x:v>
      </x:c>
      <x:c r="I1658" s="115" t="str">
        <x:v>À équilibrer</x:v>
      </x:c>
      <x:c r="J1658" s="115" t="str">
        <x:v>Non</x:v>
      </x:c>
      <x:c r="K1658" s="115" t="str">
        <x:v>Pièces décrites, murs, portes, niveaux et mobilier inspectables à l’échelle. Volumes réservés, raccord au seed, butin, rencontres et services de campagne restent à terminer.</x:v>
      </x:c>
    </x:row>
    <x:row r="1659" ht="96" customHeight="1">
      <x:c r="A1659" s="115" t="str">
        <x:v>EXT-MONDE-T034-V04</x:v>
      </x:c>
      <x:c r="B1659" s="115" t="str">
        <x:v>EXT-MONDE-T034</x:v>
      </x:c>
      <x:c r="C1659" s="115" t="str">
        <x:v>Échangeurs</x:v>
      </x:c>
      <x:c r="D1659" s="115" t="str">
        <x:v>Échangeur en trompette</x:v>
      </x:c>
      <x:c r="E1659" s="115" t="n">
        <x:v>4</x:v>
      </x:c>
      <x:c r="F1659" s="115" t="str">
        <x:v>Inspection physique</x:v>
      </x:c>
      <x:c r="G1659" s="115" t="str">
        <x:v>1 niveaux ; 34 pièces ; 260 segments de mur ; 0 transitions. Inspection physique ; architecture complète encore ouverte.</x:v>
      </x:c>
      <x:c r="H1659" s="115" t="str">
        <x:v>L 1200 ; l 1200 ; hauteur 8 m ; choix de composition auteur ; dimensions réelles à documenter</x:v>
      </x:c>
      <x:c r="I1659" s="115" t="str">
        <x:v>À équilibrer</x:v>
      </x:c>
      <x:c r="J1659" s="115" t="str">
        <x:v>Non</x:v>
      </x:c>
      <x:c r="K1659" s="115" t="str">
        <x:v>Pièces décrites, murs, portes, niveaux et mobilier inspectables à l’échelle. Volumes réservés, raccord au seed, butin, rencontres et services de campagne restent à terminer.</x:v>
      </x:c>
    </x:row>
    <x:row r="1660" ht="96" customHeight="1">
      <x:c r="A1660" s="115" t="str">
        <x:v>EXT-MONDE-T034-V05</x:v>
      </x:c>
      <x:c r="B1660" s="115" t="str">
        <x:v>EXT-MONDE-T034</x:v>
      </x:c>
      <x:c r="C1660" s="115" t="str">
        <x:v>Échangeurs</x:v>
      </x:c>
      <x:c r="D1660" s="115" t="str">
        <x:v>Échangeur en trompette</x:v>
      </x:c>
      <x:c r="E1660" s="115" t="n">
        <x:v>5</x:v>
      </x:c>
      <x:c r="F1660" s="115" t="str">
        <x:v>Inspection physique</x:v>
      </x:c>
      <x:c r="G1660" s="115" t="str">
        <x:v>1 niveaux ; 34 pièces ; 260 segments de mur ; 0 transitions. Inspection physique ; architecture complète encore ouverte.</x:v>
      </x:c>
      <x:c r="H1660" s="115" t="str">
        <x:v>L 1200 ; l 1200 ; hauteur 8 m ; choix de composition auteur ; dimensions réelles à documenter</x:v>
      </x:c>
      <x:c r="I1660" s="115" t="str">
        <x:v>À équilibrer</x:v>
      </x:c>
      <x:c r="J1660" s="115" t="str">
        <x:v>Non</x:v>
      </x:c>
      <x:c r="K1660" s="115" t="str">
        <x:v>Pièces décrites, murs, portes, niveaux et mobilier inspectables à l’échelle. Volumes réservés, raccord au seed, butin, rencontres et services de campagne restent à terminer.</x:v>
      </x:c>
    </x:row>
    <x:row r="1661" ht="96" customHeight="1">
      <x:c r="A1661" s="115" t="str">
        <x:v>EXT-MONDE-T034-V06</x:v>
      </x:c>
      <x:c r="B1661" s="115" t="str">
        <x:v>EXT-MONDE-T034</x:v>
      </x:c>
      <x:c r="C1661" s="115" t="str">
        <x:v>Échangeurs</x:v>
      </x:c>
      <x:c r="D1661" s="115" t="str">
        <x:v>Échangeur en trompette</x:v>
      </x:c>
      <x:c r="E1661" s="115" t="n">
        <x:v>6</x:v>
      </x:c>
      <x:c r="F1661" s="115" t="str">
        <x:v>Inspection physique</x:v>
      </x:c>
      <x:c r="G1661" s="115" t="str">
        <x:v>1 niveaux ; 34 pièces ; 260 segments de mur ; 0 transitions. Inspection physique ; architecture complète encore ouverte.</x:v>
      </x:c>
      <x:c r="H1661" s="115" t="str">
        <x:v>L 1200 ; l 1200 ; hauteur 8 m ; choix de composition auteur ; dimensions réelles à documenter</x:v>
      </x:c>
      <x:c r="I1661" s="115" t="str">
        <x:v>À équilibrer</x:v>
      </x:c>
      <x:c r="J1661" s="115" t="str">
        <x:v>Non</x:v>
      </x:c>
      <x:c r="K1661" s="115" t="str">
        <x:v>Pièces décrites, murs, portes, niveaux et mobilier inspectables à l’échelle. Volumes réservés, raccord au seed, butin, rencontres et services de campagne restent à terminer.</x:v>
      </x:c>
    </x:row>
    <x:row r="1662" ht="96" customHeight="1">
      <x:c r="A1662" s="115" t="str">
        <x:v>EXT-MONDE-T034-V07</x:v>
      </x:c>
      <x:c r="B1662" s="115" t="str">
        <x:v>EXT-MONDE-T034</x:v>
      </x:c>
      <x:c r="C1662" s="115" t="str">
        <x:v>Échangeurs</x:v>
      </x:c>
      <x:c r="D1662" s="115" t="str">
        <x:v>Échangeur en trompette</x:v>
      </x:c>
      <x:c r="E1662" s="115" t="n">
        <x:v>7</x:v>
      </x:c>
      <x:c r="F1662" s="115" t="str">
        <x:v>Inspection physique</x:v>
      </x:c>
      <x:c r="G1662" s="115" t="str">
        <x:v>1 niveaux ; 34 pièces ; 260 segments de mur ; 0 transitions. Inspection physique ; architecture complète encore ouverte.</x:v>
      </x:c>
      <x:c r="H1662" s="115" t="str">
        <x:v>L 1200 ; l 1200 ; hauteur 8 m ; choix de composition auteur ; dimensions réelles à documenter</x:v>
      </x:c>
      <x:c r="I1662" s="115" t="str">
        <x:v>À équilibrer</x:v>
      </x:c>
      <x:c r="J1662" s="115" t="str">
        <x:v>Non</x:v>
      </x:c>
      <x:c r="K1662" s="115" t="str">
        <x:v>Pièces décrites, murs, portes, niveaux et mobilier inspectables à l’échelle. Volumes réservés, raccord au seed, butin, rencontres et services de campagne restent à terminer.</x:v>
      </x:c>
    </x:row>
    <x:row r="1663" ht="96" customHeight="1">
      <x:c r="A1663" s="115" t="str">
        <x:v>EXT-MONDE-T034-V08</x:v>
      </x:c>
      <x:c r="B1663" s="115" t="str">
        <x:v>EXT-MONDE-T034</x:v>
      </x:c>
      <x:c r="C1663" s="115" t="str">
        <x:v>Échangeurs</x:v>
      </x:c>
      <x:c r="D1663" s="115" t="str">
        <x:v>Échangeur en trompette</x:v>
      </x:c>
      <x:c r="E1663" s="115" t="n">
        <x:v>8</x:v>
      </x:c>
      <x:c r="F1663" s="115" t="str">
        <x:v>Inspection physique</x:v>
      </x:c>
      <x:c r="G1663" s="115" t="str">
        <x:v>1 niveaux ; 34 pièces ; 260 segments de mur ; 0 transitions. Inspection physique ; architecture complète encore ouverte.</x:v>
      </x:c>
      <x:c r="H1663" s="115" t="str">
        <x:v>L 1200 ; l 1200 ; hauteur 8 m ; choix de composition auteur ; dimensions réelles à documenter</x:v>
      </x:c>
      <x:c r="I1663" s="115" t="str">
        <x:v>À équilibrer</x:v>
      </x:c>
      <x:c r="J1663" s="115" t="str">
        <x:v>Non</x:v>
      </x:c>
      <x:c r="K1663" s="115" t="str">
        <x:v>Pièces décrites, murs, portes, niveaux et mobilier inspectables à l’échelle. Volumes réservés, raccord au seed, butin, rencontres et services de campagne restent à terminer.</x:v>
      </x:c>
    </x:row>
    <x:row r="1664" ht="96" customHeight="1">
      <x:c r="A1664" s="115" t="str">
        <x:v>EXT-MONDE-T034-V09</x:v>
      </x:c>
      <x:c r="B1664" s="115" t="str">
        <x:v>EXT-MONDE-T034</x:v>
      </x:c>
      <x:c r="C1664" s="115" t="str">
        <x:v>Échangeurs</x:v>
      </x:c>
      <x:c r="D1664" s="115" t="str">
        <x:v>Échangeur en trompette</x:v>
      </x:c>
      <x:c r="E1664" s="115" t="n">
        <x:v>9</x:v>
      </x:c>
      <x:c r="F1664" s="115" t="str">
        <x:v>Inspection physique</x:v>
      </x:c>
      <x:c r="G1664" s="115" t="str">
        <x:v>1 niveaux ; 34 pièces ; 260 segments de mur ; 0 transitions. Inspection physique ; architecture complète encore ouverte.</x:v>
      </x:c>
      <x:c r="H1664" s="115" t="str">
        <x:v>L 1200 ; l 1200 ; hauteur 8 m ; choix de composition auteur ; dimensions réelles à documenter</x:v>
      </x:c>
      <x:c r="I1664" s="115" t="str">
        <x:v>À équilibrer</x:v>
      </x:c>
      <x:c r="J1664" s="115" t="str">
        <x:v>Non</x:v>
      </x:c>
      <x:c r="K1664" s="115" t="str">
        <x:v>Pièces décrites, murs, portes, niveaux et mobilier inspectables à l’échelle. Volumes réservés, raccord au seed, butin, rencontres et services de campagne restent à terminer.</x:v>
      </x:c>
    </x:row>
    <x:row r="1665" ht="96" customHeight="1">
      <x:c r="A1665" s="115" t="str">
        <x:v>EXT-MONDE-T034-V10</x:v>
      </x:c>
      <x:c r="B1665" s="115" t="str">
        <x:v>EXT-MONDE-T034</x:v>
      </x:c>
      <x:c r="C1665" s="115" t="str">
        <x:v>Échangeurs</x:v>
      </x:c>
      <x:c r="D1665" s="115" t="str">
        <x:v>Échangeur en trompette</x:v>
      </x:c>
      <x:c r="E1665" s="115" t="n">
        <x:v>10</x:v>
      </x:c>
      <x:c r="F1665" s="115" t="str">
        <x:v>Inspection physique</x:v>
      </x:c>
      <x:c r="G1665" s="115" t="str">
        <x:v>1 niveaux ; 34 pièces ; 260 segments de mur ; 0 transitions. Inspection physique ; architecture complète encore ouverte.</x:v>
      </x:c>
      <x:c r="H1665" s="115" t="str">
        <x:v>L 1200 ; l 1200 ; hauteur 8 m ; choix de composition auteur ; dimensions réelles à documenter</x:v>
      </x:c>
      <x:c r="I1665" s="115" t="str">
        <x:v>À équilibrer</x:v>
      </x:c>
      <x:c r="J1665" s="115" t="str">
        <x:v>Non</x:v>
      </x:c>
      <x:c r="K1665" s="115" t="str">
        <x:v>Pièces décrites, murs, portes, niveaux et mobilier inspectables à l’échelle. Volumes réservés, raccord au seed, butin, rencontres et services de campagne restent à terminer.</x:v>
      </x:c>
    </x:row>
    <x:row r="1666" ht="96" customHeight="1">
      <x:c r="A1666" s="115" t="str">
        <x:v>EXT-MONDE-T034-V11</x:v>
      </x:c>
      <x:c r="B1666" s="115" t="str">
        <x:v>EXT-MONDE-T034</x:v>
      </x:c>
      <x:c r="C1666" s="115" t="str">
        <x:v>Échangeurs</x:v>
      </x:c>
      <x:c r="D1666" s="115" t="str">
        <x:v>Échangeur en trompette</x:v>
      </x:c>
      <x:c r="E1666" s="115" t="n">
        <x:v>11</x:v>
      </x:c>
      <x:c r="F1666" s="115" t="str">
        <x:v>Inspection physique</x:v>
      </x:c>
      <x:c r="G1666" s="115" t="str">
        <x:v>1 niveaux ; 34 pièces ; 260 segments de mur ; 0 transitions. Inspection physique ; architecture complète encore ouverte.</x:v>
      </x:c>
      <x:c r="H1666" s="115" t="str">
        <x:v>L 1280 ; l 1360 ; hauteur 8 m ; choix de composition auteur ; dimensions réelles à documenter</x:v>
      </x:c>
      <x:c r="I1666" s="115" t="str">
        <x:v>À équilibrer</x:v>
      </x:c>
      <x:c r="J1666" s="115" t="str">
        <x:v>Non</x:v>
      </x:c>
      <x:c r="K1666" s="115" t="str">
        <x:v>Pièces décrites, murs, portes, niveaux et mobilier inspectables à l’échelle. Volumes réservés, raccord au seed, butin, rencontres et services de campagne restent à terminer.</x:v>
      </x:c>
    </x:row>
    <x:row r="1667" ht="96" customHeight="1">
      <x:c r="A1667" s="115" t="str">
        <x:v>EXT-MONDE-T034-V12</x:v>
      </x:c>
      <x:c r="B1667" s="115" t="str">
        <x:v>EXT-MONDE-T034</x:v>
      </x:c>
      <x:c r="C1667" s="115" t="str">
        <x:v>Échangeurs</x:v>
      </x:c>
      <x:c r="D1667" s="115" t="str">
        <x:v>Échangeur en trompette</x:v>
      </x:c>
      <x:c r="E1667" s="115" t="n">
        <x:v>12</x:v>
      </x:c>
      <x:c r="F1667" s="115" t="str">
        <x:v>Inspection physique</x:v>
      </x:c>
      <x:c r="G1667" s="115" t="str">
        <x:v>1 niveaux ; 34 pièces ; 260 segments de mur ; 0 transitions. Inspection physique ; architecture complète encore ouverte.</x:v>
      </x:c>
      <x:c r="H1667" s="115" t="str">
        <x:v>L 1280 ; l 1360 ; hauteur 8 m ; choix de composition auteur ; dimensions réelles à documenter</x:v>
      </x:c>
      <x:c r="I1667" s="115" t="str">
        <x:v>À équilibrer</x:v>
      </x:c>
      <x:c r="J1667" s="115" t="str">
        <x:v>Non</x:v>
      </x:c>
      <x:c r="K1667" s="115" t="str">
        <x:v>Pièces décrites, murs, portes, niveaux et mobilier inspectables à l’échelle. Volumes réservés, raccord au seed, butin, rencontres et services de campagne restent à terminer.</x:v>
      </x:c>
    </x:row>
    <x:row r="1668" ht="96" customHeight="1">
      <x:c r="A1668" s="115" t="str">
        <x:v>EXT-MONDE-T034-V13</x:v>
      </x:c>
      <x:c r="B1668" s="115" t="str">
        <x:v>EXT-MONDE-T034</x:v>
      </x:c>
      <x:c r="C1668" s="115" t="str">
        <x:v>Échangeurs</x:v>
      </x:c>
      <x:c r="D1668" s="115" t="str">
        <x:v>Échangeur en trompette</x:v>
      </x:c>
      <x:c r="E1668" s="115" t="n">
        <x:v>13</x:v>
      </x:c>
      <x:c r="F1668" s="115" t="str">
        <x:v>Inspection physique</x:v>
      </x:c>
      <x:c r="G1668" s="115" t="str">
        <x:v>1 niveaux ; 34 pièces ; 260 segments de mur ; 0 transitions. Inspection physique ; architecture complète encore ouverte.</x:v>
      </x:c>
      <x:c r="H1668" s="115" t="str">
        <x:v>L 1280 ; l 1360 ; hauteur 8 m ; choix de composition auteur ; dimensions réelles à documenter</x:v>
      </x:c>
      <x:c r="I1668" s="115" t="str">
        <x:v>À équilibrer</x:v>
      </x:c>
      <x:c r="J1668" s="115" t="str">
        <x:v>Non</x:v>
      </x:c>
      <x:c r="K1668" s="115" t="str">
        <x:v>Pièces décrites, murs, portes, niveaux et mobilier inspectables à l’échelle. Volumes réservés, raccord au seed, butin, rencontres et services de campagne restent à terminer.</x:v>
      </x:c>
    </x:row>
    <x:row r="1669" ht="96" customHeight="1">
      <x:c r="A1669" s="115" t="str">
        <x:v>EXT-MONDE-T034-V14</x:v>
      </x:c>
      <x:c r="B1669" s="115" t="str">
        <x:v>EXT-MONDE-T034</x:v>
      </x:c>
      <x:c r="C1669" s="115" t="str">
        <x:v>Échangeurs</x:v>
      </x:c>
      <x:c r="D1669" s="115" t="str">
        <x:v>Échangeur en trompette</x:v>
      </x:c>
      <x:c r="E1669" s="115" t="n">
        <x:v>14</x:v>
      </x:c>
      <x:c r="F1669" s="115" t="str">
        <x:v>Inspection physique</x:v>
      </x:c>
      <x:c r="G1669" s="115" t="str">
        <x:v>1 niveaux ; 34 pièces ; 260 segments de mur ; 0 transitions. Inspection physique ; architecture complète encore ouverte.</x:v>
      </x:c>
      <x:c r="H1669" s="115" t="str">
        <x:v>L 1280 ; l 1360 ; hauteur 8 m ; choix de composition auteur ; dimensions réelles à documenter</x:v>
      </x:c>
      <x:c r="I1669" s="115" t="str">
        <x:v>À équilibrer</x:v>
      </x:c>
      <x:c r="J1669" s="115" t="str">
        <x:v>Non</x:v>
      </x:c>
      <x:c r="K1669" s="115" t="str">
        <x:v>Pièces décrites, murs, portes, niveaux et mobilier inspectables à l’échelle. Volumes réservés, raccord au seed, butin, rencontres et services de campagne restent à terminer.</x:v>
      </x:c>
    </x:row>
    <x:row r="1670" ht="96" customHeight="1">
      <x:c r="A1670" s="115" t="str">
        <x:v>EXT-MONDE-T034-V15</x:v>
      </x:c>
      <x:c r="B1670" s="115" t="str">
        <x:v>EXT-MONDE-T034</x:v>
      </x:c>
      <x:c r="C1670" s="115" t="str">
        <x:v>Échangeurs</x:v>
      </x:c>
      <x:c r="D1670" s="115" t="str">
        <x:v>Échangeur en trompette</x:v>
      </x:c>
      <x:c r="E1670" s="115" t="n">
        <x:v>15</x:v>
      </x:c>
      <x:c r="F1670" s="115" t="str">
        <x:v>Inspection physique</x:v>
      </x:c>
      <x:c r="G1670" s="115" t="str">
        <x:v>1 niveaux ; 34 pièces ; 260 segments de mur ; 0 transitions. Inspection physique ; architecture complète encore ouverte.</x:v>
      </x:c>
      <x:c r="H1670" s="115" t="str">
        <x:v>L 1280 ; l 1360 ; hauteur 8 m ; choix de composition auteur ; dimensions réelles à documenter</x:v>
      </x:c>
      <x:c r="I1670" s="115" t="str">
        <x:v>À équilibrer</x:v>
      </x:c>
      <x:c r="J1670" s="115" t="str">
        <x:v>Non</x:v>
      </x:c>
      <x:c r="K1670" s="115" t="str">
        <x:v>Pièces décrites, murs, portes, niveaux et mobilier inspectables à l’échelle. Volumes réservés, raccord au seed, butin, rencontres et services de campagne restent à terminer.</x:v>
      </x:c>
    </x:row>
    <x:row r="1671" ht="96" customHeight="1">
      <x:c r="A1671" s="115" t="str">
        <x:v>EXT-MONDE-T034-V16</x:v>
      </x:c>
      <x:c r="B1671" s="115" t="str">
        <x:v>EXT-MONDE-T034</x:v>
      </x:c>
      <x:c r="C1671" s="115" t="str">
        <x:v>Échangeurs</x:v>
      </x:c>
      <x:c r="D1671" s="115" t="str">
        <x:v>Échangeur en trompette</x:v>
      </x:c>
      <x:c r="E1671" s="115" t="n">
        <x:v>16</x:v>
      </x:c>
      <x:c r="F1671" s="115" t="str">
        <x:v>Inspection physique</x:v>
      </x:c>
      <x:c r="G1671" s="115" t="str">
        <x:v>1 niveaux ; 34 pièces ; 260 segments de mur ; 0 transitions. Inspection physique ; architecture complète encore ouverte.</x:v>
      </x:c>
      <x:c r="H1671" s="115" t="str">
        <x:v>L 1280 ; l 1360 ; hauteur 8 m ; choix de composition auteur ; dimensions réelles à documenter</x:v>
      </x:c>
      <x:c r="I1671" s="115" t="str">
        <x:v>À équilibrer</x:v>
      </x:c>
      <x:c r="J1671" s="115" t="str">
        <x:v>Non</x:v>
      </x:c>
      <x:c r="K1671" s="115" t="str">
        <x:v>Pièces décrites, murs, portes, niveaux et mobilier inspectables à l’échelle. Volumes réservés, raccord au seed, butin, rencontres et services de campagne restent à terminer.</x:v>
      </x:c>
    </x:row>
    <x:row r="1672" ht="96" customHeight="1">
      <x:c r="A1672" s="115" t="str">
        <x:v>EXT-MONDE-T034-V17</x:v>
      </x:c>
      <x:c r="B1672" s="115" t="str">
        <x:v>EXT-MONDE-T034</x:v>
      </x:c>
      <x:c r="C1672" s="115" t="str">
        <x:v>Échangeurs</x:v>
      </x:c>
      <x:c r="D1672" s="115" t="str">
        <x:v>Échangeur en trompette</x:v>
      </x:c>
      <x:c r="E1672" s="115" t="n">
        <x:v>17</x:v>
      </x:c>
      <x:c r="F1672" s="115" t="str">
        <x:v>Inspection physique</x:v>
      </x:c>
      <x:c r="G1672" s="115" t="str">
        <x:v>1 niveaux ; 34 pièces ; 260 segments de mur ; 0 transitions. Inspection physique ; architecture complète encore ouverte.</x:v>
      </x:c>
      <x:c r="H1672" s="115" t="str">
        <x:v>L 1280 ; l 1360 ; hauteur 8 m ; choix de composition auteur ; dimensions réelles à documenter</x:v>
      </x:c>
      <x:c r="I1672" s="115" t="str">
        <x:v>À équilibrer</x:v>
      </x:c>
      <x:c r="J1672" s="115" t="str">
        <x:v>Non</x:v>
      </x:c>
      <x:c r="K1672" s="115" t="str">
        <x:v>Pièces décrites, murs, portes, niveaux et mobilier inspectables à l’échelle. Volumes réservés, raccord au seed, butin, rencontres et services de campagne restent à terminer.</x:v>
      </x:c>
    </x:row>
    <x:row r="1673" ht="96" customHeight="1">
      <x:c r="A1673" s="115" t="str">
        <x:v>EXT-MONDE-T034-V18</x:v>
      </x:c>
      <x:c r="B1673" s="115" t="str">
        <x:v>EXT-MONDE-T034</x:v>
      </x:c>
      <x:c r="C1673" s="115" t="str">
        <x:v>Échangeurs</x:v>
      </x:c>
      <x:c r="D1673" s="115" t="str">
        <x:v>Échangeur en trompette</x:v>
      </x:c>
      <x:c r="E1673" s="115" t="n">
        <x:v>18</x:v>
      </x:c>
      <x:c r="F1673" s="115" t="str">
        <x:v>Inspection physique</x:v>
      </x:c>
      <x:c r="G1673" s="115" t="str">
        <x:v>1 niveaux ; 34 pièces ; 260 segments de mur ; 0 transitions. Inspection physique ; architecture complète encore ouverte.</x:v>
      </x:c>
      <x:c r="H1673" s="115" t="str">
        <x:v>L 1280 ; l 1360 ; hauteur 8 m ; choix de composition auteur ; dimensions réelles à documenter</x:v>
      </x:c>
      <x:c r="I1673" s="115" t="str">
        <x:v>À équilibrer</x:v>
      </x:c>
      <x:c r="J1673" s="115" t="str">
        <x:v>Non</x:v>
      </x:c>
      <x:c r="K1673" s="115" t="str">
        <x:v>Pièces décrites, murs, portes, niveaux et mobilier inspectables à l’échelle. Volumes réservés, raccord au seed, butin, rencontres et services de campagne restent à terminer.</x:v>
      </x:c>
    </x:row>
    <x:row r="1674" ht="96" customHeight="1">
      <x:c r="A1674" s="115" t="str">
        <x:v>EXT-MONDE-T034-V19</x:v>
      </x:c>
      <x:c r="B1674" s="115" t="str">
        <x:v>EXT-MONDE-T034</x:v>
      </x:c>
      <x:c r="C1674" s="115" t="str">
        <x:v>Échangeurs</x:v>
      </x:c>
      <x:c r="D1674" s="115" t="str">
        <x:v>Échangeur en trompette</x:v>
      </x:c>
      <x:c r="E1674" s="115" t="n">
        <x:v>19</x:v>
      </x:c>
      <x:c r="F1674" s="115" t="str">
        <x:v>Inspection physique</x:v>
      </x:c>
      <x:c r="G1674" s="115" t="str">
        <x:v>1 niveaux ; 34 pièces ; 260 segments de mur ; 0 transitions. Inspection physique ; architecture complète encore ouverte.</x:v>
      </x:c>
      <x:c r="H1674" s="115" t="str">
        <x:v>L 1280 ; l 1360 ; hauteur 8 m ; choix de composition auteur ; dimensions réelles à documenter</x:v>
      </x:c>
      <x:c r="I1674" s="115" t="str">
        <x:v>À équilibrer</x:v>
      </x:c>
      <x:c r="J1674" s="115" t="str">
        <x:v>Non</x:v>
      </x:c>
      <x:c r="K1674" s="115" t="str">
        <x:v>Pièces décrites, murs, portes, niveaux et mobilier inspectables à l’échelle. Volumes réservés, raccord au seed, butin, rencontres et services de campagne restent à terminer.</x:v>
      </x:c>
    </x:row>
    <x:row r="1675" ht="96" customHeight="1">
      <x:c r="A1675" s="115" t="str">
        <x:v>EXT-MONDE-T034-V20</x:v>
      </x:c>
      <x:c r="B1675" s="115" t="str">
        <x:v>EXT-MONDE-T034</x:v>
      </x:c>
      <x:c r="C1675" s="115" t="str">
        <x:v>Échangeurs</x:v>
      </x:c>
      <x:c r="D1675" s="115" t="str">
        <x:v>Échangeur en trompette</x:v>
      </x:c>
      <x:c r="E1675" s="115" t="n">
        <x:v>20</x:v>
      </x:c>
      <x:c r="F1675" s="115" t="str">
        <x:v>Inspection physique</x:v>
      </x:c>
      <x:c r="G1675" s="115" t="str">
        <x:v>1 niveaux ; 34 pièces ; 260 segments de mur ; 0 transitions. Inspection physique ; architecture complète encore ouverte.</x:v>
      </x:c>
      <x:c r="H1675" s="115" t="str">
        <x:v>L 1280 ; l 1360 ; hauteur 8 m ; choix de composition auteur ; dimensions réelles à documenter</x:v>
      </x:c>
      <x:c r="I1675" s="115" t="str">
        <x:v>À équilibrer</x:v>
      </x:c>
      <x:c r="J1675" s="115" t="str">
        <x:v>Non</x:v>
      </x:c>
      <x:c r="K1675" s="115" t="str">
        <x:v>Pièces décrites, murs, portes, niveaux et mobilier inspectables à l’échelle. Volumes réservés, raccord au seed, butin, rencontres et services de campagne restent à terminer.</x:v>
      </x:c>
    </x:row>
    <x:row r="1676" ht="96" customHeight="1">
      <x:c r="A1676" s="115" t="str">
        <x:v>EXT-MONDE-T034-V21</x:v>
      </x:c>
      <x:c r="B1676" s="115" t="str">
        <x:v>EXT-MONDE-T034</x:v>
      </x:c>
      <x:c r="C1676" s="115" t="str">
        <x:v>Échangeurs</x:v>
      </x:c>
      <x:c r="D1676" s="115" t="str">
        <x:v>Échangeur en trompette</x:v>
      </x:c>
      <x:c r="E1676" s="115" t="n">
        <x:v>21</x:v>
      </x:c>
      <x:c r="F1676" s="115" t="str">
        <x:v>Inspection physique</x:v>
      </x:c>
      <x:c r="G1676" s="115" t="str">
        <x:v>1 niveaux ; 34 pièces ; 260 segments de mur ; 0 transitions. Inspection physique ; architecture complète encore ouverte.</x:v>
      </x:c>
      <x:c r="H1676" s="115" t="str">
        <x:v>L 1360 ; l 1520 ; hauteur 8 m ; choix de composition auteur ; dimensions réelles à documenter</x:v>
      </x:c>
      <x:c r="I1676" s="115" t="str">
        <x:v>À équilibrer</x:v>
      </x:c>
      <x:c r="J1676" s="115" t="str">
        <x:v>Non</x:v>
      </x:c>
      <x:c r="K1676" s="115" t="str">
        <x:v>Pièces décrites, murs, portes, niveaux et mobilier inspectables à l’échelle. Volumes réservés, raccord au seed, butin, rencontres et services de campagne restent à terminer.</x:v>
      </x:c>
    </x:row>
    <x:row r="1677" ht="96" customHeight="1">
      <x:c r="A1677" s="115" t="str">
        <x:v>EXT-MONDE-T034-V22</x:v>
      </x:c>
      <x:c r="B1677" s="115" t="str">
        <x:v>EXT-MONDE-T034</x:v>
      </x:c>
      <x:c r="C1677" s="115" t="str">
        <x:v>Échangeurs</x:v>
      </x:c>
      <x:c r="D1677" s="115" t="str">
        <x:v>Échangeur en trompette</x:v>
      </x:c>
      <x:c r="E1677" s="115" t="n">
        <x:v>22</x:v>
      </x:c>
      <x:c r="F1677" s="115" t="str">
        <x:v>Inspection physique</x:v>
      </x:c>
      <x:c r="G1677" s="115" t="str">
        <x:v>1 niveaux ; 34 pièces ; 260 segments de mur ; 0 transitions. Inspection physique ; architecture complète encore ouverte.</x:v>
      </x:c>
      <x:c r="H1677" s="115" t="str">
        <x:v>L 1360 ; l 1520 ; hauteur 8 m ; choix de composition auteur ; dimensions réelles à documenter</x:v>
      </x:c>
      <x:c r="I1677" s="115" t="str">
        <x:v>À équilibrer</x:v>
      </x:c>
      <x:c r="J1677" s="115" t="str">
        <x:v>Non</x:v>
      </x:c>
      <x:c r="K1677" s="115" t="str">
        <x:v>Pièces décrites, murs, portes, niveaux et mobilier inspectables à l’échelle. Volumes réservés, raccord au seed, butin, rencontres et services de campagne restent à terminer.</x:v>
      </x:c>
    </x:row>
    <x:row r="1678" ht="96" customHeight="1">
      <x:c r="A1678" s="115" t="str">
        <x:v>EXT-MONDE-T034-V23</x:v>
      </x:c>
      <x:c r="B1678" s="115" t="str">
        <x:v>EXT-MONDE-T034</x:v>
      </x:c>
      <x:c r="C1678" s="115" t="str">
        <x:v>Échangeurs</x:v>
      </x:c>
      <x:c r="D1678" s="115" t="str">
        <x:v>Échangeur en trompette</x:v>
      </x:c>
      <x:c r="E1678" s="115" t="n">
        <x:v>23</x:v>
      </x:c>
      <x:c r="F1678" s="115" t="str">
        <x:v>Inspection physique</x:v>
      </x:c>
      <x:c r="G1678" s="115" t="str">
        <x:v>1 niveaux ; 34 pièces ; 260 segments de mur ; 0 transitions. Inspection physique ; architecture complète encore ouverte.</x:v>
      </x:c>
      <x:c r="H1678" s="115" t="str">
        <x:v>L 1360 ; l 1520 ; hauteur 8 m ; choix de composition auteur ; dimensions réelles à documenter</x:v>
      </x:c>
      <x:c r="I1678" s="115" t="str">
        <x:v>À équilibrer</x:v>
      </x:c>
      <x:c r="J1678" s="115" t="str">
        <x:v>Non</x:v>
      </x:c>
      <x:c r="K1678" s="115" t="str">
        <x:v>Pièces décrites, murs, portes, niveaux et mobilier inspectables à l’échelle. Volumes réservés, raccord au seed, butin, rencontres et services de campagne restent à terminer.</x:v>
      </x:c>
    </x:row>
    <x:row r="1679" ht="96" customHeight="1">
      <x:c r="A1679" s="115" t="str">
        <x:v>EXT-MONDE-T034-V24</x:v>
      </x:c>
      <x:c r="B1679" s="115" t="str">
        <x:v>EXT-MONDE-T034</x:v>
      </x:c>
      <x:c r="C1679" s="115" t="str">
        <x:v>Échangeurs</x:v>
      </x:c>
      <x:c r="D1679" s="115" t="str">
        <x:v>Échangeur en trompette</x:v>
      </x:c>
      <x:c r="E1679" s="115" t="n">
        <x:v>24</x:v>
      </x:c>
      <x:c r="F1679" s="115" t="str">
        <x:v>Inspection physique</x:v>
      </x:c>
      <x:c r="G1679" s="115" t="str">
        <x:v>1 niveaux ; 34 pièces ; 260 segments de mur ; 0 transitions. Inspection physique ; architecture complète encore ouverte.</x:v>
      </x:c>
      <x:c r="H1679" s="115" t="str">
        <x:v>L 1360 ; l 1520 ; hauteur 8 m ; choix de composition auteur ; dimensions réelles à documenter</x:v>
      </x:c>
      <x:c r="I1679" s="115" t="str">
        <x:v>À équilibrer</x:v>
      </x:c>
      <x:c r="J1679" s="115" t="str">
        <x:v>Non</x:v>
      </x:c>
      <x:c r="K1679" s="115" t="str">
        <x:v>Pièces décrites, murs, portes, niveaux et mobilier inspectables à l’échelle. Volumes réservés, raccord au seed, butin, rencontres et services de campagne restent à terminer.</x:v>
      </x:c>
    </x:row>
    <x:row r="1680" ht="96" customHeight="1">
      <x:c r="A1680" s="115" t="str">
        <x:v>EXT-MONDE-T034-V25</x:v>
      </x:c>
      <x:c r="B1680" s="115" t="str">
        <x:v>EXT-MONDE-T034</x:v>
      </x:c>
      <x:c r="C1680" s="115" t="str">
        <x:v>Échangeurs</x:v>
      </x:c>
      <x:c r="D1680" s="115" t="str">
        <x:v>Échangeur en trompette</x:v>
      </x:c>
      <x:c r="E1680" s="115" t="n">
        <x:v>25</x:v>
      </x:c>
      <x:c r="F1680" s="115" t="str">
        <x:v>Inspection physique</x:v>
      </x:c>
      <x:c r="G1680" s="115" t="str">
        <x:v>1 niveaux ; 34 pièces ; 260 segments de mur ; 0 transitions. Inspection physique ; architecture complète encore ouverte.</x:v>
      </x:c>
      <x:c r="H1680" s="115" t="str">
        <x:v>L 1360 ; l 1520 ; hauteur 8 m ; choix de composition auteur ; dimensions réelles à documenter</x:v>
      </x:c>
      <x:c r="I1680" s="115" t="str">
        <x:v>À équilibrer</x:v>
      </x:c>
      <x:c r="J1680" s="115" t="str">
        <x:v>Non</x:v>
      </x:c>
      <x:c r="K1680" s="115" t="str">
        <x:v>Pièces décrites, murs, portes, niveaux et mobilier inspectables à l’échelle. Volumes réservés, raccord au seed, butin, rencontres et services de campagne restent à terminer.</x:v>
      </x:c>
    </x:row>
    <x:row r="1681" ht="96" customHeight="1">
      <x:c r="A1681" s="115" t="str">
        <x:v>EXT-MONDE-T034-V26</x:v>
      </x:c>
      <x:c r="B1681" s="115" t="str">
        <x:v>EXT-MONDE-T034</x:v>
      </x:c>
      <x:c r="C1681" s="115" t="str">
        <x:v>Échangeurs</x:v>
      </x:c>
      <x:c r="D1681" s="115" t="str">
        <x:v>Échangeur en trompette</x:v>
      </x:c>
      <x:c r="E1681" s="115" t="n">
        <x:v>26</x:v>
      </x:c>
      <x:c r="F1681" s="115" t="str">
        <x:v>Inspection physique</x:v>
      </x:c>
      <x:c r="G1681" s="115" t="str">
        <x:v>1 niveaux ; 34 pièces ; 260 segments de mur ; 0 transitions. Inspection physique ; architecture complète encore ouverte.</x:v>
      </x:c>
      <x:c r="H1681" s="115" t="str">
        <x:v>L 1360 ; l 1520 ; hauteur 8 m ; choix de composition auteur ; dimensions réelles à documenter</x:v>
      </x:c>
      <x:c r="I1681" s="115" t="str">
        <x:v>À équilibrer</x:v>
      </x:c>
      <x:c r="J1681" s="115" t="str">
        <x:v>Non</x:v>
      </x:c>
      <x:c r="K1681" s="115" t="str">
        <x:v>Pièces décrites, murs, portes, niveaux et mobilier inspectables à l’échelle. Volumes réservés, raccord au seed, butin, rencontres et services de campagne restent à terminer.</x:v>
      </x:c>
    </x:row>
    <x:row r="1682" ht="96" customHeight="1">
      <x:c r="A1682" s="115" t="str">
        <x:v>EXT-MONDE-T034-V27</x:v>
      </x:c>
      <x:c r="B1682" s="115" t="str">
        <x:v>EXT-MONDE-T034</x:v>
      </x:c>
      <x:c r="C1682" s="115" t="str">
        <x:v>Échangeurs</x:v>
      </x:c>
      <x:c r="D1682" s="115" t="str">
        <x:v>Échangeur en trompette</x:v>
      </x:c>
      <x:c r="E1682" s="115" t="n">
        <x:v>27</x:v>
      </x:c>
      <x:c r="F1682" s="115" t="str">
        <x:v>Inspection physique</x:v>
      </x:c>
      <x:c r="G1682" s="115" t="str">
        <x:v>1 niveaux ; 34 pièces ; 260 segments de mur ; 0 transitions. Inspection physique ; architecture complète encore ouverte.</x:v>
      </x:c>
      <x:c r="H1682" s="115" t="str">
        <x:v>L 1360 ; l 1520 ; hauteur 8 m ; choix de composition auteur ; dimensions réelles à documenter</x:v>
      </x:c>
      <x:c r="I1682" s="115" t="str">
        <x:v>À équilibrer</x:v>
      </x:c>
      <x:c r="J1682" s="115" t="str">
        <x:v>Non</x:v>
      </x:c>
      <x:c r="K1682" s="115" t="str">
        <x:v>Pièces décrites, murs, portes, niveaux et mobilier inspectables à l’échelle. Volumes réservés, raccord au seed, butin, rencontres et services de campagne restent à terminer.</x:v>
      </x:c>
    </x:row>
    <x:row r="1683" ht="96" customHeight="1">
      <x:c r="A1683" s="115" t="str">
        <x:v>EXT-MONDE-T034-V28</x:v>
      </x:c>
      <x:c r="B1683" s="115" t="str">
        <x:v>EXT-MONDE-T034</x:v>
      </x:c>
      <x:c r="C1683" s="115" t="str">
        <x:v>Échangeurs</x:v>
      </x:c>
      <x:c r="D1683" s="115" t="str">
        <x:v>Échangeur en trompette</x:v>
      </x:c>
      <x:c r="E1683" s="115" t="n">
        <x:v>28</x:v>
      </x:c>
      <x:c r="F1683" s="115" t="str">
        <x:v>Inspection physique</x:v>
      </x:c>
      <x:c r="G1683" s="115" t="str">
        <x:v>1 niveaux ; 34 pièces ; 260 segments de mur ; 0 transitions. Inspection physique ; architecture complète encore ouverte.</x:v>
      </x:c>
      <x:c r="H1683" s="115" t="str">
        <x:v>L 1360 ; l 1520 ; hauteur 8 m ; choix de composition auteur ; dimensions réelles à documenter</x:v>
      </x:c>
      <x:c r="I1683" s="115" t="str">
        <x:v>À équilibrer</x:v>
      </x:c>
      <x:c r="J1683" s="115" t="str">
        <x:v>Non</x:v>
      </x:c>
      <x:c r="K1683" s="115" t="str">
        <x:v>Pièces décrites, murs, portes, niveaux et mobilier inspectables à l’échelle. Volumes réservés, raccord au seed, butin, rencontres et services de campagne restent à terminer.</x:v>
      </x:c>
    </x:row>
    <x:row r="1684" ht="96" customHeight="1">
      <x:c r="A1684" s="115" t="str">
        <x:v>EXT-MONDE-T034-V29</x:v>
      </x:c>
      <x:c r="B1684" s="115" t="str">
        <x:v>EXT-MONDE-T034</x:v>
      </x:c>
      <x:c r="C1684" s="115" t="str">
        <x:v>Échangeurs</x:v>
      </x:c>
      <x:c r="D1684" s="115" t="str">
        <x:v>Échangeur en trompette</x:v>
      </x:c>
      <x:c r="E1684" s="115" t="n">
        <x:v>29</x:v>
      </x:c>
      <x:c r="F1684" s="115" t="str">
        <x:v>Inspection physique</x:v>
      </x:c>
      <x:c r="G1684" s="115" t="str">
        <x:v>1 niveaux ; 34 pièces ; 260 segments de mur ; 0 transitions. Inspection physique ; architecture complète encore ouverte.</x:v>
      </x:c>
      <x:c r="H1684" s="115" t="str">
        <x:v>L 1360 ; l 1520 ; hauteur 8 m ; choix de composition auteur ; dimensions réelles à documenter</x:v>
      </x:c>
      <x:c r="I1684" s="115" t="str">
        <x:v>À équilibrer</x:v>
      </x:c>
      <x:c r="J1684" s="115" t="str">
        <x:v>Non</x:v>
      </x:c>
      <x:c r="K1684" s="115" t="str">
        <x:v>Pièces décrites, murs, portes, niveaux et mobilier inspectables à l’échelle. Volumes réservés, raccord au seed, butin, rencontres et services de campagne restent à terminer.</x:v>
      </x:c>
    </x:row>
    <x:row r="1685" ht="96" customHeight="1">
      <x:c r="A1685" s="115" t="str">
        <x:v>EXT-MONDE-T034-V30</x:v>
      </x:c>
      <x:c r="B1685" s="115" t="str">
        <x:v>EXT-MONDE-T034</x:v>
      </x:c>
      <x:c r="C1685" s="115" t="str">
        <x:v>Échangeurs</x:v>
      </x:c>
      <x:c r="D1685" s="115" t="str">
        <x:v>Échangeur en trompette</x:v>
      </x:c>
      <x:c r="E1685" s="115" t="n">
        <x:v>30</x:v>
      </x:c>
      <x:c r="F1685" s="115" t="str">
        <x:v>Inspection physique</x:v>
      </x:c>
      <x:c r="G1685" s="115" t="str">
        <x:v>1 niveaux ; 34 pièces ; 260 segments de mur ; 0 transitions. Inspection physique ; architecture complète encore ouverte.</x:v>
      </x:c>
      <x:c r="H1685" s="115" t="str">
        <x:v>L 1360 ; l 1520 ; hauteur 8 m ; choix de composition auteur ; dimensions réelles à documenter</x:v>
      </x:c>
      <x:c r="I1685" s="115" t="str">
        <x:v>À équilibrer</x:v>
      </x:c>
      <x:c r="J1685" s="115" t="str">
        <x:v>Non</x:v>
      </x:c>
      <x:c r="K1685" s="115" t="str">
        <x:v>Pièces décrites, murs, portes, niveaux et mobilier inspectables à l’échelle. Volumes réservés, raccord au seed, butin, rencontres et services de campagne restent à terminer.</x:v>
      </x:c>
    </x:row>
    <x:row r="1686" ht="96" customHeight="1">
      <x:c r="A1686" s="115" t="str">
        <x:v>EXT-MONDE-T034-V31</x:v>
      </x:c>
      <x:c r="B1686" s="115" t="str">
        <x:v>EXT-MONDE-T034</x:v>
      </x:c>
      <x:c r="C1686" s="115" t="str">
        <x:v>Échangeurs</x:v>
      </x:c>
      <x:c r="D1686" s="115" t="str">
        <x:v>Échangeur en trompette</x:v>
      </x:c>
      <x:c r="E1686" s="115" t="n">
        <x:v>31</x:v>
      </x:c>
      <x:c r="F1686" s="115" t="str">
        <x:v>Inspection physique</x:v>
      </x:c>
      <x:c r="G1686" s="115" t="str">
        <x:v>1 niveaux ; 34 pièces ; 260 segments de mur ; 0 transitions. Inspection physique ; architecture complète encore ouverte.</x:v>
      </x:c>
      <x:c r="H1686" s="115" t="str">
        <x:v>L 1440 ; l 1680 ; hauteur 8 m ; choix de composition auteur ; dimensions réelles à documenter</x:v>
      </x:c>
      <x:c r="I1686" s="115" t="str">
        <x:v>À équilibrer</x:v>
      </x:c>
      <x:c r="J1686" s="115" t="str">
        <x:v>Non</x:v>
      </x:c>
      <x:c r="K1686" s="115" t="str">
        <x:v>Pièces décrites, murs, portes, niveaux et mobilier inspectables à l’échelle. Volumes réservés, raccord au seed, butin, rencontres et services de campagne restent à terminer.</x:v>
      </x:c>
    </x:row>
    <x:row r="1687" ht="96" customHeight="1">
      <x:c r="A1687" s="115" t="str">
        <x:v>EXT-MONDE-T034-V32</x:v>
      </x:c>
      <x:c r="B1687" s="115" t="str">
        <x:v>EXT-MONDE-T034</x:v>
      </x:c>
      <x:c r="C1687" s="115" t="str">
        <x:v>Échangeurs</x:v>
      </x:c>
      <x:c r="D1687" s="115" t="str">
        <x:v>Échangeur en trompette</x:v>
      </x:c>
      <x:c r="E1687" s="115" t="n">
        <x:v>32</x:v>
      </x:c>
      <x:c r="F1687" s="115" t="str">
        <x:v>Inspection physique</x:v>
      </x:c>
      <x:c r="G1687" s="115" t="str">
        <x:v>1 niveaux ; 34 pièces ; 260 segments de mur ; 0 transitions. Inspection physique ; architecture complète encore ouverte.</x:v>
      </x:c>
      <x:c r="H1687" s="115" t="str">
        <x:v>L 1440 ; l 1680 ; hauteur 8 m ; choix de composition auteur ; dimensions réelles à documenter</x:v>
      </x:c>
      <x:c r="I1687" s="115" t="str">
        <x:v>À équilibrer</x:v>
      </x:c>
      <x:c r="J1687" s="115" t="str">
        <x:v>Non</x:v>
      </x:c>
      <x:c r="K1687" s="115" t="str">
        <x:v>Pièces décrites, murs, portes, niveaux et mobilier inspectables à l’échelle. Volumes réservés, raccord au seed, butin, rencontres et services de campagne restent à terminer.</x:v>
      </x:c>
    </x:row>
    <x:row r="1688" ht="96" customHeight="1">
      <x:c r="A1688" s="115" t="str">
        <x:v>EXT-MONDE-T034-V33</x:v>
      </x:c>
      <x:c r="B1688" s="115" t="str">
        <x:v>EXT-MONDE-T034</x:v>
      </x:c>
      <x:c r="C1688" s="115" t="str">
        <x:v>Échangeurs</x:v>
      </x:c>
      <x:c r="D1688" s="115" t="str">
        <x:v>Échangeur en trompette</x:v>
      </x:c>
      <x:c r="E1688" s="115" t="n">
        <x:v>33</x:v>
      </x:c>
      <x:c r="F1688" s="115" t="str">
        <x:v>Inspection physique</x:v>
      </x:c>
      <x:c r="G1688" s="115" t="str">
        <x:v>1 niveaux ; 34 pièces ; 260 segments de mur ; 0 transitions. Inspection physique ; architecture complète encore ouverte.</x:v>
      </x:c>
      <x:c r="H1688" s="115" t="str">
        <x:v>L 1440 ; l 1680 ; hauteur 8 m ; choix de composition auteur ; dimensions réelles à documenter</x:v>
      </x:c>
      <x:c r="I1688" s="115" t="str">
        <x:v>À équilibrer</x:v>
      </x:c>
      <x:c r="J1688" s="115" t="str">
        <x:v>Non</x:v>
      </x:c>
      <x:c r="K1688" s="115" t="str">
        <x:v>Pièces décrites, murs, portes, niveaux et mobilier inspectables à l’échelle. Volumes réservés, raccord au seed, butin, rencontres et services de campagne restent à terminer.</x:v>
      </x:c>
    </x:row>
    <x:row r="1689" ht="96" customHeight="1">
      <x:c r="A1689" s="115" t="str">
        <x:v>EXT-MONDE-T034-V34</x:v>
      </x:c>
      <x:c r="B1689" s="115" t="str">
        <x:v>EXT-MONDE-T034</x:v>
      </x:c>
      <x:c r="C1689" s="115" t="str">
        <x:v>Échangeurs</x:v>
      </x:c>
      <x:c r="D1689" s="115" t="str">
        <x:v>Échangeur en trompette</x:v>
      </x:c>
      <x:c r="E1689" s="115" t="n">
        <x:v>34</x:v>
      </x:c>
      <x:c r="F1689" s="115" t="str">
        <x:v>Inspection physique</x:v>
      </x:c>
      <x:c r="G1689" s="115" t="str">
        <x:v>1 niveaux ; 34 pièces ; 260 segments de mur ; 0 transitions. Inspection physique ; architecture complète encore ouverte.</x:v>
      </x:c>
      <x:c r="H1689" s="115" t="str">
        <x:v>L 1440 ; l 1680 ; hauteur 8 m ; choix de composition auteur ; dimensions réelles à documenter</x:v>
      </x:c>
      <x:c r="I1689" s="115" t="str">
        <x:v>À équilibrer</x:v>
      </x:c>
      <x:c r="J1689" s="115" t="str">
        <x:v>Non</x:v>
      </x:c>
      <x:c r="K1689" s="115" t="str">
        <x:v>Pièces décrites, murs, portes, niveaux et mobilier inspectables à l’échelle. Volumes réservés, raccord au seed, butin, rencontres et services de campagne restent à terminer.</x:v>
      </x:c>
    </x:row>
    <x:row r="1690" ht="96" customHeight="1">
      <x:c r="A1690" s="115" t="str">
        <x:v>EXT-MONDE-T034-V35</x:v>
      </x:c>
      <x:c r="B1690" s="115" t="str">
        <x:v>EXT-MONDE-T034</x:v>
      </x:c>
      <x:c r="C1690" s="115" t="str">
        <x:v>Échangeurs</x:v>
      </x:c>
      <x:c r="D1690" s="115" t="str">
        <x:v>Échangeur en trompette</x:v>
      </x:c>
      <x:c r="E1690" s="115" t="n">
        <x:v>35</x:v>
      </x:c>
      <x:c r="F1690" s="115" t="str">
        <x:v>Inspection physique</x:v>
      </x:c>
      <x:c r="G1690" s="115" t="str">
        <x:v>1 niveaux ; 34 pièces ; 260 segments de mur ; 0 transitions. Inspection physique ; architecture complète encore ouverte.</x:v>
      </x:c>
      <x:c r="H1690" s="115" t="str">
        <x:v>L 1440 ; l 1680 ; hauteur 8 m ; choix de composition auteur ; dimensions réelles à documenter</x:v>
      </x:c>
      <x:c r="I1690" s="115" t="str">
        <x:v>À équilibrer</x:v>
      </x:c>
      <x:c r="J1690" s="115" t="str">
        <x:v>Non</x:v>
      </x:c>
      <x:c r="K1690" s="115" t="str">
        <x:v>Pièces décrites, murs, portes, niveaux et mobilier inspectables à l’échelle. Volumes réservés, raccord au seed, butin, rencontres et services de campagne restent à terminer.</x:v>
      </x:c>
    </x:row>
    <x:row r="1691" ht="96" customHeight="1">
      <x:c r="A1691" s="115" t="str">
        <x:v>EXT-MONDE-T034-V36</x:v>
      </x:c>
      <x:c r="B1691" s="115" t="str">
        <x:v>EXT-MONDE-T034</x:v>
      </x:c>
      <x:c r="C1691" s="115" t="str">
        <x:v>Échangeurs</x:v>
      </x:c>
      <x:c r="D1691" s="115" t="str">
        <x:v>Échangeur en trompette</x:v>
      </x:c>
      <x:c r="E1691" s="115" t="n">
        <x:v>36</x:v>
      </x:c>
      <x:c r="F1691" s="115" t="str">
        <x:v>Inspection physique</x:v>
      </x:c>
      <x:c r="G1691" s="115" t="str">
        <x:v>1 niveaux ; 34 pièces ; 260 segments de mur ; 0 transitions. Inspection physique ; architecture complète encore ouverte.</x:v>
      </x:c>
      <x:c r="H1691" s="115" t="str">
        <x:v>L 1440 ; l 1680 ; hauteur 8 m ; choix de composition auteur ; dimensions réelles à documenter</x:v>
      </x:c>
      <x:c r="I1691" s="115" t="str">
        <x:v>À équilibrer</x:v>
      </x:c>
      <x:c r="J1691" s="115" t="str">
        <x:v>Non</x:v>
      </x:c>
      <x:c r="K1691" s="115" t="str">
        <x:v>Pièces décrites, murs, portes, niveaux et mobilier inspectables à l’échelle. Volumes réservés, raccord au seed, butin, rencontres et services de campagne restent à terminer.</x:v>
      </x:c>
    </x:row>
    <x:row r="1692" ht="96" customHeight="1">
      <x:c r="A1692" s="115" t="str">
        <x:v>EXT-MONDE-T034-V37</x:v>
      </x:c>
      <x:c r="B1692" s="115" t="str">
        <x:v>EXT-MONDE-T034</x:v>
      </x:c>
      <x:c r="C1692" s="115" t="str">
        <x:v>Échangeurs</x:v>
      </x:c>
      <x:c r="D1692" s="115" t="str">
        <x:v>Échangeur en trompette</x:v>
      </x:c>
      <x:c r="E1692" s="115" t="n">
        <x:v>37</x:v>
      </x:c>
      <x:c r="F1692" s="115" t="str">
        <x:v>Inspection physique</x:v>
      </x:c>
      <x:c r="G1692" s="115" t="str">
        <x:v>1 niveaux ; 34 pièces ; 260 segments de mur ; 0 transitions. Inspection physique ; architecture complète encore ouverte.</x:v>
      </x:c>
      <x:c r="H1692" s="115" t="str">
        <x:v>L 1440 ; l 1680 ; hauteur 8 m ; choix de composition auteur ; dimensions réelles à documenter</x:v>
      </x:c>
      <x:c r="I1692" s="115" t="str">
        <x:v>À équilibrer</x:v>
      </x:c>
      <x:c r="J1692" s="115" t="str">
        <x:v>Non</x:v>
      </x:c>
      <x:c r="K1692" s="115" t="str">
        <x:v>Pièces décrites, murs, portes, niveaux et mobilier inspectables à l’échelle. Volumes réservés, raccord au seed, butin, rencontres et services de campagne restent à terminer.</x:v>
      </x:c>
    </x:row>
    <x:row r="1693" ht="96" customHeight="1">
      <x:c r="A1693" s="115" t="str">
        <x:v>EXT-MONDE-T034-V38</x:v>
      </x:c>
      <x:c r="B1693" s="115" t="str">
        <x:v>EXT-MONDE-T034</x:v>
      </x:c>
      <x:c r="C1693" s="115" t="str">
        <x:v>Échangeurs</x:v>
      </x:c>
      <x:c r="D1693" s="115" t="str">
        <x:v>Échangeur en trompette</x:v>
      </x:c>
      <x:c r="E1693" s="115" t="n">
        <x:v>38</x:v>
      </x:c>
      <x:c r="F1693" s="115" t="str">
        <x:v>Inspection physique</x:v>
      </x:c>
      <x:c r="G1693" s="115" t="str">
        <x:v>1 niveaux ; 34 pièces ; 260 segments de mur ; 0 transitions. Inspection physique ; architecture complète encore ouverte.</x:v>
      </x:c>
      <x:c r="H1693" s="115" t="str">
        <x:v>L 1440 ; l 1680 ; hauteur 8 m ; choix de composition auteur ; dimensions réelles à documenter</x:v>
      </x:c>
      <x:c r="I1693" s="115" t="str">
        <x:v>À équilibrer</x:v>
      </x:c>
      <x:c r="J1693" s="115" t="str">
        <x:v>Non</x:v>
      </x:c>
      <x:c r="K1693" s="115" t="str">
        <x:v>Pièces décrites, murs, portes, niveaux et mobilier inspectables à l’échelle. Volumes réservés, raccord au seed, butin, rencontres et services de campagne restent à terminer.</x:v>
      </x:c>
    </x:row>
    <x:row r="1694" ht="96" customHeight="1">
      <x:c r="A1694" s="115" t="str">
        <x:v>EXT-MONDE-T034-V39</x:v>
      </x:c>
      <x:c r="B1694" s="115" t="str">
        <x:v>EXT-MONDE-T034</x:v>
      </x:c>
      <x:c r="C1694" s="115" t="str">
        <x:v>Échangeurs</x:v>
      </x:c>
      <x:c r="D1694" s="115" t="str">
        <x:v>Échangeur en trompette</x:v>
      </x:c>
      <x:c r="E1694" s="115" t="n">
        <x:v>39</x:v>
      </x:c>
      <x:c r="F1694" s="115" t="str">
        <x:v>Inspection physique</x:v>
      </x:c>
      <x:c r="G1694" s="115" t="str">
        <x:v>1 niveaux ; 34 pièces ; 260 segments de mur ; 0 transitions. Inspection physique ; architecture complète encore ouverte.</x:v>
      </x:c>
      <x:c r="H1694" s="115" t="str">
        <x:v>L 1440 ; l 1680 ; hauteur 8 m ; choix de composition auteur ; dimensions réelles à documenter</x:v>
      </x:c>
      <x:c r="I1694" s="115" t="str">
        <x:v>À équilibrer</x:v>
      </x:c>
      <x:c r="J1694" s="115" t="str">
        <x:v>Non</x:v>
      </x:c>
      <x:c r="K1694" s="115" t="str">
        <x:v>Pièces décrites, murs, portes, niveaux et mobilier inspectables à l’échelle. Volumes réservés, raccord au seed, butin, rencontres et services de campagne restent à terminer.</x:v>
      </x:c>
    </x:row>
    <x:row r="1695" ht="96" customHeight="1">
      <x:c r="A1695" s="115" t="str">
        <x:v>EXT-MONDE-T034-V40</x:v>
      </x:c>
      <x:c r="B1695" s="115" t="str">
        <x:v>EXT-MONDE-T034</x:v>
      </x:c>
      <x:c r="C1695" s="115" t="str">
        <x:v>Échangeurs</x:v>
      </x:c>
      <x:c r="D1695" s="115" t="str">
        <x:v>Échangeur en trompette</x:v>
      </x:c>
      <x:c r="E1695" s="115" t="n">
        <x:v>40</x:v>
      </x:c>
      <x:c r="F1695" s="115" t="str">
        <x:v>Inspection physique</x:v>
      </x:c>
      <x:c r="G1695" s="115" t="str">
        <x:v>1 niveaux ; 34 pièces ; 260 segments de mur ; 0 transitions. Inspection physique ; architecture complète encore ouverte.</x:v>
      </x:c>
      <x:c r="H1695" s="115" t="str">
        <x:v>L 1440 ; l 1680 ; hauteur 8 m ; choix de composition auteur ; dimensions réelles à documenter</x:v>
      </x:c>
      <x:c r="I1695" s="115" t="str">
        <x:v>À équilibrer</x:v>
      </x:c>
      <x:c r="J1695" s="115" t="str">
        <x:v>Non</x:v>
      </x:c>
      <x:c r="K1695" s="115" t="str">
        <x:v>Pièces décrites, murs, portes, niveaux et mobilier inspectables à l’échelle. Volumes réservés, raccord au seed, butin, rencontres et services de campagne restent à terminer.</x:v>
      </x:c>
    </x:row>
    <x:row r="1696" ht="96" customHeight="1">
      <x:c r="A1696" s="115" t="str">
        <x:v>EXT-MONDE-T034-V41</x:v>
      </x:c>
      <x:c r="B1696" s="115" t="str">
        <x:v>EXT-MONDE-T034</x:v>
      </x:c>
      <x:c r="C1696" s="115" t="str">
        <x:v>Échangeurs</x:v>
      </x:c>
      <x:c r="D1696" s="115" t="str">
        <x:v>Échangeur en trompette</x:v>
      </x:c>
      <x:c r="E1696" s="115" t="n">
        <x:v>41</x:v>
      </x:c>
      <x:c r="F1696" s="115" t="str">
        <x:v>Inspection physique</x:v>
      </x:c>
      <x:c r="G1696" s="115" t="str">
        <x:v>1 niveaux ; 34 pièces ; 260 segments de mur ; 0 transitions. Inspection physique ; architecture complète encore ouverte.</x:v>
      </x:c>
      <x:c r="H1696" s="115" t="str">
        <x:v>L 1520 ; l 1840 ; hauteur 8 m ; choix de composition auteur ; dimensions réelles à documenter</x:v>
      </x:c>
      <x:c r="I1696" s="115" t="str">
        <x:v>À équilibrer</x:v>
      </x:c>
      <x:c r="J1696" s="115" t="str">
        <x:v>Non</x:v>
      </x:c>
      <x:c r="K1696" s="115" t="str">
        <x:v>Pièces décrites, murs, portes, niveaux et mobilier inspectables à l’échelle. Volumes réservés, raccord au seed, butin, rencontres et services de campagne restent à terminer.</x:v>
      </x:c>
    </x:row>
    <x:row r="1697" ht="96" customHeight="1">
      <x:c r="A1697" s="115" t="str">
        <x:v>EXT-MONDE-T034-V42</x:v>
      </x:c>
      <x:c r="B1697" s="115" t="str">
        <x:v>EXT-MONDE-T034</x:v>
      </x:c>
      <x:c r="C1697" s="115" t="str">
        <x:v>Échangeurs</x:v>
      </x:c>
      <x:c r="D1697" s="115" t="str">
        <x:v>Échangeur en trompette</x:v>
      </x:c>
      <x:c r="E1697" s="115" t="n">
        <x:v>42</x:v>
      </x:c>
      <x:c r="F1697" s="115" t="str">
        <x:v>Inspection physique</x:v>
      </x:c>
      <x:c r="G1697" s="115" t="str">
        <x:v>1 niveaux ; 34 pièces ; 260 segments de mur ; 0 transitions. Inspection physique ; architecture complète encore ouverte.</x:v>
      </x:c>
      <x:c r="H1697" s="115" t="str">
        <x:v>L 1520 ; l 1840 ; hauteur 8 m ; choix de composition auteur ; dimensions réelles à documenter</x:v>
      </x:c>
      <x:c r="I1697" s="115" t="str">
        <x:v>À équilibrer</x:v>
      </x:c>
      <x:c r="J1697" s="115" t="str">
        <x:v>Non</x:v>
      </x:c>
      <x:c r="K1697" s="115" t="str">
        <x:v>Pièces décrites, murs, portes, niveaux et mobilier inspectables à l’échelle. Volumes réservés, raccord au seed, butin, rencontres et services de campagne restent à terminer.</x:v>
      </x:c>
    </x:row>
    <x:row r="1698" ht="96" customHeight="1">
      <x:c r="A1698" s="115" t="str">
        <x:v>EXT-MONDE-T034-V43</x:v>
      </x:c>
      <x:c r="B1698" s="115" t="str">
        <x:v>EXT-MONDE-T034</x:v>
      </x:c>
      <x:c r="C1698" s="115" t="str">
        <x:v>Échangeurs</x:v>
      </x:c>
      <x:c r="D1698" s="115" t="str">
        <x:v>Échangeur en trompette</x:v>
      </x:c>
      <x:c r="E1698" s="115" t="n">
        <x:v>43</x:v>
      </x:c>
      <x:c r="F1698" s="115" t="str">
        <x:v>Inspection physique</x:v>
      </x:c>
      <x:c r="G1698" s="115" t="str">
        <x:v>1 niveaux ; 34 pièces ; 260 segments de mur ; 0 transitions. Inspection physique ; architecture complète encore ouverte.</x:v>
      </x:c>
      <x:c r="H1698" s="115" t="str">
        <x:v>L 1520 ; l 1840 ; hauteur 8 m ; choix de composition auteur ; dimensions réelles à documenter</x:v>
      </x:c>
      <x:c r="I1698" s="115" t="str">
        <x:v>À équilibrer</x:v>
      </x:c>
      <x:c r="J1698" s="115" t="str">
        <x:v>Non</x:v>
      </x:c>
      <x:c r="K1698" s="115" t="str">
        <x:v>Pièces décrites, murs, portes, niveaux et mobilier inspectables à l’échelle. Volumes réservés, raccord au seed, butin, rencontres et services de campagne restent à terminer.</x:v>
      </x:c>
    </x:row>
    <x:row r="1699" ht="96" customHeight="1">
      <x:c r="A1699" s="115" t="str">
        <x:v>EXT-MONDE-T034-V44</x:v>
      </x:c>
      <x:c r="B1699" s="115" t="str">
        <x:v>EXT-MONDE-T034</x:v>
      </x:c>
      <x:c r="C1699" s="115" t="str">
        <x:v>Échangeurs</x:v>
      </x:c>
      <x:c r="D1699" s="115" t="str">
        <x:v>Échangeur en trompette</x:v>
      </x:c>
      <x:c r="E1699" s="115" t="n">
        <x:v>44</x:v>
      </x:c>
      <x:c r="F1699" s="115" t="str">
        <x:v>Inspection physique</x:v>
      </x:c>
      <x:c r="G1699" s="115" t="str">
        <x:v>1 niveaux ; 34 pièces ; 260 segments de mur ; 0 transitions. Inspection physique ; architecture complète encore ouverte.</x:v>
      </x:c>
      <x:c r="H1699" s="115" t="str">
        <x:v>L 1520 ; l 1840 ; hauteur 8 m ; choix de composition auteur ; dimensions réelles à documenter</x:v>
      </x:c>
      <x:c r="I1699" s="115" t="str">
        <x:v>À équilibrer</x:v>
      </x:c>
      <x:c r="J1699" s="115" t="str">
        <x:v>Non</x:v>
      </x:c>
      <x:c r="K1699" s="115" t="str">
        <x:v>Pièces décrites, murs, portes, niveaux et mobilier inspectables à l’échelle. Volumes réservés, raccord au seed, butin, rencontres et services de campagne restent à terminer.</x:v>
      </x:c>
    </x:row>
    <x:row r="1700" ht="96" customHeight="1">
      <x:c r="A1700" s="115" t="str">
        <x:v>EXT-MONDE-T034-V45</x:v>
      </x:c>
      <x:c r="B1700" s="115" t="str">
        <x:v>EXT-MONDE-T034</x:v>
      </x:c>
      <x:c r="C1700" s="115" t="str">
        <x:v>Échangeurs</x:v>
      </x:c>
      <x:c r="D1700" s="115" t="str">
        <x:v>Échangeur en trompette</x:v>
      </x:c>
      <x:c r="E1700" s="115" t="n">
        <x:v>45</x:v>
      </x:c>
      <x:c r="F1700" s="115" t="str">
        <x:v>Inspection physique</x:v>
      </x:c>
      <x:c r="G1700" s="115" t="str">
        <x:v>1 niveaux ; 34 pièces ; 260 segments de mur ; 0 transitions. Inspection physique ; architecture complète encore ouverte.</x:v>
      </x:c>
      <x:c r="H1700" s="115" t="str">
        <x:v>L 1520 ; l 1840 ; hauteur 8 m ; choix de composition auteur ; dimensions réelles à documenter</x:v>
      </x:c>
      <x:c r="I1700" s="115" t="str">
        <x:v>À équilibrer</x:v>
      </x:c>
      <x:c r="J1700" s="115" t="str">
        <x:v>Non</x:v>
      </x:c>
      <x:c r="K1700" s="115" t="str">
        <x:v>Pièces décrites, murs, portes, niveaux et mobilier inspectables à l’échelle. Volumes réservés, raccord au seed, butin, rencontres et services de campagne restent à terminer.</x:v>
      </x:c>
    </x:row>
    <x:row r="1701" ht="96" customHeight="1">
      <x:c r="A1701" s="115" t="str">
        <x:v>EXT-MONDE-T034-V46</x:v>
      </x:c>
      <x:c r="B1701" s="115" t="str">
        <x:v>EXT-MONDE-T034</x:v>
      </x:c>
      <x:c r="C1701" s="115" t="str">
        <x:v>Échangeurs</x:v>
      </x:c>
      <x:c r="D1701" s="115" t="str">
        <x:v>Échangeur en trompette</x:v>
      </x:c>
      <x:c r="E1701" s="115" t="n">
        <x:v>46</x:v>
      </x:c>
      <x:c r="F1701" s="115" t="str">
        <x:v>Inspection physique</x:v>
      </x:c>
      <x:c r="G1701" s="115" t="str">
        <x:v>1 niveaux ; 34 pièces ; 260 segments de mur ; 0 transitions. Inspection physique ; architecture complète encore ouverte.</x:v>
      </x:c>
      <x:c r="H1701" s="115" t="str">
        <x:v>L 1520 ; l 1840 ; hauteur 8 m ; choix de composition auteur ; dimensions réelles à documenter</x:v>
      </x:c>
      <x:c r="I1701" s="115" t="str">
        <x:v>À équilibrer</x:v>
      </x:c>
      <x:c r="J1701" s="115" t="str">
        <x:v>Non</x:v>
      </x:c>
      <x:c r="K1701" s="115" t="str">
        <x:v>Pièces décrites, murs, portes, niveaux et mobilier inspectables à l’échelle. Volumes réservés, raccord au seed, butin, rencontres et services de campagne restent à terminer.</x:v>
      </x:c>
    </x:row>
    <x:row r="1702" ht="96" customHeight="1">
      <x:c r="A1702" s="115" t="str">
        <x:v>EXT-MONDE-T034-V47</x:v>
      </x:c>
      <x:c r="B1702" s="115" t="str">
        <x:v>EXT-MONDE-T034</x:v>
      </x:c>
      <x:c r="C1702" s="115" t="str">
        <x:v>Échangeurs</x:v>
      </x:c>
      <x:c r="D1702" s="115" t="str">
        <x:v>Échangeur en trompette</x:v>
      </x:c>
      <x:c r="E1702" s="115" t="n">
        <x:v>47</x:v>
      </x:c>
      <x:c r="F1702" s="115" t="str">
        <x:v>Inspection physique</x:v>
      </x:c>
      <x:c r="G1702" s="115" t="str">
        <x:v>1 niveaux ; 34 pièces ; 260 segments de mur ; 0 transitions. Inspection physique ; architecture complète encore ouverte.</x:v>
      </x:c>
      <x:c r="H1702" s="115" t="str">
        <x:v>L 1520 ; l 1840 ; hauteur 8 m ; choix de composition auteur ; dimensions réelles à documenter</x:v>
      </x:c>
      <x:c r="I1702" s="115" t="str">
        <x:v>À équilibrer</x:v>
      </x:c>
      <x:c r="J1702" s="115" t="str">
        <x:v>Non</x:v>
      </x:c>
      <x:c r="K1702" s="115" t="str">
        <x:v>Pièces décrites, murs, portes, niveaux et mobilier inspectables à l’échelle. Volumes réservés, raccord au seed, butin, rencontres et services de campagne restent à terminer.</x:v>
      </x:c>
    </x:row>
    <x:row r="1703" ht="96" customHeight="1">
      <x:c r="A1703" s="115" t="str">
        <x:v>EXT-MONDE-T034-V48</x:v>
      </x:c>
      <x:c r="B1703" s="115" t="str">
        <x:v>EXT-MONDE-T034</x:v>
      </x:c>
      <x:c r="C1703" s="115" t="str">
        <x:v>Échangeurs</x:v>
      </x:c>
      <x:c r="D1703" s="115" t="str">
        <x:v>Échangeur en trompette</x:v>
      </x:c>
      <x:c r="E1703" s="115" t="n">
        <x:v>48</x:v>
      </x:c>
      <x:c r="F1703" s="115" t="str">
        <x:v>Inspection physique</x:v>
      </x:c>
      <x:c r="G1703" s="115" t="str">
        <x:v>1 niveaux ; 34 pièces ; 260 segments de mur ; 0 transitions. Inspection physique ; architecture complète encore ouverte.</x:v>
      </x:c>
      <x:c r="H1703" s="115" t="str">
        <x:v>L 1520 ; l 1840 ; hauteur 8 m ; choix de composition auteur ; dimensions réelles à documenter</x:v>
      </x:c>
      <x:c r="I1703" s="115" t="str">
        <x:v>À équilibrer</x:v>
      </x:c>
      <x:c r="J1703" s="115" t="str">
        <x:v>Non</x:v>
      </x:c>
      <x:c r="K1703" s="115" t="str">
        <x:v>Pièces décrites, murs, portes, niveaux et mobilier inspectables à l’échelle. Volumes réservés, raccord au seed, butin, rencontres et services de campagne restent à terminer.</x:v>
      </x:c>
    </x:row>
    <x:row r="1704" ht="96" customHeight="1">
      <x:c r="A1704" s="115" t="str">
        <x:v>EXT-MONDE-T034-V49</x:v>
      </x:c>
      <x:c r="B1704" s="115" t="str">
        <x:v>EXT-MONDE-T034</x:v>
      </x:c>
      <x:c r="C1704" s="115" t="str">
        <x:v>Échangeurs</x:v>
      </x:c>
      <x:c r="D1704" s="115" t="str">
        <x:v>Échangeur en trompette</x:v>
      </x:c>
      <x:c r="E1704" s="115" t="n">
        <x:v>49</x:v>
      </x:c>
      <x:c r="F1704" s="115" t="str">
        <x:v>Inspection physique</x:v>
      </x:c>
      <x:c r="G1704" s="115" t="str">
        <x:v>1 niveaux ; 34 pièces ; 260 segments de mur ; 0 transitions. Inspection physique ; architecture complète encore ouverte.</x:v>
      </x:c>
      <x:c r="H1704" s="115" t="str">
        <x:v>L 1520 ; l 1840 ; hauteur 8 m ; choix de composition auteur ; dimensions réelles à documenter</x:v>
      </x:c>
      <x:c r="I1704" s="115" t="str">
        <x:v>À équilibrer</x:v>
      </x:c>
      <x:c r="J1704" s="115" t="str">
        <x:v>Non</x:v>
      </x:c>
      <x:c r="K1704" s="115" t="str">
        <x:v>Pièces décrites, murs, portes, niveaux et mobilier inspectables à l’échelle. Volumes réservés, raccord au seed, butin, rencontres et services de campagne restent à terminer.</x:v>
      </x:c>
    </x:row>
    <x:row r="1705" ht="96" customHeight="1">
      <x:c r="A1705" s="115" t="str">
        <x:v>EXT-MONDE-T034-V50</x:v>
      </x:c>
      <x:c r="B1705" s="115" t="str">
        <x:v>EXT-MONDE-T034</x:v>
      </x:c>
      <x:c r="C1705" s="115" t="str">
        <x:v>Échangeurs</x:v>
      </x:c>
      <x:c r="D1705" s="115" t="str">
        <x:v>Échangeur en trompette</x:v>
      </x:c>
      <x:c r="E1705" s="115" t="n">
        <x:v>50</x:v>
      </x:c>
      <x:c r="F1705" s="115" t="str">
        <x:v>Inspection physique</x:v>
      </x:c>
      <x:c r="G1705" s="115" t="str">
        <x:v>1 niveaux ; 34 pièces ; 260 segments de mur ; 0 transitions. Inspection physique ; architecture complète encore ouverte.</x:v>
      </x:c>
      <x:c r="H1705" s="115" t="str">
        <x:v>L 1520 ; l 1840 ; hauteur 8 m ; choix de composition auteur ; dimensions réelles à documenter</x:v>
      </x:c>
      <x:c r="I1705" s="115" t="str">
        <x:v>À équilibrer</x:v>
      </x:c>
      <x:c r="J1705" s="115" t="str">
        <x:v>Non</x:v>
      </x:c>
      <x:c r="K1705" s="115" t="str">
        <x:v>Pièces décrites, murs, portes, niveaux et mobilier inspectables à l’échelle. Volumes réservés, raccord au seed, butin, rencontres et services de campagne restent à terminer.</x:v>
      </x:c>
    </x:row>
    <x:row r="1706" ht="96" customHeight="1">
      <x:c r="A1706" s="115" t="str">
        <x:v>EXT-MONDE-T035-V01</x:v>
      </x:c>
      <x:c r="B1706" s="115" t="str">
        <x:v>EXT-MONDE-T035</x:v>
      </x:c>
      <x:c r="C1706" s="115" t="str">
        <x:v>Échangeurs</x:v>
      </x:c>
      <x:c r="D1706" s="115" t="str">
        <x:v>Trèfle autoroutier</x:v>
      </x:c>
      <x:c r="E1706" s="115" t="n">
        <x:v>1</x:v>
      </x:c>
      <x:c r="F1706" s="115" t="str">
        <x:v>Inspection physique</x:v>
      </x:c>
      <x:c r="G1706" s="115" t="str">
        <x:v>1 niveaux ; 34 pièces ; 260 segments de mur ; 0 transitions. Inspection physique ; architecture complète encore ouverte.</x:v>
      </x:c>
      <x:c r="H1706" s="115" t="str">
        <x:v>L 1400 ; l 1400 ; hauteur 8 m ; choix de composition auteur ; dimensions réelles à documenter</x:v>
      </x:c>
      <x:c r="I1706" s="115" t="str">
        <x:v>À équilibrer</x:v>
      </x:c>
      <x:c r="J1706" s="115" t="str">
        <x:v>Non</x:v>
      </x:c>
      <x:c r="K1706" s="115" t="str">
        <x:v>Pièces décrites, murs, portes, niveaux et mobilier inspectables à l’échelle. Volumes réservés, raccord au seed, butin, rencontres et services de campagne restent à terminer.</x:v>
      </x:c>
    </x:row>
    <x:row r="1707" ht="96" customHeight="1">
      <x:c r="A1707" s="115" t="str">
        <x:v>EXT-MONDE-T035-V02</x:v>
      </x:c>
      <x:c r="B1707" s="115" t="str">
        <x:v>EXT-MONDE-T035</x:v>
      </x:c>
      <x:c r="C1707" s="115" t="str">
        <x:v>Échangeurs</x:v>
      </x:c>
      <x:c r="D1707" s="115" t="str">
        <x:v>Trèfle autoroutier</x:v>
      </x:c>
      <x:c r="E1707" s="115" t="n">
        <x:v>2</x:v>
      </x:c>
      <x:c r="F1707" s="115" t="str">
        <x:v>Inspection physique</x:v>
      </x:c>
      <x:c r="G1707" s="115" t="str">
        <x:v>1 niveaux ; 34 pièces ; 260 segments de mur ; 0 transitions. Inspection physique ; architecture complète encore ouverte.</x:v>
      </x:c>
      <x:c r="H1707" s="115" t="str">
        <x:v>L 1400 ; l 1400 ; hauteur 8 m ; choix de composition auteur ; dimensions réelles à documenter</x:v>
      </x:c>
      <x:c r="I1707" s="115" t="str">
        <x:v>À équilibrer</x:v>
      </x:c>
      <x:c r="J1707" s="115" t="str">
        <x:v>Non</x:v>
      </x:c>
      <x:c r="K1707" s="115" t="str">
        <x:v>Pièces décrites, murs, portes, niveaux et mobilier inspectables à l’échelle. Volumes réservés, raccord au seed, butin, rencontres et services de campagne restent à terminer.</x:v>
      </x:c>
    </x:row>
    <x:row r="1708" ht="96" customHeight="1">
      <x:c r="A1708" s="115" t="str">
        <x:v>EXT-MONDE-T035-V03</x:v>
      </x:c>
      <x:c r="B1708" s="115" t="str">
        <x:v>EXT-MONDE-T035</x:v>
      </x:c>
      <x:c r="C1708" s="115" t="str">
        <x:v>Échangeurs</x:v>
      </x:c>
      <x:c r="D1708" s="115" t="str">
        <x:v>Trèfle autoroutier</x:v>
      </x:c>
      <x:c r="E1708" s="115" t="n">
        <x:v>3</x:v>
      </x:c>
      <x:c r="F1708" s="115" t="str">
        <x:v>Inspection physique</x:v>
      </x:c>
      <x:c r="G1708" s="115" t="str">
        <x:v>1 niveaux ; 34 pièces ; 260 segments de mur ; 0 transitions. Inspection physique ; architecture complète encore ouverte.</x:v>
      </x:c>
      <x:c r="H1708" s="115" t="str">
        <x:v>L 1400 ; l 1400 ; hauteur 8 m ; choix de composition auteur ; dimensions réelles à documenter</x:v>
      </x:c>
      <x:c r="I1708" s="115" t="str">
        <x:v>À équilibrer</x:v>
      </x:c>
      <x:c r="J1708" s="115" t="str">
        <x:v>Non</x:v>
      </x:c>
      <x:c r="K1708" s="115" t="str">
        <x:v>Pièces décrites, murs, portes, niveaux et mobilier inspectables à l’échelle. Volumes réservés, raccord au seed, butin, rencontres et services de campagne restent à terminer.</x:v>
      </x:c>
    </x:row>
    <x:row r="1709" ht="96" customHeight="1">
      <x:c r="A1709" s="115" t="str">
        <x:v>EXT-MONDE-T035-V04</x:v>
      </x:c>
      <x:c r="B1709" s="115" t="str">
        <x:v>EXT-MONDE-T035</x:v>
      </x:c>
      <x:c r="C1709" s="115" t="str">
        <x:v>Échangeurs</x:v>
      </x:c>
      <x:c r="D1709" s="115" t="str">
        <x:v>Trèfle autoroutier</x:v>
      </x:c>
      <x:c r="E1709" s="115" t="n">
        <x:v>4</x:v>
      </x:c>
      <x:c r="F1709" s="115" t="str">
        <x:v>Inspection physique</x:v>
      </x:c>
      <x:c r="G1709" s="115" t="str">
        <x:v>1 niveaux ; 34 pièces ; 260 segments de mur ; 0 transitions. Inspection physique ; architecture complète encore ouverte.</x:v>
      </x:c>
      <x:c r="H1709" s="115" t="str">
        <x:v>L 1400 ; l 1400 ; hauteur 8 m ; choix de composition auteur ; dimensions réelles à documenter</x:v>
      </x:c>
      <x:c r="I1709" s="115" t="str">
        <x:v>À équilibrer</x:v>
      </x:c>
      <x:c r="J1709" s="115" t="str">
        <x:v>Non</x:v>
      </x:c>
      <x:c r="K1709" s="115" t="str">
        <x:v>Pièces décrites, murs, portes, niveaux et mobilier inspectables à l’échelle. Volumes réservés, raccord au seed, butin, rencontres et services de campagne restent à terminer.</x:v>
      </x:c>
    </x:row>
    <x:row r="1710" ht="96" customHeight="1">
      <x:c r="A1710" s="115" t="str">
        <x:v>EXT-MONDE-T035-V05</x:v>
      </x:c>
      <x:c r="B1710" s="115" t="str">
        <x:v>EXT-MONDE-T035</x:v>
      </x:c>
      <x:c r="C1710" s="115" t="str">
        <x:v>Échangeurs</x:v>
      </x:c>
      <x:c r="D1710" s="115" t="str">
        <x:v>Trèfle autoroutier</x:v>
      </x:c>
      <x:c r="E1710" s="115" t="n">
        <x:v>5</x:v>
      </x:c>
      <x:c r="F1710" s="115" t="str">
        <x:v>Inspection physique</x:v>
      </x:c>
      <x:c r="G1710" s="115" t="str">
        <x:v>1 niveaux ; 34 pièces ; 260 segments de mur ; 0 transitions. Inspection physique ; architecture complète encore ouverte.</x:v>
      </x:c>
      <x:c r="H1710" s="115" t="str">
        <x:v>L 1400 ; l 1400 ; hauteur 8 m ; choix de composition auteur ; dimensions réelles à documenter</x:v>
      </x:c>
      <x:c r="I1710" s="115" t="str">
        <x:v>À équilibrer</x:v>
      </x:c>
      <x:c r="J1710" s="115" t="str">
        <x:v>Non</x:v>
      </x:c>
      <x:c r="K1710" s="115" t="str">
        <x:v>Pièces décrites, murs, portes, niveaux et mobilier inspectables à l’échelle. Volumes réservés, raccord au seed, butin, rencontres et services de campagne restent à terminer.</x:v>
      </x:c>
    </x:row>
    <x:row r="1711" ht="96" customHeight="1">
      <x:c r="A1711" s="115" t="str">
        <x:v>EXT-MONDE-T035-V06</x:v>
      </x:c>
      <x:c r="B1711" s="115" t="str">
        <x:v>EXT-MONDE-T035</x:v>
      </x:c>
      <x:c r="C1711" s="115" t="str">
        <x:v>Échangeurs</x:v>
      </x:c>
      <x:c r="D1711" s="115" t="str">
        <x:v>Trèfle autoroutier</x:v>
      </x:c>
      <x:c r="E1711" s="115" t="n">
        <x:v>6</x:v>
      </x:c>
      <x:c r="F1711" s="115" t="str">
        <x:v>Inspection physique</x:v>
      </x:c>
      <x:c r="G1711" s="115" t="str">
        <x:v>1 niveaux ; 34 pièces ; 260 segments de mur ; 0 transitions. Inspection physique ; architecture complète encore ouverte.</x:v>
      </x:c>
      <x:c r="H1711" s="115" t="str">
        <x:v>L 1400 ; l 1400 ; hauteur 8 m ; choix de composition auteur ; dimensions réelles à documenter</x:v>
      </x:c>
      <x:c r="I1711" s="115" t="str">
        <x:v>À équilibrer</x:v>
      </x:c>
      <x:c r="J1711" s="115" t="str">
        <x:v>Non</x:v>
      </x:c>
      <x:c r="K1711" s="115" t="str">
        <x:v>Pièces décrites, murs, portes, niveaux et mobilier inspectables à l’échelle. Volumes réservés, raccord au seed, butin, rencontres et services de campagne restent à terminer.</x:v>
      </x:c>
    </x:row>
    <x:row r="1712" ht="96" customHeight="1">
      <x:c r="A1712" s="115" t="str">
        <x:v>EXT-MONDE-T035-V07</x:v>
      </x:c>
      <x:c r="B1712" s="115" t="str">
        <x:v>EXT-MONDE-T035</x:v>
      </x:c>
      <x:c r="C1712" s="115" t="str">
        <x:v>Échangeurs</x:v>
      </x:c>
      <x:c r="D1712" s="115" t="str">
        <x:v>Trèfle autoroutier</x:v>
      </x:c>
      <x:c r="E1712" s="115" t="n">
        <x:v>7</x:v>
      </x:c>
      <x:c r="F1712" s="115" t="str">
        <x:v>Inspection physique</x:v>
      </x:c>
      <x:c r="G1712" s="115" t="str">
        <x:v>1 niveaux ; 34 pièces ; 260 segments de mur ; 0 transitions. Inspection physique ; architecture complète encore ouverte.</x:v>
      </x:c>
      <x:c r="H1712" s="115" t="str">
        <x:v>L 1400 ; l 1400 ; hauteur 8 m ; choix de composition auteur ; dimensions réelles à documenter</x:v>
      </x:c>
      <x:c r="I1712" s="115" t="str">
        <x:v>À équilibrer</x:v>
      </x:c>
      <x:c r="J1712" s="115" t="str">
        <x:v>Non</x:v>
      </x:c>
      <x:c r="K1712" s="115" t="str">
        <x:v>Pièces décrites, murs, portes, niveaux et mobilier inspectables à l’échelle. Volumes réservés, raccord au seed, butin, rencontres et services de campagne restent à terminer.</x:v>
      </x:c>
    </x:row>
    <x:row r="1713" ht="96" customHeight="1">
      <x:c r="A1713" s="115" t="str">
        <x:v>EXT-MONDE-T035-V08</x:v>
      </x:c>
      <x:c r="B1713" s="115" t="str">
        <x:v>EXT-MONDE-T035</x:v>
      </x:c>
      <x:c r="C1713" s="115" t="str">
        <x:v>Échangeurs</x:v>
      </x:c>
      <x:c r="D1713" s="115" t="str">
        <x:v>Trèfle autoroutier</x:v>
      </x:c>
      <x:c r="E1713" s="115" t="n">
        <x:v>8</x:v>
      </x:c>
      <x:c r="F1713" s="115" t="str">
        <x:v>Inspection physique</x:v>
      </x:c>
      <x:c r="G1713" s="115" t="str">
        <x:v>1 niveaux ; 34 pièces ; 260 segments de mur ; 0 transitions. Inspection physique ; architecture complète encore ouverte.</x:v>
      </x:c>
      <x:c r="H1713" s="115" t="str">
        <x:v>L 1400 ; l 1400 ; hauteur 8 m ; choix de composition auteur ; dimensions réelles à documenter</x:v>
      </x:c>
      <x:c r="I1713" s="115" t="str">
        <x:v>À équilibrer</x:v>
      </x:c>
      <x:c r="J1713" s="115" t="str">
        <x:v>Non</x:v>
      </x:c>
      <x:c r="K1713" s="115" t="str">
        <x:v>Pièces décrites, murs, portes, niveaux et mobilier inspectables à l’échelle. Volumes réservés, raccord au seed, butin, rencontres et services de campagne restent à terminer.</x:v>
      </x:c>
    </x:row>
    <x:row r="1714" ht="96" customHeight="1">
      <x:c r="A1714" s="115" t="str">
        <x:v>EXT-MONDE-T035-V09</x:v>
      </x:c>
      <x:c r="B1714" s="115" t="str">
        <x:v>EXT-MONDE-T035</x:v>
      </x:c>
      <x:c r="C1714" s="115" t="str">
        <x:v>Échangeurs</x:v>
      </x:c>
      <x:c r="D1714" s="115" t="str">
        <x:v>Trèfle autoroutier</x:v>
      </x:c>
      <x:c r="E1714" s="115" t="n">
        <x:v>9</x:v>
      </x:c>
      <x:c r="F1714" s="115" t="str">
        <x:v>Inspection physique</x:v>
      </x:c>
      <x:c r="G1714" s="115" t="str">
        <x:v>1 niveaux ; 34 pièces ; 260 segments de mur ; 0 transitions. Inspection physique ; architecture complète encore ouverte.</x:v>
      </x:c>
      <x:c r="H1714" s="115" t="str">
        <x:v>L 1400 ; l 1400 ; hauteur 8 m ; choix de composition auteur ; dimensions réelles à documenter</x:v>
      </x:c>
      <x:c r="I1714" s="115" t="str">
        <x:v>À équilibrer</x:v>
      </x:c>
      <x:c r="J1714" s="115" t="str">
        <x:v>Non</x:v>
      </x:c>
      <x:c r="K1714" s="115" t="str">
        <x:v>Pièces décrites, murs, portes, niveaux et mobilier inspectables à l’échelle. Volumes réservés, raccord au seed, butin, rencontres et services de campagne restent à terminer.</x:v>
      </x:c>
    </x:row>
    <x:row r="1715" ht="96" customHeight="1">
      <x:c r="A1715" s="115" t="str">
        <x:v>EXT-MONDE-T035-V10</x:v>
      </x:c>
      <x:c r="B1715" s="115" t="str">
        <x:v>EXT-MONDE-T035</x:v>
      </x:c>
      <x:c r="C1715" s="115" t="str">
        <x:v>Échangeurs</x:v>
      </x:c>
      <x:c r="D1715" s="115" t="str">
        <x:v>Trèfle autoroutier</x:v>
      </x:c>
      <x:c r="E1715" s="115" t="n">
        <x:v>10</x:v>
      </x:c>
      <x:c r="F1715" s="115" t="str">
        <x:v>Inspection physique</x:v>
      </x:c>
      <x:c r="G1715" s="115" t="str">
        <x:v>1 niveaux ; 34 pièces ; 260 segments de mur ; 0 transitions. Inspection physique ; architecture complète encore ouverte.</x:v>
      </x:c>
      <x:c r="H1715" s="115" t="str">
        <x:v>L 1400 ; l 1400 ; hauteur 8 m ; choix de composition auteur ; dimensions réelles à documenter</x:v>
      </x:c>
      <x:c r="I1715" s="115" t="str">
        <x:v>À équilibrer</x:v>
      </x:c>
      <x:c r="J1715" s="115" t="str">
        <x:v>Non</x:v>
      </x:c>
      <x:c r="K1715" s="115" t="str">
        <x:v>Pièces décrites, murs, portes, niveaux et mobilier inspectables à l’échelle. Volumes réservés, raccord au seed, butin, rencontres et services de campagne restent à terminer.</x:v>
      </x:c>
    </x:row>
    <x:row r="1716" ht="96" customHeight="1">
      <x:c r="A1716" s="115" t="str">
        <x:v>EXT-MONDE-T035-V11</x:v>
      </x:c>
      <x:c r="B1716" s="115" t="str">
        <x:v>EXT-MONDE-T035</x:v>
      </x:c>
      <x:c r="C1716" s="115" t="str">
        <x:v>Échangeurs</x:v>
      </x:c>
      <x:c r="D1716" s="115" t="str">
        <x:v>Trèfle autoroutier</x:v>
      </x:c>
      <x:c r="E1716" s="115" t="n">
        <x:v>11</x:v>
      </x:c>
      <x:c r="F1716" s="115" t="str">
        <x:v>Inspection physique</x:v>
      </x:c>
      <x:c r="G1716" s="115" t="str">
        <x:v>1 niveaux ; 34 pièces ; 260 segments de mur ; 0 transitions. Inspection physique ; architecture complète encore ouverte.</x:v>
      </x:c>
      <x:c r="H1716" s="115" t="str">
        <x:v>L 1480 ; l 1560 ; hauteur 8 m ; choix de composition auteur ; dimensions réelles à documenter</x:v>
      </x:c>
      <x:c r="I1716" s="115" t="str">
        <x:v>À équilibrer</x:v>
      </x:c>
      <x:c r="J1716" s="115" t="str">
        <x:v>Non</x:v>
      </x:c>
      <x:c r="K1716" s="115" t="str">
        <x:v>Pièces décrites, murs, portes, niveaux et mobilier inspectables à l’échelle. Volumes réservés, raccord au seed, butin, rencontres et services de campagne restent à terminer.</x:v>
      </x:c>
    </x:row>
    <x:row r="1717" ht="96" customHeight="1">
      <x:c r="A1717" s="115" t="str">
        <x:v>EXT-MONDE-T035-V12</x:v>
      </x:c>
      <x:c r="B1717" s="115" t="str">
        <x:v>EXT-MONDE-T035</x:v>
      </x:c>
      <x:c r="C1717" s="115" t="str">
        <x:v>Échangeurs</x:v>
      </x:c>
      <x:c r="D1717" s="115" t="str">
        <x:v>Trèfle autoroutier</x:v>
      </x:c>
      <x:c r="E1717" s="115" t="n">
        <x:v>12</x:v>
      </x:c>
      <x:c r="F1717" s="115" t="str">
        <x:v>Inspection physique</x:v>
      </x:c>
      <x:c r="G1717" s="115" t="str">
        <x:v>1 niveaux ; 34 pièces ; 260 segments de mur ; 0 transitions. Inspection physique ; architecture complète encore ouverte.</x:v>
      </x:c>
      <x:c r="H1717" s="115" t="str">
        <x:v>L 1480 ; l 1560 ; hauteur 8 m ; choix de composition auteur ; dimensions réelles à documenter</x:v>
      </x:c>
      <x:c r="I1717" s="115" t="str">
        <x:v>À équilibrer</x:v>
      </x:c>
      <x:c r="J1717" s="115" t="str">
        <x:v>Non</x:v>
      </x:c>
      <x:c r="K1717" s="115" t="str">
        <x:v>Pièces décrites, murs, portes, niveaux et mobilier inspectables à l’échelle. Volumes réservés, raccord au seed, butin, rencontres et services de campagne restent à terminer.</x:v>
      </x:c>
    </x:row>
    <x:row r="1718" ht="96" customHeight="1">
      <x:c r="A1718" s="115" t="str">
        <x:v>EXT-MONDE-T035-V13</x:v>
      </x:c>
      <x:c r="B1718" s="115" t="str">
        <x:v>EXT-MONDE-T035</x:v>
      </x:c>
      <x:c r="C1718" s="115" t="str">
        <x:v>Échangeurs</x:v>
      </x:c>
      <x:c r="D1718" s="115" t="str">
        <x:v>Trèfle autoroutier</x:v>
      </x:c>
      <x:c r="E1718" s="115" t="n">
        <x:v>13</x:v>
      </x:c>
      <x:c r="F1718" s="115" t="str">
        <x:v>Inspection physique</x:v>
      </x:c>
      <x:c r="G1718" s="115" t="str">
        <x:v>1 niveaux ; 34 pièces ; 260 segments de mur ; 0 transitions. Inspection physique ; architecture complète encore ouverte.</x:v>
      </x:c>
      <x:c r="H1718" s="115" t="str">
        <x:v>L 1480 ; l 1560 ; hauteur 8 m ; choix de composition auteur ; dimensions réelles à documenter</x:v>
      </x:c>
      <x:c r="I1718" s="115" t="str">
        <x:v>À équilibrer</x:v>
      </x:c>
      <x:c r="J1718" s="115" t="str">
        <x:v>Non</x:v>
      </x:c>
      <x:c r="K1718" s="115" t="str">
        <x:v>Pièces décrites, murs, portes, niveaux et mobilier inspectables à l’échelle. Volumes réservés, raccord au seed, butin, rencontres et services de campagne restent à terminer.</x:v>
      </x:c>
    </x:row>
    <x:row r="1719" ht="96" customHeight="1">
      <x:c r="A1719" s="115" t="str">
        <x:v>EXT-MONDE-T035-V14</x:v>
      </x:c>
      <x:c r="B1719" s="115" t="str">
        <x:v>EXT-MONDE-T035</x:v>
      </x:c>
      <x:c r="C1719" s="115" t="str">
        <x:v>Échangeurs</x:v>
      </x:c>
      <x:c r="D1719" s="115" t="str">
        <x:v>Trèfle autoroutier</x:v>
      </x:c>
      <x:c r="E1719" s="115" t="n">
        <x:v>14</x:v>
      </x:c>
      <x:c r="F1719" s="115" t="str">
        <x:v>Inspection physique</x:v>
      </x:c>
      <x:c r="G1719" s="115" t="str">
        <x:v>1 niveaux ; 34 pièces ; 260 segments de mur ; 0 transitions. Inspection physique ; architecture complète encore ouverte.</x:v>
      </x:c>
      <x:c r="H1719" s="115" t="str">
        <x:v>L 1480 ; l 1560 ; hauteur 8 m ; choix de composition auteur ; dimensions réelles à documenter</x:v>
      </x:c>
      <x:c r="I1719" s="115" t="str">
        <x:v>À équilibrer</x:v>
      </x:c>
      <x:c r="J1719" s="115" t="str">
        <x:v>Non</x:v>
      </x:c>
      <x:c r="K1719" s="115" t="str">
        <x:v>Pièces décrites, murs, portes, niveaux et mobilier inspectables à l’échelle. Volumes réservés, raccord au seed, butin, rencontres et services de campagne restent à terminer.</x:v>
      </x:c>
    </x:row>
    <x:row r="1720" ht="96" customHeight="1">
      <x:c r="A1720" s="115" t="str">
        <x:v>EXT-MONDE-T035-V15</x:v>
      </x:c>
      <x:c r="B1720" s="115" t="str">
        <x:v>EXT-MONDE-T035</x:v>
      </x:c>
      <x:c r="C1720" s="115" t="str">
        <x:v>Échangeurs</x:v>
      </x:c>
      <x:c r="D1720" s="115" t="str">
        <x:v>Trèfle autoroutier</x:v>
      </x:c>
      <x:c r="E1720" s="115" t="n">
        <x:v>15</x:v>
      </x:c>
      <x:c r="F1720" s="115" t="str">
        <x:v>Inspection physique</x:v>
      </x:c>
      <x:c r="G1720" s="115" t="str">
        <x:v>1 niveaux ; 34 pièces ; 260 segments de mur ; 0 transitions. Inspection physique ; architecture complète encore ouverte.</x:v>
      </x:c>
      <x:c r="H1720" s="115" t="str">
        <x:v>L 1480 ; l 1560 ; hauteur 8 m ; choix de composition auteur ; dimensions réelles à documenter</x:v>
      </x:c>
      <x:c r="I1720" s="115" t="str">
        <x:v>À équilibrer</x:v>
      </x:c>
      <x:c r="J1720" s="115" t="str">
        <x:v>Non</x:v>
      </x:c>
      <x:c r="K1720" s="115" t="str">
        <x:v>Pièces décrites, murs, portes, niveaux et mobilier inspectables à l’échelle. Volumes réservés, raccord au seed, butin, rencontres et services de campagne restent à terminer.</x:v>
      </x:c>
    </x:row>
    <x:row r="1721" ht="96" customHeight="1">
      <x:c r="A1721" s="115" t="str">
        <x:v>EXT-MONDE-T035-V16</x:v>
      </x:c>
      <x:c r="B1721" s="115" t="str">
        <x:v>EXT-MONDE-T035</x:v>
      </x:c>
      <x:c r="C1721" s="115" t="str">
        <x:v>Échangeurs</x:v>
      </x:c>
      <x:c r="D1721" s="115" t="str">
        <x:v>Trèfle autoroutier</x:v>
      </x:c>
      <x:c r="E1721" s="115" t="n">
        <x:v>16</x:v>
      </x:c>
      <x:c r="F1721" s="115" t="str">
        <x:v>Inspection physique</x:v>
      </x:c>
      <x:c r="G1721" s="115" t="str">
        <x:v>1 niveaux ; 34 pièces ; 260 segments de mur ; 0 transitions. Inspection physique ; architecture complète encore ouverte.</x:v>
      </x:c>
      <x:c r="H1721" s="115" t="str">
        <x:v>L 1480 ; l 1560 ; hauteur 8 m ; choix de composition auteur ; dimensions réelles à documenter</x:v>
      </x:c>
      <x:c r="I1721" s="115" t="str">
        <x:v>À équilibrer</x:v>
      </x:c>
      <x:c r="J1721" s="115" t="str">
        <x:v>Non</x:v>
      </x:c>
      <x:c r="K1721" s="115" t="str">
        <x:v>Pièces décrites, murs, portes, niveaux et mobilier inspectables à l’échelle. Volumes réservés, raccord au seed, butin, rencontres et services de campagne restent à terminer.</x:v>
      </x:c>
    </x:row>
    <x:row r="1722" ht="96" customHeight="1">
      <x:c r="A1722" s="115" t="str">
        <x:v>EXT-MONDE-T035-V17</x:v>
      </x:c>
      <x:c r="B1722" s="115" t="str">
        <x:v>EXT-MONDE-T035</x:v>
      </x:c>
      <x:c r="C1722" s="115" t="str">
        <x:v>Échangeurs</x:v>
      </x:c>
      <x:c r="D1722" s="115" t="str">
        <x:v>Trèfle autoroutier</x:v>
      </x:c>
      <x:c r="E1722" s="115" t="n">
        <x:v>17</x:v>
      </x:c>
      <x:c r="F1722" s="115" t="str">
        <x:v>Inspection physique</x:v>
      </x:c>
      <x:c r="G1722" s="115" t="str">
        <x:v>1 niveaux ; 34 pièces ; 260 segments de mur ; 0 transitions. Inspection physique ; architecture complète encore ouverte.</x:v>
      </x:c>
      <x:c r="H1722" s="115" t="str">
        <x:v>L 1480 ; l 1560 ; hauteur 8 m ; choix de composition auteur ; dimensions réelles à documenter</x:v>
      </x:c>
      <x:c r="I1722" s="115" t="str">
        <x:v>À équilibrer</x:v>
      </x:c>
      <x:c r="J1722" s="115" t="str">
        <x:v>Non</x:v>
      </x:c>
      <x:c r="K1722" s="115" t="str">
        <x:v>Pièces décrites, murs, portes, niveaux et mobilier inspectables à l’échelle. Volumes réservés, raccord au seed, butin, rencontres et services de campagne restent à terminer.</x:v>
      </x:c>
    </x:row>
    <x:row r="1723" ht="96" customHeight="1">
      <x:c r="A1723" s="115" t="str">
        <x:v>EXT-MONDE-T035-V18</x:v>
      </x:c>
      <x:c r="B1723" s="115" t="str">
        <x:v>EXT-MONDE-T035</x:v>
      </x:c>
      <x:c r="C1723" s="115" t="str">
        <x:v>Échangeurs</x:v>
      </x:c>
      <x:c r="D1723" s="115" t="str">
        <x:v>Trèfle autoroutier</x:v>
      </x:c>
      <x:c r="E1723" s="115" t="n">
        <x:v>18</x:v>
      </x:c>
      <x:c r="F1723" s="115" t="str">
        <x:v>Inspection physique</x:v>
      </x:c>
      <x:c r="G1723" s="115" t="str">
        <x:v>1 niveaux ; 34 pièces ; 260 segments de mur ; 0 transitions. Inspection physique ; architecture complète encore ouverte.</x:v>
      </x:c>
      <x:c r="H1723" s="115" t="str">
        <x:v>L 1480 ; l 1560 ; hauteur 8 m ; choix de composition auteur ; dimensions réelles à documenter</x:v>
      </x:c>
      <x:c r="I1723" s="115" t="str">
        <x:v>À équilibrer</x:v>
      </x:c>
      <x:c r="J1723" s="115" t="str">
        <x:v>Non</x:v>
      </x:c>
      <x:c r="K1723" s="115" t="str">
        <x:v>Pièces décrites, murs, portes, niveaux et mobilier inspectables à l’échelle. Volumes réservés, raccord au seed, butin, rencontres et services de campagne restent à terminer.</x:v>
      </x:c>
    </x:row>
    <x:row r="1724" ht="96" customHeight="1">
      <x:c r="A1724" s="115" t="str">
        <x:v>EXT-MONDE-T035-V19</x:v>
      </x:c>
      <x:c r="B1724" s="115" t="str">
        <x:v>EXT-MONDE-T035</x:v>
      </x:c>
      <x:c r="C1724" s="115" t="str">
        <x:v>Échangeurs</x:v>
      </x:c>
      <x:c r="D1724" s="115" t="str">
        <x:v>Trèfle autoroutier</x:v>
      </x:c>
      <x:c r="E1724" s="115" t="n">
        <x:v>19</x:v>
      </x:c>
      <x:c r="F1724" s="115" t="str">
        <x:v>Inspection physique</x:v>
      </x:c>
      <x:c r="G1724" s="115" t="str">
        <x:v>1 niveaux ; 34 pièces ; 260 segments de mur ; 0 transitions. Inspection physique ; architecture complète encore ouverte.</x:v>
      </x:c>
      <x:c r="H1724" s="115" t="str">
        <x:v>L 1480 ; l 1560 ; hauteur 8 m ; choix de composition auteur ; dimensions réelles à documenter</x:v>
      </x:c>
      <x:c r="I1724" s="115" t="str">
        <x:v>À équilibrer</x:v>
      </x:c>
      <x:c r="J1724" s="115" t="str">
        <x:v>Non</x:v>
      </x:c>
      <x:c r="K1724" s="115" t="str">
        <x:v>Pièces décrites, murs, portes, niveaux et mobilier inspectables à l’échelle. Volumes réservés, raccord au seed, butin, rencontres et services de campagne restent à terminer.</x:v>
      </x:c>
    </x:row>
    <x:row r="1725" ht="96" customHeight="1">
      <x:c r="A1725" s="115" t="str">
        <x:v>EXT-MONDE-T035-V20</x:v>
      </x:c>
      <x:c r="B1725" s="115" t="str">
        <x:v>EXT-MONDE-T035</x:v>
      </x:c>
      <x:c r="C1725" s="115" t="str">
        <x:v>Échangeurs</x:v>
      </x:c>
      <x:c r="D1725" s="115" t="str">
        <x:v>Trèfle autoroutier</x:v>
      </x:c>
      <x:c r="E1725" s="115" t="n">
        <x:v>20</x:v>
      </x:c>
      <x:c r="F1725" s="115" t="str">
        <x:v>Inspection physique</x:v>
      </x:c>
      <x:c r="G1725" s="115" t="str">
        <x:v>1 niveaux ; 34 pièces ; 260 segments de mur ; 0 transitions. Inspection physique ; architecture complète encore ouverte.</x:v>
      </x:c>
      <x:c r="H1725" s="115" t="str">
        <x:v>L 1480 ; l 1560 ; hauteur 8 m ; choix de composition auteur ; dimensions réelles à documenter</x:v>
      </x:c>
      <x:c r="I1725" s="115" t="str">
        <x:v>À équilibrer</x:v>
      </x:c>
      <x:c r="J1725" s="115" t="str">
        <x:v>Non</x:v>
      </x:c>
      <x:c r="K1725" s="115" t="str">
        <x:v>Pièces décrites, murs, portes, niveaux et mobilier inspectables à l’échelle. Volumes réservés, raccord au seed, butin, rencontres et services de campagne restent à terminer.</x:v>
      </x:c>
    </x:row>
    <x:row r="1726" ht="96" customHeight="1">
      <x:c r="A1726" s="115" t="str">
        <x:v>EXT-MONDE-T035-V21</x:v>
      </x:c>
      <x:c r="B1726" s="115" t="str">
        <x:v>EXT-MONDE-T035</x:v>
      </x:c>
      <x:c r="C1726" s="115" t="str">
        <x:v>Échangeurs</x:v>
      </x:c>
      <x:c r="D1726" s="115" t="str">
        <x:v>Trèfle autoroutier</x:v>
      </x:c>
      <x:c r="E1726" s="115" t="n">
        <x:v>21</x:v>
      </x:c>
      <x:c r="F1726" s="115" t="str">
        <x:v>Inspection physique</x:v>
      </x:c>
      <x:c r="G1726" s="115" t="str">
        <x:v>1 niveaux ; 34 pièces ; 260 segments de mur ; 0 transitions. Inspection physique ; architecture complète encore ouverte.</x:v>
      </x:c>
      <x:c r="H1726" s="115" t="str">
        <x:v>L 1560 ; l 1720 ; hauteur 8 m ; choix de composition auteur ; dimensions réelles à documenter</x:v>
      </x:c>
      <x:c r="I1726" s="115" t="str">
        <x:v>À équilibrer</x:v>
      </x:c>
      <x:c r="J1726" s="115" t="str">
        <x:v>Non</x:v>
      </x:c>
      <x:c r="K1726" s="115" t="str">
        <x:v>Pièces décrites, murs, portes, niveaux et mobilier inspectables à l’échelle. Volumes réservés, raccord au seed, butin, rencontres et services de campagne restent à terminer.</x:v>
      </x:c>
    </x:row>
    <x:row r="1727" ht="96" customHeight="1">
      <x:c r="A1727" s="115" t="str">
        <x:v>EXT-MONDE-T035-V22</x:v>
      </x:c>
      <x:c r="B1727" s="115" t="str">
        <x:v>EXT-MONDE-T035</x:v>
      </x:c>
      <x:c r="C1727" s="115" t="str">
        <x:v>Échangeurs</x:v>
      </x:c>
      <x:c r="D1727" s="115" t="str">
        <x:v>Trèfle autoroutier</x:v>
      </x:c>
      <x:c r="E1727" s="115" t="n">
        <x:v>22</x:v>
      </x:c>
      <x:c r="F1727" s="115" t="str">
        <x:v>Inspection physique</x:v>
      </x:c>
      <x:c r="G1727" s="115" t="str">
        <x:v>1 niveaux ; 34 pièces ; 260 segments de mur ; 0 transitions. Inspection physique ; architecture complète encore ouverte.</x:v>
      </x:c>
      <x:c r="H1727" s="115" t="str">
        <x:v>L 1560 ; l 1720 ; hauteur 8 m ; choix de composition auteur ; dimensions réelles à documenter</x:v>
      </x:c>
      <x:c r="I1727" s="115" t="str">
        <x:v>À équilibrer</x:v>
      </x:c>
      <x:c r="J1727" s="115" t="str">
        <x:v>Non</x:v>
      </x:c>
      <x:c r="K1727" s="115" t="str">
        <x:v>Pièces décrites, murs, portes, niveaux et mobilier inspectables à l’échelle. Volumes réservés, raccord au seed, butin, rencontres et services de campagne restent à terminer.</x:v>
      </x:c>
    </x:row>
    <x:row r="1728" ht="96" customHeight="1">
      <x:c r="A1728" s="115" t="str">
        <x:v>EXT-MONDE-T035-V23</x:v>
      </x:c>
      <x:c r="B1728" s="115" t="str">
        <x:v>EXT-MONDE-T035</x:v>
      </x:c>
      <x:c r="C1728" s="115" t="str">
        <x:v>Échangeurs</x:v>
      </x:c>
      <x:c r="D1728" s="115" t="str">
        <x:v>Trèfle autoroutier</x:v>
      </x:c>
      <x:c r="E1728" s="115" t="n">
        <x:v>23</x:v>
      </x:c>
      <x:c r="F1728" s="115" t="str">
        <x:v>Inspection physique</x:v>
      </x:c>
      <x:c r="G1728" s="115" t="str">
        <x:v>1 niveaux ; 34 pièces ; 260 segments de mur ; 0 transitions. Inspection physique ; architecture complète encore ouverte.</x:v>
      </x:c>
      <x:c r="H1728" s="115" t="str">
        <x:v>L 1560 ; l 1720 ; hauteur 8 m ; choix de composition auteur ; dimensions réelles à documenter</x:v>
      </x:c>
      <x:c r="I1728" s="115" t="str">
        <x:v>À équilibrer</x:v>
      </x:c>
      <x:c r="J1728" s="115" t="str">
        <x:v>Non</x:v>
      </x:c>
      <x:c r="K1728" s="115" t="str">
        <x:v>Pièces décrites, murs, portes, niveaux et mobilier inspectables à l’échelle. Volumes réservés, raccord au seed, butin, rencontres et services de campagne restent à terminer.</x:v>
      </x:c>
    </x:row>
    <x:row r="1729" ht="96" customHeight="1">
      <x:c r="A1729" s="115" t="str">
        <x:v>EXT-MONDE-T035-V24</x:v>
      </x:c>
      <x:c r="B1729" s="115" t="str">
        <x:v>EXT-MONDE-T035</x:v>
      </x:c>
      <x:c r="C1729" s="115" t="str">
        <x:v>Échangeurs</x:v>
      </x:c>
      <x:c r="D1729" s="115" t="str">
        <x:v>Trèfle autoroutier</x:v>
      </x:c>
      <x:c r="E1729" s="115" t="n">
        <x:v>24</x:v>
      </x:c>
      <x:c r="F1729" s="115" t="str">
        <x:v>Inspection physique</x:v>
      </x:c>
      <x:c r="G1729" s="115" t="str">
        <x:v>1 niveaux ; 34 pièces ; 260 segments de mur ; 0 transitions. Inspection physique ; architecture complète encore ouverte.</x:v>
      </x:c>
      <x:c r="H1729" s="115" t="str">
        <x:v>L 1560 ; l 1720 ; hauteur 8 m ; choix de composition auteur ; dimensions réelles à documenter</x:v>
      </x:c>
      <x:c r="I1729" s="115" t="str">
        <x:v>À équilibrer</x:v>
      </x:c>
      <x:c r="J1729" s="115" t="str">
        <x:v>Non</x:v>
      </x:c>
      <x:c r="K1729" s="115" t="str">
        <x:v>Pièces décrites, murs, portes, niveaux et mobilier inspectables à l’échelle. Volumes réservés, raccord au seed, butin, rencontres et services de campagne restent à terminer.</x:v>
      </x:c>
    </x:row>
    <x:row r="1730" ht="96" customHeight="1">
      <x:c r="A1730" s="115" t="str">
        <x:v>EXT-MONDE-T035-V25</x:v>
      </x:c>
      <x:c r="B1730" s="115" t="str">
        <x:v>EXT-MONDE-T035</x:v>
      </x:c>
      <x:c r="C1730" s="115" t="str">
        <x:v>Échangeurs</x:v>
      </x:c>
      <x:c r="D1730" s="115" t="str">
        <x:v>Trèfle autoroutier</x:v>
      </x:c>
      <x:c r="E1730" s="115" t="n">
        <x:v>25</x:v>
      </x:c>
      <x:c r="F1730" s="115" t="str">
        <x:v>Inspection physique</x:v>
      </x:c>
      <x:c r="G1730" s="115" t="str">
        <x:v>1 niveaux ; 34 pièces ; 260 segments de mur ; 0 transitions. Inspection physique ; architecture complète encore ouverte.</x:v>
      </x:c>
      <x:c r="H1730" s="115" t="str">
        <x:v>L 1560 ; l 1720 ; hauteur 8 m ; choix de composition auteur ; dimensions réelles à documenter</x:v>
      </x:c>
      <x:c r="I1730" s="115" t="str">
        <x:v>À équilibrer</x:v>
      </x:c>
      <x:c r="J1730" s="115" t="str">
        <x:v>Non</x:v>
      </x:c>
      <x:c r="K1730" s="115" t="str">
        <x:v>Pièces décrites, murs, portes, niveaux et mobilier inspectables à l’échelle. Volumes réservés, raccord au seed, butin, rencontres et services de campagne restent à terminer.</x:v>
      </x:c>
    </x:row>
    <x:row r="1731" ht="96" customHeight="1">
      <x:c r="A1731" s="115" t="str">
        <x:v>EXT-MONDE-T035-V26</x:v>
      </x:c>
      <x:c r="B1731" s="115" t="str">
        <x:v>EXT-MONDE-T035</x:v>
      </x:c>
      <x:c r="C1731" s="115" t="str">
        <x:v>Échangeurs</x:v>
      </x:c>
      <x:c r="D1731" s="115" t="str">
        <x:v>Trèfle autoroutier</x:v>
      </x:c>
      <x:c r="E1731" s="115" t="n">
        <x:v>26</x:v>
      </x:c>
      <x:c r="F1731" s="115" t="str">
        <x:v>Inspection physique</x:v>
      </x:c>
      <x:c r="G1731" s="115" t="str">
        <x:v>1 niveaux ; 34 pièces ; 260 segments de mur ; 0 transitions. Inspection physique ; architecture complète encore ouverte.</x:v>
      </x:c>
      <x:c r="H1731" s="115" t="str">
        <x:v>L 1560 ; l 1720 ; hauteur 8 m ; choix de composition auteur ; dimensions réelles à documenter</x:v>
      </x:c>
      <x:c r="I1731" s="115" t="str">
        <x:v>À équilibrer</x:v>
      </x:c>
      <x:c r="J1731" s="115" t="str">
        <x:v>Non</x:v>
      </x:c>
      <x:c r="K1731" s="115" t="str">
        <x:v>Pièces décrites, murs, portes, niveaux et mobilier inspectables à l’échelle. Volumes réservés, raccord au seed, butin, rencontres et services de campagne restent à terminer.</x:v>
      </x:c>
    </x:row>
    <x:row r="1732" ht="96" customHeight="1">
      <x:c r="A1732" s="115" t="str">
        <x:v>EXT-MONDE-T035-V27</x:v>
      </x:c>
      <x:c r="B1732" s="115" t="str">
        <x:v>EXT-MONDE-T035</x:v>
      </x:c>
      <x:c r="C1732" s="115" t="str">
        <x:v>Échangeurs</x:v>
      </x:c>
      <x:c r="D1732" s="115" t="str">
        <x:v>Trèfle autoroutier</x:v>
      </x:c>
      <x:c r="E1732" s="115" t="n">
        <x:v>27</x:v>
      </x:c>
      <x:c r="F1732" s="115" t="str">
        <x:v>Inspection physique</x:v>
      </x:c>
      <x:c r="G1732" s="115" t="str">
        <x:v>1 niveaux ; 34 pièces ; 260 segments de mur ; 0 transitions. Inspection physique ; architecture complète encore ouverte.</x:v>
      </x:c>
      <x:c r="H1732" s="115" t="str">
        <x:v>L 1560 ; l 1720 ; hauteur 8 m ; choix de composition auteur ; dimensions réelles à documenter</x:v>
      </x:c>
      <x:c r="I1732" s="115" t="str">
        <x:v>À équilibrer</x:v>
      </x:c>
      <x:c r="J1732" s="115" t="str">
        <x:v>Non</x:v>
      </x:c>
      <x:c r="K1732" s="115" t="str">
        <x:v>Pièces décrites, murs, portes, niveaux et mobilier inspectables à l’échelle. Volumes réservés, raccord au seed, butin, rencontres et services de campagne restent à terminer.</x:v>
      </x:c>
    </x:row>
    <x:row r="1733" ht="96" customHeight="1">
      <x:c r="A1733" s="115" t="str">
        <x:v>EXT-MONDE-T035-V28</x:v>
      </x:c>
      <x:c r="B1733" s="115" t="str">
        <x:v>EXT-MONDE-T035</x:v>
      </x:c>
      <x:c r="C1733" s="115" t="str">
        <x:v>Échangeurs</x:v>
      </x:c>
      <x:c r="D1733" s="115" t="str">
        <x:v>Trèfle autoroutier</x:v>
      </x:c>
      <x:c r="E1733" s="115" t="n">
        <x:v>28</x:v>
      </x:c>
      <x:c r="F1733" s="115" t="str">
        <x:v>Inspection physique</x:v>
      </x:c>
      <x:c r="G1733" s="115" t="str">
        <x:v>1 niveaux ; 34 pièces ; 260 segments de mur ; 0 transitions. Inspection physique ; architecture complète encore ouverte.</x:v>
      </x:c>
      <x:c r="H1733" s="115" t="str">
        <x:v>L 1560 ; l 1720 ; hauteur 8 m ; choix de composition auteur ; dimensions réelles à documenter</x:v>
      </x:c>
      <x:c r="I1733" s="115" t="str">
        <x:v>À équilibrer</x:v>
      </x:c>
      <x:c r="J1733" s="115" t="str">
        <x:v>Non</x:v>
      </x:c>
      <x:c r="K1733" s="115" t="str">
        <x:v>Pièces décrites, murs, portes, niveaux et mobilier inspectables à l’échelle. Volumes réservés, raccord au seed, butin, rencontres et services de campagne restent à terminer.</x:v>
      </x:c>
    </x:row>
    <x:row r="1734" ht="96" customHeight="1">
      <x:c r="A1734" s="115" t="str">
        <x:v>EXT-MONDE-T035-V29</x:v>
      </x:c>
      <x:c r="B1734" s="115" t="str">
        <x:v>EXT-MONDE-T035</x:v>
      </x:c>
      <x:c r="C1734" s="115" t="str">
        <x:v>Échangeurs</x:v>
      </x:c>
      <x:c r="D1734" s="115" t="str">
        <x:v>Trèfle autoroutier</x:v>
      </x:c>
      <x:c r="E1734" s="115" t="n">
        <x:v>29</x:v>
      </x:c>
      <x:c r="F1734" s="115" t="str">
        <x:v>Inspection physique</x:v>
      </x:c>
      <x:c r="G1734" s="115" t="str">
        <x:v>1 niveaux ; 34 pièces ; 260 segments de mur ; 0 transitions. Inspection physique ; architecture complète encore ouverte.</x:v>
      </x:c>
      <x:c r="H1734" s="115" t="str">
        <x:v>L 1560 ; l 1720 ; hauteur 8 m ; choix de composition auteur ; dimensions réelles à documenter</x:v>
      </x:c>
      <x:c r="I1734" s="115" t="str">
        <x:v>À équilibrer</x:v>
      </x:c>
      <x:c r="J1734" s="115" t="str">
        <x:v>Non</x:v>
      </x:c>
      <x:c r="K1734" s="115" t="str">
        <x:v>Pièces décrites, murs, portes, niveaux et mobilier inspectables à l’échelle. Volumes réservés, raccord au seed, butin, rencontres et services de campagne restent à terminer.</x:v>
      </x:c>
    </x:row>
    <x:row r="1735" ht="96" customHeight="1">
      <x:c r="A1735" s="115" t="str">
        <x:v>EXT-MONDE-T035-V30</x:v>
      </x:c>
      <x:c r="B1735" s="115" t="str">
        <x:v>EXT-MONDE-T035</x:v>
      </x:c>
      <x:c r="C1735" s="115" t="str">
        <x:v>Échangeurs</x:v>
      </x:c>
      <x:c r="D1735" s="115" t="str">
        <x:v>Trèfle autoroutier</x:v>
      </x:c>
      <x:c r="E1735" s="115" t="n">
        <x:v>30</x:v>
      </x:c>
      <x:c r="F1735" s="115" t="str">
        <x:v>Inspection physique</x:v>
      </x:c>
      <x:c r="G1735" s="115" t="str">
        <x:v>1 niveaux ; 34 pièces ; 260 segments de mur ; 0 transitions. Inspection physique ; architecture complète encore ouverte.</x:v>
      </x:c>
      <x:c r="H1735" s="115" t="str">
        <x:v>L 1560 ; l 1720 ; hauteur 8 m ; choix de composition auteur ; dimensions réelles à documenter</x:v>
      </x:c>
      <x:c r="I1735" s="115" t="str">
        <x:v>À équilibrer</x:v>
      </x:c>
      <x:c r="J1735" s="115" t="str">
        <x:v>Non</x:v>
      </x:c>
      <x:c r="K1735" s="115" t="str">
        <x:v>Pièces décrites, murs, portes, niveaux et mobilier inspectables à l’échelle. Volumes réservés, raccord au seed, butin, rencontres et services de campagne restent à terminer.</x:v>
      </x:c>
    </x:row>
    <x:row r="1736" ht="96" customHeight="1">
      <x:c r="A1736" s="115" t="str">
        <x:v>EXT-MONDE-T035-V31</x:v>
      </x:c>
      <x:c r="B1736" s="115" t="str">
        <x:v>EXT-MONDE-T035</x:v>
      </x:c>
      <x:c r="C1736" s="115" t="str">
        <x:v>Échangeurs</x:v>
      </x:c>
      <x:c r="D1736" s="115" t="str">
        <x:v>Trèfle autoroutier</x:v>
      </x:c>
      <x:c r="E1736" s="115" t="n">
        <x:v>31</x:v>
      </x:c>
      <x:c r="F1736" s="115" t="str">
        <x:v>Inspection physique</x:v>
      </x:c>
      <x:c r="G1736" s="115" t="str">
        <x:v>1 niveaux ; 34 pièces ; 260 segments de mur ; 0 transitions. Inspection physique ; architecture complète encore ouverte.</x:v>
      </x:c>
      <x:c r="H1736" s="115" t="str">
        <x:v>L 1640 ; l 1880 ; hauteur 8 m ; choix de composition auteur ; dimensions réelles à documenter</x:v>
      </x:c>
      <x:c r="I1736" s="115" t="str">
        <x:v>À équilibrer</x:v>
      </x:c>
      <x:c r="J1736" s="115" t="str">
        <x:v>Non</x:v>
      </x:c>
      <x:c r="K1736" s="115" t="str">
        <x:v>Pièces décrites, murs, portes, niveaux et mobilier inspectables à l’échelle. Volumes réservés, raccord au seed, butin, rencontres et services de campagne restent à terminer.</x:v>
      </x:c>
    </x:row>
    <x:row r="1737" ht="96" customHeight="1">
      <x:c r="A1737" s="115" t="str">
        <x:v>EXT-MONDE-T035-V32</x:v>
      </x:c>
      <x:c r="B1737" s="115" t="str">
        <x:v>EXT-MONDE-T035</x:v>
      </x:c>
      <x:c r="C1737" s="115" t="str">
        <x:v>Échangeurs</x:v>
      </x:c>
      <x:c r="D1737" s="115" t="str">
        <x:v>Trèfle autoroutier</x:v>
      </x:c>
      <x:c r="E1737" s="115" t="n">
        <x:v>32</x:v>
      </x:c>
      <x:c r="F1737" s="115" t="str">
        <x:v>Inspection physique</x:v>
      </x:c>
      <x:c r="G1737" s="115" t="str">
        <x:v>1 niveaux ; 34 pièces ; 260 segments de mur ; 0 transitions. Inspection physique ; architecture complète encore ouverte.</x:v>
      </x:c>
      <x:c r="H1737" s="115" t="str">
        <x:v>L 1640 ; l 1880 ; hauteur 8 m ; choix de composition auteur ; dimensions réelles à documenter</x:v>
      </x:c>
      <x:c r="I1737" s="115" t="str">
        <x:v>À équilibrer</x:v>
      </x:c>
      <x:c r="J1737" s="115" t="str">
        <x:v>Non</x:v>
      </x:c>
      <x:c r="K1737" s="115" t="str">
        <x:v>Pièces décrites, murs, portes, niveaux et mobilier inspectables à l’échelle. Volumes réservés, raccord au seed, butin, rencontres et services de campagne restent à terminer.</x:v>
      </x:c>
    </x:row>
    <x:row r="1738" ht="96" customHeight="1">
      <x:c r="A1738" s="115" t="str">
        <x:v>EXT-MONDE-T035-V33</x:v>
      </x:c>
      <x:c r="B1738" s="115" t="str">
        <x:v>EXT-MONDE-T035</x:v>
      </x:c>
      <x:c r="C1738" s="115" t="str">
        <x:v>Échangeurs</x:v>
      </x:c>
      <x:c r="D1738" s="115" t="str">
        <x:v>Trèfle autoroutier</x:v>
      </x:c>
      <x:c r="E1738" s="115" t="n">
        <x:v>33</x:v>
      </x:c>
      <x:c r="F1738" s="115" t="str">
        <x:v>Inspection physique</x:v>
      </x:c>
      <x:c r="G1738" s="115" t="str">
        <x:v>1 niveaux ; 34 pièces ; 260 segments de mur ; 0 transitions. Inspection physique ; architecture complète encore ouverte.</x:v>
      </x:c>
      <x:c r="H1738" s="115" t="str">
        <x:v>L 1640 ; l 1880 ; hauteur 8 m ; choix de composition auteur ; dimensions réelles à documenter</x:v>
      </x:c>
      <x:c r="I1738" s="115" t="str">
        <x:v>À équilibrer</x:v>
      </x:c>
      <x:c r="J1738" s="115" t="str">
        <x:v>Non</x:v>
      </x:c>
      <x:c r="K1738" s="115" t="str">
        <x:v>Pièces décrites, murs, portes, niveaux et mobilier inspectables à l’échelle. Volumes réservés, raccord au seed, butin, rencontres et services de campagne restent à terminer.</x:v>
      </x:c>
    </x:row>
    <x:row r="1739" ht="96" customHeight="1">
      <x:c r="A1739" s="115" t="str">
        <x:v>EXT-MONDE-T035-V34</x:v>
      </x:c>
      <x:c r="B1739" s="115" t="str">
        <x:v>EXT-MONDE-T035</x:v>
      </x:c>
      <x:c r="C1739" s="115" t="str">
        <x:v>Échangeurs</x:v>
      </x:c>
      <x:c r="D1739" s="115" t="str">
        <x:v>Trèfle autoroutier</x:v>
      </x:c>
      <x:c r="E1739" s="115" t="n">
        <x:v>34</x:v>
      </x:c>
      <x:c r="F1739" s="115" t="str">
        <x:v>Inspection physique</x:v>
      </x:c>
      <x:c r="G1739" s="115" t="str">
        <x:v>1 niveaux ; 34 pièces ; 260 segments de mur ; 0 transitions. Inspection physique ; architecture complète encore ouverte.</x:v>
      </x:c>
      <x:c r="H1739" s="115" t="str">
        <x:v>L 1640 ; l 1880 ; hauteur 8 m ; choix de composition auteur ; dimensions réelles à documenter</x:v>
      </x:c>
      <x:c r="I1739" s="115" t="str">
        <x:v>À équilibrer</x:v>
      </x:c>
      <x:c r="J1739" s="115" t="str">
        <x:v>Non</x:v>
      </x:c>
      <x:c r="K1739" s="115" t="str">
        <x:v>Pièces décrites, murs, portes, niveaux et mobilier inspectables à l’échelle. Volumes réservés, raccord au seed, butin, rencontres et services de campagne restent à terminer.</x:v>
      </x:c>
    </x:row>
    <x:row r="1740" ht="96" customHeight="1">
      <x:c r="A1740" s="115" t="str">
        <x:v>EXT-MONDE-T035-V35</x:v>
      </x:c>
      <x:c r="B1740" s="115" t="str">
        <x:v>EXT-MONDE-T035</x:v>
      </x:c>
      <x:c r="C1740" s="115" t="str">
        <x:v>Échangeurs</x:v>
      </x:c>
      <x:c r="D1740" s="115" t="str">
        <x:v>Trèfle autoroutier</x:v>
      </x:c>
      <x:c r="E1740" s="115" t="n">
        <x:v>35</x:v>
      </x:c>
      <x:c r="F1740" s="115" t="str">
        <x:v>Inspection physique</x:v>
      </x:c>
      <x:c r="G1740" s="115" t="str">
        <x:v>1 niveaux ; 34 pièces ; 260 segments de mur ; 0 transitions. Inspection physique ; architecture complète encore ouverte.</x:v>
      </x:c>
      <x:c r="H1740" s="115" t="str">
        <x:v>L 1640 ; l 1880 ; hauteur 8 m ; choix de composition auteur ; dimensions réelles à documenter</x:v>
      </x:c>
      <x:c r="I1740" s="115" t="str">
        <x:v>À équilibrer</x:v>
      </x:c>
      <x:c r="J1740" s="115" t="str">
        <x:v>Non</x:v>
      </x:c>
      <x:c r="K1740" s="115" t="str">
        <x:v>Pièces décrites, murs, portes, niveaux et mobilier inspectables à l’échelle. Volumes réservés, raccord au seed, butin, rencontres et services de campagne restent à terminer.</x:v>
      </x:c>
    </x:row>
    <x:row r="1741" ht="96" customHeight="1">
      <x:c r="A1741" s="115" t="str">
        <x:v>EXT-MONDE-T035-V36</x:v>
      </x:c>
      <x:c r="B1741" s="115" t="str">
        <x:v>EXT-MONDE-T035</x:v>
      </x:c>
      <x:c r="C1741" s="115" t="str">
        <x:v>Échangeurs</x:v>
      </x:c>
      <x:c r="D1741" s="115" t="str">
        <x:v>Trèfle autoroutier</x:v>
      </x:c>
      <x:c r="E1741" s="115" t="n">
        <x:v>36</x:v>
      </x:c>
      <x:c r="F1741" s="115" t="str">
        <x:v>Inspection physique</x:v>
      </x:c>
      <x:c r="G1741" s="115" t="str">
        <x:v>1 niveaux ; 34 pièces ; 260 segments de mur ; 0 transitions. Inspection physique ; architecture complète encore ouverte.</x:v>
      </x:c>
      <x:c r="H1741" s="115" t="str">
        <x:v>L 1640 ; l 1880 ; hauteur 8 m ; choix de composition auteur ; dimensions réelles à documenter</x:v>
      </x:c>
      <x:c r="I1741" s="115" t="str">
        <x:v>À équilibrer</x:v>
      </x:c>
      <x:c r="J1741" s="115" t="str">
        <x:v>Non</x:v>
      </x:c>
      <x:c r="K1741" s="115" t="str">
        <x:v>Pièces décrites, murs, portes, niveaux et mobilier inspectables à l’échelle. Volumes réservés, raccord au seed, butin, rencontres et services de campagne restent à terminer.</x:v>
      </x:c>
    </x:row>
    <x:row r="1742" ht="96" customHeight="1">
      <x:c r="A1742" s="115" t="str">
        <x:v>EXT-MONDE-T035-V37</x:v>
      </x:c>
      <x:c r="B1742" s="115" t="str">
        <x:v>EXT-MONDE-T035</x:v>
      </x:c>
      <x:c r="C1742" s="115" t="str">
        <x:v>Échangeurs</x:v>
      </x:c>
      <x:c r="D1742" s="115" t="str">
        <x:v>Trèfle autoroutier</x:v>
      </x:c>
      <x:c r="E1742" s="115" t="n">
        <x:v>37</x:v>
      </x:c>
      <x:c r="F1742" s="115" t="str">
        <x:v>Inspection physique</x:v>
      </x:c>
      <x:c r="G1742" s="115" t="str">
        <x:v>1 niveaux ; 34 pièces ; 260 segments de mur ; 0 transitions. Inspection physique ; architecture complète encore ouverte.</x:v>
      </x:c>
      <x:c r="H1742" s="115" t="str">
        <x:v>L 1640 ; l 1880 ; hauteur 8 m ; choix de composition auteur ; dimensions réelles à documenter</x:v>
      </x:c>
      <x:c r="I1742" s="115" t="str">
        <x:v>À équilibrer</x:v>
      </x:c>
      <x:c r="J1742" s="115" t="str">
        <x:v>Non</x:v>
      </x:c>
      <x:c r="K1742" s="115" t="str">
        <x:v>Pièces décrites, murs, portes, niveaux et mobilier inspectables à l’échelle. Volumes réservés, raccord au seed, butin, rencontres et services de campagne restent à terminer.</x:v>
      </x:c>
    </x:row>
    <x:row r="1743" ht="96" customHeight="1">
      <x:c r="A1743" s="115" t="str">
        <x:v>EXT-MONDE-T035-V38</x:v>
      </x:c>
      <x:c r="B1743" s="115" t="str">
        <x:v>EXT-MONDE-T035</x:v>
      </x:c>
      <x:c r="C1743" s="115" t="str">
        <x:v>Échangeurs</x:v>
      </x:c>
      <x:c r="D1743" s="115" t="str">
        <x:v>Trèfle autoroutier</x:v>
      </x:c>
      <x:c r="E1743" s="115" t="n">
        <x:v>38</x:v>
      </x:c>
      <x:c r="F1743" s="115" t="str">
        <x:v>Inspection physique</x:v>
      </x:c>
      <x:c r="G1743" s="115" t="str">
        <x:v>1 niveaux ; 34 pièces ; 260 segments de mur ; 0 transitions. Inspection physique ; architecture complète encore ouverte.</x:v>
      </x:c>
      <x:c r="H1743" s="115" t="str">
        <x:v>L 1640 ; l 1880 ; hauteur 8 m ; choix de composition auteur ; dimensions réelles à documenter</x:v>
      </x:c>
      <x:c r="I1743" s="115" t="str">
        <x:v>À équilibrer</x:v>
      </x:c>
      <x:c r="J1743" s="115" t="str">
        <x:v>Non</x:v>
      </x:c>
      <x:c r="K1743" s="115" t="str">
        <x:v>Pièces décrites, murs, portes, niveaux et mobilier inspectables à l’échelle. Volumes réservés, raccord au seed, butin, rencontres et services de campagne restent à terminer.</x:v>
      </x:c>
    </x:row>
    <x:row r="1744" ht="96" customHeight="1">
      <x:c r="A1744" s="115" t="str">
        <x:v>EXT-MONDE-T035-V39</x:v>
      </x:c>
      <x:c r="B1744" s="115" t="str">
        <x:v>EXT-MONDE-T035</x:v>
      </x:c>
      <x:c r="C1744" s="115" t="str">
        <x:v>Échangeurs</x:v>
      </x:c>
      <x:c r="D1744" s="115" t="str">
        <x:v>Trèfle autoroutier</x:v>
      </x:c>
      <x:c r="E1744" s="115" t="n">
        <x:v>39</x:v>
      </x:c>
      <x:c r="F1744" s="115" t="str">
        <x:v>Inspection physique</x:v>
      </x:c>
      <x:c r="G1744" s="115" t="str">
        <x:v>1 niveaux ; 34 pièces ; 260 segments de mur ; 0 transitions. Inspection physique ; architecture complète encore ouverte.</x:v>
      </x:c>
      <x:c r="H1744" s="115" t="str">
        <x:v>L 1640 ; l 1880 ; hauteur 8 m ; choix de composition auteur ; dimensions réelles à documenter</x:v>
      </x:c>
      <x:c r="I1744" s="115" t="str">
        <x:v>À équilibrer</x:v>
      </x:c>
      <x:c r="J1744" s="115" t="str">
        <x:v>Non</x:v>
      </x:c>
      <x:c r="K1744" s="115" t="str">
        <x:v>Pièces décrites, murs, portes, niveaux et mobilier inspectables à l’échelle. Volumes réservés, raccord au seed, butin, rencontres et services de campagne restent à terminer.</x:v>
      </x:c>
    </x:row>
    <x:row r="1745" ht="96" customHeight="1">
      <x:c r="A1745" s="115" t="str">
        <x:v>EXT-MONDE-T035-V40</x:v>
      </x:c>
      <x:c r="B1745" s="115" t="str">
        <x:v>EXT-MONDE-T035</x:v>
      </x:c>
      <x:c r="C1745" s="115" t="str">
        <x:v>Échangeurs</x:v>
      </x:c>
      <x:c r="D1745" s="115" t="str">
        <x:v>Trèfle autoroutier</x:v>
      </x:c>
      <x:c r="E1745" s="115" t="n">
        <x:v>40</x:v>
      </x:c>
      <x:c r="F1745" s="115" t="str">
        <x:v>Inspection physique</x:v>
      </x:c>
      <x:c r="G1745" s="115" t="str">
        <x:v>1 niveaux ; 34 pièces ; 260 segments de mur ; 0 transitions. Inspection physique ; architecture complète encore ouverte.</x:v>
      </x:c>
      <x:c r="H1745" s="115" t="str">
        <x:v>L 1640 ; l 1880 ; hauteur 8 m ; choix de composition auteur ; dimensions réelles à documenter</x:v>
      </x:c>
      <x:c r="I1745" s="115" t="str">
        <x:v>À équilibrer</x:v>
      </x:c>
      <x:c r="J1745" s="115" t="str">
        <x:v>Non</x:v>
      </x:c>
      <x:c r="K1745" s="115" t="str">
        <x:v>Pièces décrites, murs, portes, niveaux et mobilier inspectables à l’échelle. Volumes réservés, raccord au seed, butin, rencontres et services de campagne restent à terminer.</x:v>
      </x:c>
    </x:row>
    <x:row r="1746" ht="96" customHeight="1">
      <x:c r="A1746" s="115" t="str">
        <x:v>EXT-MONDE-T035-V41</x:v>
      </x:c>
      <x:c r="B1746" s="115" t="str">
        <x:v>EXT-MONDE-T035</x:v>
      </x:c>
      <x:c r="C1746" s="115" t="str">
        <x:v>Échangeurs</x:v>
      </x:c>
      <x:c r="D1746" s="115" t="str">
        <x:v>Trèfle autoroutier</x:v>
      </x:c>
      <x:c r="E1746" s="115" t="n">
        <x:v>41</x:v>
      </x:c>
      <x:c r="F1746" s="115" t="str">
        <x:v>Inspection physique</x:v>
      </x:c>
      <x:c r="G1746" s="115" t="str">
        <x:v>1 niveaux ; 34 pièces ; 260 segments de mur ; 0 transitions. Inspection physique ; architecture complète encore ouverte.</x:v>
      </x:c>
      <x:c r="H1746" s="115" t="str">
        <x:v>L 1720 ; l 2040 ; hauteur 8 m ; choix de composition auteur ; dimensions réelles à documenter</x:v>
      </x:c>
      <x:c r="I1746" s="115" t="str">
        <x:v>À équilibrer</x:v>
      </x:c>
      <x:c r="J1746" s="115" t="str">
        <x:v>Non</x:v>
      </x:c>
      <x:c r="K1746" s="115" t="str">
        <x:v>Pièces décrites, murs, portes, niveaux et mobilier inspectables à l’échelle. Volumes réservés, raccord au seed, butin, rencontres et services de campagne restent à terminer.</x:v>
      </x:c>
    </x:row>
    <x:row r="1747" ht="96" customHeight="1">
      <x:c r="A1747" s="115" t="str">
        <x:v>EXT-MONDE-T035-V42</x:v>
      </x:c>
      <x:c r="B1747" s="115" t="str">
        <x:v>EXT-MONDE-T035</x:v>
      </x:c>
      <x:c r="C1747" s="115" t="str">
        <x:v>Échangeurs</x:v>
      </x:c>
      <x:c r="D1747" s="115" t="str">
        <x:v>Trèfle autoroutier</x:v>
      </x:c>
      <x:c r="E1747" s="115" t="n">
        <x:v>42</x:v>
      </x:c>
      <x:c r="F1747" s="115" t="str">
        <x:v>Inspection physique</x:v>
      </x:c>
      <x:c r="G1747" s="115" t="str">
        <x:v>1 niveaux ; 34 pièces ; 260 segments de mur ; 0 transitions. Inspection physique ; architecture complète encore ouverte.</x:v>
      </x:c>
      <x:c r="H1747" s="115" t="str">
        <x:v>L 1720 ; l 2040 ; hauteur 8 m ; choix de composition auteur ; dimensions réelles à documenter</x:v>
      </x:c>
      <x:c r="I1747" s="115" t="str">
        <x:v>À équilibrer</x:v>
      </x:c>
      <x:c r="J1747" s="115" t="str">
        <x:v>Non</x:v>
      </x:c>
      <x:c r="K1747" s="115" t="str">
        <x:v>Pièces décrites, murs, portes, niveaux et mobilier inspectables à l’échelle. Volumes réservés, raccord au seed, butin, rencontres et services de campagne restent à terminer.</x:v>
      </x:c>
    </x:row>
    <x:row r="1748" ht="96" customHeight="1">
      <x:c r="A1748" s="115" t="str">
        <x:v>EXT-MONDE-T035-V43</x:v>
      </x:c>
      <x:c r="B1748" s="115" t="str">
        <x:v>EXT-MONDE-T035</x:v>
      </x:c>
      <x:c r="C1748" s="115" t="str">
        <x:v>Échangeurs</x:v>
      </x:c>
      <x:c r="D1748" s="115" t="str">
        <x:v>Trèfle autoroutier</x:v>
      </x:c>
      <x:c r="E1748" s="115" t="n">
        <x:v>43</x:v>
      </x:c>
      <x:c r="F1748" s="115" t="str">
        <x:v>Inspection physique</x:v>
      </x:c>
      <x:c r="G1748" s="115" t="str">
        <x:v>1 niveaux ; 34 pièces ; 260 segments de mur ; 0 transitions. Inspection physique ; architecture complète encore ouverte.</x:v>
      </x:c>
      <x:c r="H1748" s="115" t="str">
        <x:v>L 1720 ; l 2040 ; hauteur 8 m ; choix de composition auteur ; dimensions réelles à documenter</x:v>
      </x:c>
      <x:c r="I1748" s="115" t="str">
        <x:v>À équilibrer</x:v>
      </x:c>
      <x:c r="J1748" s="115" t="str">
        <x:v>Non</x:v>
      </x:c>
      <x:c r="K1748" s="115" t="str">
        <x:v>Pièces décrites, murs, portes, niveaux et mobilier inspectables à l’échelle. Volumes réservés, raccord au seed, butin, rencontres et services de campagne restent à terminer.</x:v>
      </x:c>
    </x:row>
    <x:row r="1749" ht="96" customHeight="1">
      <x:c r="A1749" s="115" t="str">
        <x:v>EXT-MONDE-T035-V44</x:v>
      </x:c>
      <x:c r="B1749" s="115" t="str">
        <x:v>EXT-MONDE-T035</x:v>
      </x:c>
      <x:c r="C1749" s="115" t="str">
        <x:v>Échangeurs</x:v>
      </x:c>
      <x:c r="D1749" s="115" t="str">
        <x:v>Trèfle autoroutier</x:v>
      </x:c>
      <x:c r="E1749" s="115" t="n">
        <x:v>44</x:v>
      </x:c>
      <x:c r="F1749" s="115" t="str">
        <x:v>Inspection physique</x:v>
      </x:c>
      <x:c r="G1749" s="115" t="str">
        <x:v>1 niveaux ; 34 pièces ; 260 segments de mur ; 0 transitions. Inspection physique ; architecture complète encore ouverte.</x:v>
      </x:c>
      <x:c r="H1749" s="115" t="str">
        <x:v>L 1720 ; l 2040 ; hauteur 8 m ; choix de composition auteur ; dimensions réelles à documenter</x:v>
      </x:c>
      <x:c r="I1749" s="115" t="str">
        <x:v>À équilibrer</x:v>
      </x:c>
      <x:c r="J1749" s="115" t="str">
        <x:v>Non</x:v>
      </x:c>
      <x:c r="K1749" s="115" t="str">
        <x:v>Pièces décrites, murs, portes, niveaux et mobilier inspectables à l’échelle. Volumes réservés, raccord au seed, butin, rencontres et services de campagne restent à terminer.</x:v>
      </x:c>
    </x:row>
    <x:row r="1750" ht="96" customHeight="1">
      <x:c r="A1750" s="115" t="str">
        <x:v>EXT-MONDE-T035-V45</x:v>
      </x:c>
      <x:c r="B1750" s="115" t="str">
        <x:v>EXT-MONDE-T035</x:v>
      </x:c>
      <x:c r="C1750" s="115" t="str">
        <x:v>Échangeurs</x:v>
      </x:c>
      <x:c r="D1750" s="115" t="str">
        <x:v>Trèfle autoroutier</x:v>
      </x:c>
      <x:c r="E1750" s="115" t="n">
        <x:v>45</x:v>
      </x:c>
      <x:c r="F1750" s="115" t="str">
        <x:v>Inspection physique</x:v>
      </x:c>
      <x:c r="G1750" s="115" t="str">
        <x:v>1 niveaux ; 34 pièces ; 260 segments de mur ; 0 transitions. Inspection physique ; architecture complète encore ouverte.</x:v>
      </x:c>
      <x:c r="H1750" s="115" t="str">
        <x:v>L 1720 ; l 2040 ; hauteur 8 m ; choix de composition auteur ; dimensions réelles à documenter</x:v>
      </x:c>
      <x:c r="I1750" s="115" t="str">
        <x:v>À équilibrer</x:v>
      </x:c>
      <x:c r="J1750" s="115" t="str">
        <x:v>Non</x:v>
      </x:c>
      <x:c r="K1750" s="115" t="str">
        <x:v>Pièces décrites, murs, portes, niveaux et mobilier inspectables à l’échelle. Volumes réservés, raccord au seed, butin, rencontres et services de campagne restent à terminer.</x:v>
      </x:c>
    </x:row>
    <x:row r="1751" ht="96" customHeight="1">
      <x:c r="A1751" s="115" t="str">
        <x:v>EXT-MONDE-T035-V46</x:v>
      </x:c>
      <x:c r="B1751" s="115" t="str">
        <x:v>EXT-MONDE-T035</x:v>
      </x:c>
      <x:c r="C1751" s="115" t="str">
        <x:v>Échangeurs</x:v>
      </x:c>
      <x:c r="D1751" s="115" t="str">
        <x:v>Trèfle autoroutier</x:v>
      </x:c>
      <x:c r="E1751" s="115" t="n">
        <x:v>46</x:v>
      </x:c>
      <x:c r="F1751" s="115" t="str">
        <x:v>Inspection physique</x:v>
      </x:c>
      <x:c r="G1751" s="115" t="str">
        <x:v>1 niveaux ; 34 pièces ; 260 segments de mur ; 0 transitions. Inspection physique ; architecture complète encore ouverte.</x:v>
      </x:c>
      <x:c r="H1751" s="115" t="str">
        <x:v>L 1720 ; l 2040 ; hauteur 8 m ; choix de composition auteur ; dimensions réelles à documenter</x:v>
      </x:c>
      <x:c r="I1751" s="115" t="str">
        <x:v>À équilibrer</x:v>
      </x:c>
      <x:c r="J1751" s="115" t="str">
        <x:v>Non</x:v>
      </x:c>
      <x:c r="K1751" s="115" t="str">
        <x:v>Pièces décrites, murs, portes, niveaux et mobilier inspectables à l’échelle. Volumes réservés, raccord au seed, butin, rencontres et services de campagne restent à terminer.</x:v>
      </x:c>
    </x:row>
    <x:row r="1752" ht="96" customHeight="1">
      <x:c r="A1752" s="115" t="str">
        <x:v>EXT-MONDE-T035-V47</x:v>
      </x:c>
      <x:c r="B1752" s="115" t="str">
        <x:v>EXT-MONDE-T035</x:v>
      </x:c>
      <x:c r="C1752" s="115" t="str">
        <x:v>Échangeurs</x:v>
      </x:c>
      <x:c r="D1752" s="115" t="str">
        <x:v>Trèfle autoroutier</x:v>
      </x:c>
      <x:c r="E1752" s="115" t="n">
        <x:v>47</x:v>
      </x:c>
      <x:c r="F1752" s="115" t="str">
        <x:v>Inspection physique</x:v>
      </x:c>
      <x:c r="G1752" s="115" t="str">
        <x:v>1 niveaux ; 34 pièces ; 260 segments de mur ; 0 transitions. Inspection physique ; architecture complète encore ouverte.</x:v>
      </x:c>
      <x:c r="H1752" s="115" t="str">
        <x:v>L 1720 ; l 2040 ; hauteur 8 m ; choix de composition auteur ; dimensions réelles à documenter</x:v>
      </x:c>
      <x:c r="I1752" s="115" t="str">
        <x:v>À équilibrer</x:v>
      </x:c>
      <x:c r="J1752" s="115" t="str">
        <x:v>Non</x:v>
      </x:c>
      <x:c r="K1752" s="115" t="str">
        <x:v>Pièces décrites, murs, portes, niveaux et mobilier inspectables à l’échelle. Volumes réservés, raccord au seed, butin, rencontres et services de campagne restent à terminer.</x:v>
      </x:c>
    </x:row>
    <x:row r="1753" ht="96" customHeight="1">
      <x:c r="A1753" s="115" t="str">
        <x:v>EXT-MONDE-T035-V48</x:v>
      </x:c>
      <x:c r="B1753" s="115" t="str">
        <x:v>EXT-MONDE-T035</x:v>
      </x:c>
      <x:c r="C1753" s="115" t="str">
        <x:v>Échangeurs</x:v>
      </x:c>
      <x:c r="D1753" s="115" t="str">
        <x:v>Trèfle autoroutier</x:v>
      </x:c>
      <x:c r="E1753" s="115" t="n">
        <x:v>48</x:v>
      </x:c>
      <x:c r="F1753" s="115" t="str">
        <x:v>Inspection physique</x:v>
      </x:c>
      <x:c r="G1753" s="115" t="str">
        <x:v>1 niveaux ; 34 pièces ; 260 segments de mur ; 0 transitions. Inspection physique ; architecture complète encore ouverte.</x:v>
      </x:c>
      <x:c r="H1753" s="115" t="str">
        <x:v>L 1720 ; l 2040 ; hauteur 8 m ; choix de composition auteur ; dimensions réelles à documenter</x:v>
      </x:c>
      <x:c r="I1753" s="115" t="str">
        <x:v>À équilibrer</x:v>
      </x:c>
      <x:c r="J1753" s="115" t="str">
        <x:v>Non</x:v>
      </x:c>
      <x:c r="K1753" s="115" t="str">
        <x:v>Pièces décrites, murs, portes, niveaux et mobilier inspectables à l’échelle. Volumes réservés, raccord au seed, butin, rencontres et services de campagne restent à terminer.</x:v>
      </x:c>
    </x:row>
    <x:row r="1754" ht="96" customHeight="1">
      <x:c r="A1754" s="115" t="str">
        <x:v>EXT-MONDE-T035-V49</x:v>
      </x:c>
      <x:c r="B1754" s="115" t="str">
        <x:v>EXT-MONDE-T035</x:v>
      </x:c>
      <x:c r="C1754" s="115" t="str">
        <x:v>Échangeurs</x:v>
      </x:c>
      <x:c r="D1754" s="115" t="str">
        <x:v>Trèfle autoroutier</x:v>
      </x:c>
      <x:c r="E1754" s="115" t="n">
        <x:v>49</x:v>
      </x:c>
      <x:c r="F1754" s="115" t="str">
        <x:v>Inspection physique</x:v>
      </x:c>
      <x:c r="G1754" s="115" t="str">
        <x:v>1 niveaux ; 34 pièces ; 260 segments de mur ; 0 transitions. Inspection physique ; architecture complète encore ouverte.</x:v>
      </x:c>
      <x:c r="H1754" s="115" t="str">
        <x:v>L 1720 ; l 2040 ; hauteur 8 m ; choix de composition auteur ; dimensions réelles à documenter</x:v>
      </x:c>
      <x:c r="I1754" s="115" t="str">
        <x:v>À équilibrer</x:v>
      </x:c>
      <x:c r="J1754" s="115" t="str">
        <x:v>Non</x:v>
      </x:c>
      <x:c r="K1754" s="115" t="str">
        <x:v>Pièces décrites, murs, portes, niveaux et mobilier inspectables à l’échelle. Volumes réservés, raccord au seed, butin, rencontres et services de campagne restent à terminer.</x:v>
      </x:c>
    </x:row>
    <x:row r="1755" ht="96" customHeight="1">
      <x:c r="A1755" s="115" t="str">
        <x:v>EXT-MONDE-T035-V50</x:v>
      </x:c>
      <x:c r="B1755" s="115" t="str">
        <x:v>EXT-MONDE-T035</x:v>
      </x:c>
      <x:c r="C1755" s="115" t="str">
        <x:v>Échangeurs</x:v>
      </x:c>
      <x:c r="D1755" s="115" t="str">
        <x:v>Trèfle autoroutier</x:v>
      </x:c>
      <x:c r="E1755" s="115" t="n">
        <x:v>50</x:v>
      </x:c>
      <x:c r="F1755" s="115" t="str">
        <x:v>Inspection physique</x:v>
      </x:c>
      <x:c r="G1755" s="115" t="str">
        <x:v>1 niveaux ; 34 pièces ; 260 segments de mur ; 0 transitions. Inspection physique ; architecture complète encore ouverte.</x:v>
      </x:c>
      <x:c r="H1755" s="115" t="str">
        <x:v>L 1720 ; l 2040 ; hauteur 8 m ; choix de composition auteur ; dimensions réelles à documenter</x:v>
      </x:c>
      <x:c r="I1755" s="115" t="str">
        <x:v>À équilibrer</x:v>
      </x:c>
      <x:c r="J1755" s="115" t="str">
        <x:v>Non</x:v>
      </x:c>
      <x:c r="K1755" s="115" t="str">
        <x:v>Pièces décrites, murs, portes, niveaux et mobilier inspectables à l’échelle. Volumes réservés, raccord au seed, butin, rencontres et services de campagne restent à terminer.</x:v>
      </x:c>
    </x:row>
    <x:row r="1756" ht="96" customHeight="1">
      <x:c r="A1756" s="115" t="str">
        <x:v>EXT-MONDE-T036-V01</x:v>
      </x:c>
      <x:c r="B1756" s="115" t="str">
        <x:v>EXT-MONDE-T036</x:v>
      </x:c>
      <x:c r="C1756" s="115" t="str">
        <x:v>Échangeurs</x:v>
      </x:c>
      <x:c r="D1756" s="115" t="str">
        <x:v>Échangeur directionnel</x:v>
      </x:c>
      <x:c r="E1756" s="115" t="n">
        <x:v>1</x:v>
      </x:c>
      <x:c r="F1756" s="115" t="str">
        <x:v>Inspection physique</x:v>
      </x:c>
      <x:c r="G1756" s="115" t="str">
        <x:v>1 niveaux ; 34 pièces ; 260 segments de mur ; 0 transitions. Inspection physique ; architecture complète encore ouverte.</x:v>
      </x:c>
      <x:c r="H1756" s="115" t="str">
        <x:v>L 1400 ; l 1400 ; hauteur 8 m ; choix de composition auteur ; dimensions réelles à documenter</x:v>
      </x:c>
      <x:c r="I1756" s="115" t="str">
        <x:v>À équilibrer</x:v>
      </x:c>
      <x:c r="J1756" s="115" t="str">
        <x:v>Non</x:v>
      </x:c>
      <x:c r="K1756" s="115" t="str">
        <x:v>Pièces décrites, murs, portes, niveaux et mobilier inspectables à l’échelle. Volumes réservés, raccord au seed, butin, rencontres et services de campagne restent à terminer.</x:v>
      </x:c>
    </x:row>
    <x:row r="1757" ht="96" customHeight="1">
      <x:c r="A1757" s="115" t="str">
        <x:v>EXT-MONDE-T036-V02</x:v>
      </x:c>
      <x:c r="B1757" s="115" t="str">
        <x:v>EXT-MONDE-T036</x:v>
      </x:c>
      <x:c r="C1757" s="115" t="str">
        <x:v>Échangeurs</x:v>
      </x:c>
      <x:c r="D1757" s="115" t="str">
        <x:v>Échangeur directionnel</x:v>
      </x:c>
      <x:c r="E1757" s="115" t="n">
        <x:v>2</x:v>
      </x:c>
      <x:c r="F1757" s="115" t="str">
        <x:v>Inspection physique</x:v>
      </x:c>
      <x:c r="G1757" s="115" t="str">
        <x:v>1 niveaux ; 34 pièces ; 260 segments de mur ; 0 transitions. Inspection physique ; architecture complète encore ouverte.</x:v>
      </x:c>
      <x:c r="H1757" s="115" t="str">
        <x:v>L 1400 ; l 1400 ; hauteur 8 m ; choix de composition auteur ; dimensions réelles à documenter</x:v>
      </x:c>
      <x:c r="I1757" s="115" t="str">
        <x:v>À équilibrer</x:v>
      </x:c>
      <x:c r="J1757" s="115" t="str">
        <x:v>Non</x:v>
      </x:c>
      <x:c r="K1757" s="115" t="str">
        <x:v>Pièces décrites, murs, portes, niveaux et mobilier inspectables à l’échelle. Volumes réservés, raccord au seed, butin, rencontres et services de campagne restent à terminer.</x:v>
      </x:c>
    </x:row>
    <x:row r="1758" ht="96" customHeight="1">
      <x:c r="A1758" s="115" t="str">
        <x:v>EXT-MONDE-T036-V03</x:v>
      </x:c>
      <x:c r="B1758" s="115" t="str">
        <x:v>EXT-MONDE-T036</x:v>
      </x:c>
      <x:c r="C1758" s="115" t="str">
        <x:v>Échangeurs</x:v>
      </x:c>
      <x:c r="D1758" s="115" t="str">
        <x:v>Échangeur directionnel</x:v>
      </x:c>
      <x:c r="E1758" s="115" t="n">
        <x:v>3</x:v>
      </x:c>
      <x:c r="F1758" s="115" t="str">
        <x:v>Inspection physique</x:v>
      </x:c>
      <x:c r="G1758" s="115" t="str">
        <x:v>1 niveaux ; 34 pièces ; 260 segments de mur ; 0 transitions. Inspection physique ; architecture complète encore ouverte.</x:v>
      </x:c>
      <x:c r="H1758" s="115" t="str">
        <x:v>L 1400 ; l 1400 ; hauteur 8 m ; choix de composition auteur ; dimensions réelles à documenter</x:v>
      </x:c>
      <x:c r="I1758" s="115" t="str">
        <x:v>À équilibrer</x:v>
      </x:c>
      <x:c r="J1758" s="115" t="str">
        <x:v>Non</x:v>
      </x:c>
      <x:c r="K1758" s="115" t="str">
        <x:v>Pièces décrites, murs, portes, niveaux et mobilier inspectables à l’échelle. Volumes réservés, raccord au seed, butin, rencontres et services de campagne restent à terminer.</x:v>
      </x:c>
    </x:row>
    <x:row r="1759" ht="96" customHeight="1">
      <x:c r="A1759" s="115" t="str">
        <x:v>EXT-MONDE-T036-V04</x:v>
      </x:c>
      <x:c r="B1759" s="115" t="str">
        <x:v>EXT-MONDE-T036</x:v>
      </x:c>
      <x:c r="C1759" s="115" t="str">
        <x:v>Échangeurs</x:v>
      </x:c>
      <x:c r="D1759" s="115" t="str">
        <x:v>Échangeur directionnel</x:v>
      </x:c>
      <x:c r="E1759" s="115" t="n">
        <x:v>4</x:v>
      </x:c>
      <x:c r="F1759" s="115" t="str">
        <x:v>Inspection physique</x:v>
      </x:c>
      <x:c r="G1759" s="115" t="str">
        <x:v>1 niveaux ; 34 pièces ; 260 segments de mur ; 0 transitions. Inspection physique ; architecture complète encore ouverte.</x:v>
      </x:c>
      <x:c r="H1759" s="115" t="str">
        <x:v>L 1400 ; l 1400 ; hauteur 8 m ; choix de composition auteur ; dimensions réelles à documenter</x:v>
      </x:c>
      <x:c r="I1759" s="115" t="str">
        <x:v>À équilibrer</x:v>
      </x:c>
      <x:c r="J1759" s="115" t="str">
        <x:v>Non</x:v>
      </x:c>
      <x:c r="K1759" s="115" t="str">
        <x:v>Pièces décrites, murs, portes, niveaux et mobilier inspectables à l’échelle. Volumes réservés, raccord au seed, butin, rencontres et services de campagne restent à terminer.</x:v>
      </x:c>
    </x:row>
    <x:row r="1760" ht="96" customHeight="1">
      <x:c r="A1760" s="115" t="str">
        <x:v>EXT-MONDE-T036-V05</x:v>
      </x:c>
      <x:c r="B1760" s="115" t="str">
        <x:v>EXT-MONDE-T036</x:v>
      </x:c>
      <x:c r="C1760" s="115" t="str">
        <x:v>Échangeurs</x:v>
      </x:c>
      <x:c r="D1760" s="115" t="str">
        <x:v>Échangeur directionnel</x:v>
      </x:c>
      <x:c r="E1760" s="115" t="n">
        <x:v>5</x:v>
      </x:c>
      <x:c r="F1760" s="115" t="str">
        <x:v>Inspection physique</x:v>
      </x:c>
      <x:c r="G1760" s="115" t="str">
        <x:v>1 niveaux ; 34 pièces ; 260 segments de mur ; 0 transitions. Inspection physique ; architecture complète encore ouverte.</x:v>
      </x:c>
      <x:c r="H1760" s="115" t="str">
        <x:v>L 1400 ; l 1400 ; hauteur 8 m ; choix de composition auteur ; dimensions réelles à documenter</x:v>
      </x:c>
      <x:c r="I1760" s="115" t="str">
        <x:v>À équilibrer</x:v>
      </x:c>
      <x:c r="J1760" s="115" t="str">
        <x:v>Non</x:v>
      </x:c>
      <x:c r="K1760" s="115" t="str">
        <x:v>Pièces décrites, murs, portes, niveaux et mobilier inspectables à l’échelle. Volumes réservés, raccord au seed, butin, rencontres et services de campagne restent à terminer.</x:v>
      </x:c>
    </x:row>
    <x:row r="1761" ht="96" customHeight="1">
      <x:c r="A1761" s="115" t="str">
        <x:v>EXT-MONDE-T036-V06</x:v>
      </x:c>
      <x:c r="B1761" s="115" t="str">
        <x:v>EXT-MONDE-T036</x:v>
      </x:c>
      <x:c r="C1761" s="115" t="str">
        <x:v>Échangeurs</x:v>
      </x:c>
      <x:c r="D1761" s="115" t="str">
        <x:v>Échangeur directionnel</x:v>
      </x:c>
      <x:c r="E1761" s="115" t="n">
        <x:v>6</x:v>
      </x:c>
      <x:c r="F1761" s="115" t="str">
        <x:v>Inspection physique</x:v>
      </x:c>
      <x:c r="G1761" s="115" t="str">
        <x:v>1 niveaux ; 34 pièces ; 260 segments de mur ; 0 transitions. Inspection physique ; architecture complète encore ouverte.</x:v>
      </x:c>
      <x:c r="H1761" s="115" t="str">
        <x:v>L 1400 ; l 1400 ; hauteur 8 m ; choix de composition auteur ; dimensions réelles à documenter</x:v>
      </x:c>
      <x:c r="I1761" s="115" t="str">
        <x:v>À équilibrer</x:v>
      </x:c>
      <x:c r="J1761" s="115" t="str">
        <x:v>Non</x:v>
      </x:c>
      <x:c r="K1761" s="115" t="str">
        <x:v>Pièces décrites, murs, portes, niveaux et mobilier inspectables à l’échelle. Volumes réservés, raccord au seed, butin, rencontres et services de campagne restent à terminer.</x:v>
      </x:c>
    </x:row>
    <x:row r="1762" ht="96" customHeight="1">
      <x:c r="A1762" s="115" t="str">
        <x:v>EXT-MONDE-T036-V07</x:v>
      </x:c>
      <x:c r="B1762" s="115" t="str">
        <x:v>EXT-MONDE-T036</x:v>
      </x:c>
      <x:c r="C1762" s="115" t="str">
        <x:v>Échangeurs</x:v>
      </x:c>
      <x:c r="D1762" s="115" t="str">
        <x:v>Échangeur directionnel</x:v>
      </x:c>
      <x:c r="E1762" s="115" t="n">
        <x:v>7</x:v>
      </x:c>
      <x:c r="F1762" s="115" t="str">
        <x:v>Inspection physique</x:v>
      </x:c>
      <x:c r="G1762" s="115" t="str">
        <x:v>1 niveaux ; 34 pièces ; 260 segments de mur ; 0 transitions. Inspection physique ; architecture complète encore ouverte.</x:v>
      </x:c>
      <x:c r="H1762" s="115" t="str">
        <x:v>L 1400 ; l 1400 ; hauteur 8 m ; choix de composition auteur ; dimensions réelles à documenter</x:v>
      </x:c>
      <x:c r="I1762" s="115" t="str">
        <x:v>À équilibrer</x:v>
      </x:c>
      <x:c r="J1762" s="115" t="str">
        <x:v>Non</x:v>
      </x:c>
      <x:c r="K1762" s="115" t="str">
        <x:v>Pièces décrites, murs, portes, niveaux et mobilier inspectables à l’échelle. Volumes réservés, raccord au seed, butin, rencontres et services de campagne restent à terminer.</x:v>
      </x:c>
    </x:row>
    <x:row r="1763" ht="96" customHeight="1">
      <x:c r="A1763" s="115" t="str">
        <x:v>EXT-MONDE-T036-V08</x:v>
      </x:c>
      <x:c r="B1763" s="115" t="str">
        <x:v>EXT-MONDE-T036</x:v>
      </x:c>
      <x:c r="C1763" s="115" t="str">
        <x:v>Échangeurs</x:v>
      </x:c>
      <x:c r="D1763" s="115" t="str">
        <x:v>Échangeur directionnel</x:v>
      </x:c>
      <x:c r="E1763" s="115" t="n">
        <x:v>8</x:v>
      </x:c>
      <x:c r="F1763" s="115" t="str">
        <x:v>Inspection physique</x:v>
      </x:c>
      <x:c r="G1763" s="115" t="str">
        <x:v>1 niveaux ; 34 pièces ; 260 segments de mur ; 0 transitions. Inspection physique ; architecture complète encore ouverte.</x:v>
      </x:c>
      <x:c r="H1763" s="115" t="str">
        <x:v>L 1400 ; l 1400 ; hauteur 8 m ; choix de composition auteur ; dimensions réelles à documenter</x:v>
      </x:c>
      <x:c r="I1763" s="115" t="str">
        <x:v>À équilibrer</x:v>
      </x:c>
      <x:c r="J1763" s="115" t="str">
        <x:v>Non</x:v>
      </x:c>
      <x:c r="K1763" s="115" t="str">
        <x:v>Pièces décrites, murs, portes, niveaux et mobilier inspectables à l’échelle. Volumes réservés, raccord au seed, butin, rencontres et services de campagne restent à terminer.</x:v>
      </x:c>
    </x:row>
    <x:row r="1764" ht="96" customHeight="1">
      <x:c r="A1764" s="115" t="str">
        <x:v>EXT-MONDE-T036-V09</x:v>
      </x:c>
      <x:c r="B1764" s="115" t="str">
        <x:v>EXT-MONDE-T036</x:v>
      </x:c>
      <x:c r="C1764" s="115" t="str">
        <x:v>Échangeurs</x:v>
      </x:c>
      <x:c r="D1764" s="115" t="str">
        <x:v>Échangeur directionnel</x:v>
      </x:c>
      <x:c r="E1764" s="115" t="n">
        <x:v>9</x:v>
      </x:c>
      <x:c r="F1764" s="115" t="str">
        <x:v>Inspection physique</x:v>
      </x:c>
      <x:c r="G1764" s="115" t="str">
        <x:v>1 niveaux ; 34 pièces ; 260 segments de mur ; 0 transitions. Inspection physique ; architecture complète encore ouverte.</x:v>
      </x:c>
      <x:c r="H1764" s="115" t="str">
        <x:v>L 1400 ; l 1400 ; hauteur 8 m ; choix de composition auteur ; dimensions réelles à documenter</x:v>
      </x:c>
      <x:c r="I1764" s="115" t="str">
        <x:v>À équilibrer</x:v>
      </x:c>
      <x:c r="J1764" s="115" t="str">
        <x:v>Non</x:v>
      </x:c>
      <x:c r="K1764" s="115" t="str">
        <x:v>Pièces décrites, murs, portes, niveaux et mobilier inspectables à l’échelle. Volumes réservés, raccord au seed, butin, rencontres et services de campagne restent à terminer.</x:v>
      </x:c>
    </x:row>
    <x:row r="1765" ht="96" customHeight="1">
      <x:c r="A1765" s="115" t="str">
        <x:v>EXT-MONDE-T036-V10</x:v>
      </x:c>
      <x:c r="B1765" s="115" t="str">
        <x:v>EXT-MONDE-T036</x:v>
      </x:c>
      <x:c r="C1765" s="115" t="str">
        <x:v>Échangeurs</x:v>
      </x:c>
      <x:c r="D1765" s="115" t="str">
        <x:v>Échangeur directionnel</x:v>
      </x:c>
      <x:c r="E1765" s="115" t="n">
        <x:v>10</x:v>
      </x:c>
      <x:c r="F1765" s="115" t="str">
        <x:v>Inspection physique</x:v>
      </x:c>
      <x:c r="G1765" s="115" t="str">
        <x:v>1 niveaux ; 34 pièces ; 260 segments de mur ; 0 transitions. Inspection physique ; architecture complète encore ouverte.</x:v>
      </x:c>
      <x:c r="H1765" s="115" t="str">
        <x:v>L 1400 ; l 1400 ; hauteur 8 m ; choix de composition auteur ; dimensions réelles à documenter</x:v>
      </x:c>
      <x:c r="I1765" s="115" t="str">
        <x:v>À équilibrer</x:v>
      </x:c>
      <x:c r="J1765" s="115" t="str">
        <x:v>Non</x:v>
      </x:c>
      <x:c r="K1765" s="115" t="str">
        <x:v>Pièces décrites, murs, portes, niveaux et mobilier inspectables à l’échelle. Volumes réservés, raccord au seed, butin, rencontres et services de campagne restent à terminer.</x:v>
      </x:c>
    </x:row>
    <x:row r="1766" ht="96" customHeight="1">
      <x:c r="A1766" s="115" t="str">
        <x:v>EXT-MONDE-T036-V11</x:v>
      </x:c>
      <x:c r="B1766" s="115" t="str">
        <x:v>EXT-MONDE-T036</x:v>
      </x:c>
      <x:c r="C1766" s="115" t="str">
        <x:v>Échangeurs</x:v>
      </x:c>
      <x:c r="D1766" s="115" t="str">
        <x:v>Échangeur directionnel</x:v>
      </x:c>
      <x:c r="E1766" s="115" t="n">
        <x:v>11</x:v>
      </x:c>
      <x:c r="F1766" s="115" t="str">
        <x:v>Inspection physique</x:v>
      </x:c>
      <x:c r="G1766" s="115" t="str">
        <x:v>1 niveaux ; 34 pièces ; 260 segments de mur ; 0 transitions. Inspection physique ; architecture complète encore ouverte.</x:v>
      </x:c>
      <x:c r="H1766" s="115" t="str">
        <x:v>L 1480 ; l 1560 ; hauteur 8 m ; choix de composition auteur ; dimensions réelles à documenter</x:v>
      </x:c>
      <x:c r="I1766" s="115" t="str">
        <x:v>À équilibrer</x:v>
      </x:c>
      <x:c r="J1766" s="115" t="str">
        <x:v>Non</x:v>
      </x:c>
      <x:c r="K1766" s="115" t="str">
        <x:v>Pièces décrites, murs, portes, niveaux et mobilier inspectables à l’échelle. Volumes réservés, raccord au seed, butin, rencontres et services de campagne restent à terminer.</x:v>
      </x:c>
    </x:row>
    <x:row r="1767" ht="96" customHeight="1">
      <x:c r="A1767" s="115" t="str">
        <x:v>EXT-MONDE-T036-V12</x:v>
      </x:c>
      <x:c r="B1767" s="115" t="str">
        <x:v>EXT-MONDE-T036</x:v>
      </x:c>
      <x:c r="C1767" s="115" t="str">
        <x:v>Échangeurs</x:v>
      </x:c>
      <x:c r="D1767" s="115" t="str">
        <x:v>Échangeur directionnel</x:v>
      </x:c>
      <x:c r="E1767" s="115" t="n">
        <x:v>12</x:v>
      </x:c>
      <x:c r="F1767" s="115" t="str">
        <x:v>Inspection physique</x:v>
      </x:c>
      <x:c r="G1767" s="115" t="str">
        <x:v>1 niveaux ; 34 pièces ; 260 segments de mur ; 0 transitions. Inspection physique ; architecture complète encore ouverte.</x:v>
      </x:c>
      <x:c r="H1767" s="115" t="str">
        <x:v>L 1480 ; l 1560 ; hauteur 8 m ; choix de composition auteur ; dimensions réelles à documenter</x:v>
      </x:c>
      <x:c r="I1767" s="115" t="str">
        <x:v>À équilibrer</x:v>
      </x:c>
      <x:c r="J1767" s="115" t="str">
        <x:v>Non</x:v>
      </x:c>
      <x:c r="K1767" s="115" t="str">
        <x:v>Pièces décrites, murs, portes, niveaux et mobilier inspectables à l’échelle. Volumes réservés, raccord au seed, butin, rencontres et services de campagne restent à terminer.</x:v>
      </x:c>
    </x:row>
    <x:row r="1768" ht="96" customHeight="1">
      <x:c r="A1768" s="115" t="str">
        <x:v>EXT-MONDE-T036-V13</x:v>
      </x:c>
      <x:c r="B1768" s="115" t="str">
        <x:v>EXT-MONDE-T036</x:v>
      </x:c>
      <x:c r="C1768" s="115" t="str">
        <x:v>Échangeurs</x:v>
      </x:c>
      <x:c r="D1768" s="115" t="str">
        <x:v>Échangeur directionnel</x:v>
      </x:c>
      <x:c r="E1768" s="115" t="n">
        <x:v>13</x:v>
      </x:c>
      <x:c r="F1768" s="115" t="str">
        <x:v>Inspection physique</x:v>
      </x:c>
      <x:c r="G1768" s="115" t="str">
        <x:v>1 niveaux ; 34 pièces ; 260 segments de mur ; 0 transitions. Inspection physique ; architecture complète encore ouverte.</x:v>
      </x:c>
      <x:c r="H1768" s="115" t="str">
        <x:v>L 1480 ; l 1560 ; hauteur 8 m ; choix de composition auteur ; dimensions réelles à documenter</x:v>
      </x:c>
      <x:c r="I1768" s="115" t="str">
        <x:v>À équilibrer</x:v>
      </x:c>
      <x:c r="J1768" s="115" t="str">
        <x:v>Non</x:v>
      </x:c>
      <x:c r="K1768" s="115" t="str">
        <x:v>Pièces décrites, murs, portes, niveaux et mobilier inspectables à l’échelle. Volumes réservés, raccord au seed, butin, rencontres et services de campagne restent à terminer.</x:v>
      </x:c>
    </x:row>
    <x:row r="1769" ht="96" customHeight="1">
      <x:c r="A1769" s="115" t="str">
        <x:v>EXT-MONDE-T036-V14</x:v>
      </x:c>
      <x:c r="B1769" s="115" t="str">
        <x:v>EXT-MONDE-T036</x:v>
      </x:c>
      <x:c r="C1769" s="115" t="str">
        <x:v>Échangeurs</x:v>
      </x:c>
      <x:c r="D1769" s="115" t="str">
        <x:v>Échangeur directionnel</x:v>
      </x:c>
      <x:c r="E1769" s="115" t="n">
        <x:v>14</x:v>
      </x:c>
      <x:c r="F1769" s="115" t="str">
        <x:v>Inspection physique</x:v>
      </x:c>
      <x:c r="G1769" s="115" t="str">
        <x:v>1 niveaux ; 34 pièces ; 260 segments de mur ; 0 transitions. Inspection physique ; architecture complète encore ouverte.</x:v>
      </x:c>
      <x:c r="H1769" s="115" t="str">
        <x:v>L 1480 ; l 1560 ; hauteur 8 m ; choix de composition auteur ; dimensions réelles à documenter</x:v>
      </x:c>
      <x:c r="I1769" s="115" t="str">
        <x:v>À équilibrer</x:v>
      </x:c>
      <x:c r="J1769" s="115" t="str">
        <x:v>Non</x:v>
      </x:c>
      <x:c r="K1769" s="115" t="str">
        <x:v>Pièces décrites, murs, portes, niveaux et mobilier inspectables à l’échelle. Volumes réservés, raccord au seed, butin, rencontres et services de campagne restent à terminer.</x:v>
      </x:c>
    </x:row>
    <x:row r="1770" ht="96" customHeight="1">
      <x:c r="A1770" s="115" t="str">
        <x:v>EXT-MONDE-T036-V15</x:v>
      </x:c>
      <x:c r="B1770" s="115" t="str">
        <x:v>EXT-MONDE-T036</x:v>
      </x:c>
      <x:c r="C1770" s="115" t="str">
        <x:v>Échangeurs</x:v>
      </x:c>
      <x:c r="D1770" s="115" t="str">
        <x:v>Échangeur directionnel</x:v>
      </x:c>
      <x:c r="E1770" s="115" t="n">
        <x:v>15</x:v>
      </x:c>
      <x:c r="F1770" s="115" t="str">
        <x:v>Inspection physique</x:v>
      </x:c>
      <x:c r="G1770" s="115" t="str">
        <x:v>1 niveaux ; 34 pièces ; 260 segments de mur ; 0 transitions. Inspection physique ; architecture complète encore ouverte.</x:v>
      </x:c>
      <x:c r="H1770" s="115" t="str">
        <x:v>L 1480 ; l 1560 ; hauteur 8 m ; choix de composition auteur ; dimensions réelles à documenter</x:v>
      </x:c>
      <x:c r="I1770" s="115" t="str">
        <x:v>À équilibrer</x:v>
      </x:c>
      <x:c r="J1770" s="115" t="str">
        <x:v>Non</x:v>
      </x:c>
      <x:c r="K1770" s="115" t="str">
        <x:v>Pièces décrites, murs, portes, niveaux et mobilier inspectables à l’échelle. Volumes réservés, raccord au seed, butin, rencontres et services de campagne restent à terminer.</x:v>
      </x:c>
    </x:row>
    <x:row r="1771" ht="96" customHeight="1">
      <x:c r="A1771" s="115" t="str">
        <x:v>EXT-MONDE-T036-V16</x:v>
      </x:c>
      <x:c r="B1771" s="115" t="str">
        <x:v>EXT-MONDE-T036</x:v>
      </x:c>
      <x:c r="C1771" s="115" t="str">
        <x:v>Échangeurs</x:v>
      </x:c>
      <x:c r="D1771" s="115" t="str">
        <x:v>Échangeur directionnel</x:v>
      </x:c>
      <x:c r="E1771" s="115" t="n">
        <x:v>16</x:v>
      </x:c>
      <x:c r="F1771" s="115" t="str">
        <x:v>Inspection physique</x:v>
      </x:c>
      <x:c r="G1771" s="115" t="str">
        <x:v>1 niveaux ; 34 pièces ; 260 segments de mur ; 0 transitions. Inspection physique ; architecture complète encore ouverte.</x:v>
      </x:c>
      <x:c r="H1771" s="115" t="str">
        <x:v>L 1480 ; l 1560 ; hauteur 8 m ; choix de composition auteur ; dimensions réelles à documenter</x:v>
      </x:c>
      <x:c r="I1771" s="115" t="str">
        <x:v>À équilibrer</x:v>
      </x:c>
      <x:c r="J1771" s="115" t="str">
        <x:v>Non</x:v>
      </x:c>
      <x:c r="K1771" s="115" t="str">
        <x:v>Pièces décrites, murs, portes, niveaux et mobilier inspectables à l’échelle. Volumes réservés, raccord au seed, butin, rencontres et services de campagne restent à terminer.</x:v>
      </x:c>
    </x:row>
    <x:row r="1772" ht="96" customHeight="1">
      <x:c r="A1772" s="115" t="str">
        <x:v>EXT-MONDE-T036-V17</x:v>
      </x:c>
      <x:c r="B1772" s="115" t="str">
        <x:v>EXT-MONDE-T036</x:v>
      </x:c>
      <x:c r="C1772" s="115" t="str">
        <x:v>Échangeurs</x:v>
      </x:c>
      <x:c r="D1772" s="115" t="str">
        <x:v>Échangeur directionnel</x:v>
      </x:c>
      <x:c r="E1772" s="115" t="n">
        <x:v>17</x:v>
      </x:c>
      <x:c r="F1772" s="115" t="str">
        <x:v>Inspection physique</x:v>
      </x:c>
      <x:c r="G1772" s="115" t="str">
        <x:v>1 niveaux ; 34 pièces ; 260 segments de mur ; 0 transitions. Inspection physique ; architecture complète encore ouverte.</x:v>
      </x:c>
      <x:c r="H1772" s="115" t="str">
        <x:v>L 1480 ; l 1560 ; hauteur 8 m ; choix de composition auteur ; dimensions réelles à documenter</x:v>
      </x:c>
      <x:c r="I1772" s="115" t="str">
        <x:v>À équilibrer</x:v>
      </x:c>
      <x:c r="J1772" s="115" t="str">
        <x:v>Non</x:v>
      </x:c>
      <x:c r="K1772" s="115" t="str">
        <x:v>Pièces décrites, murs, portes, niveaux et mobilier inspectables à l’échelle. Volumes réservés, raccord au seed, butin, rencontres et services de campagne restent à terminer.</x:v>
      </x:c>
    </x:row>
    <x:row r="1773" ht="96" customHeight="1">
      <x:c r="A1773" s="115" t="str">
        <x:v>EXT-MONDE-T036-V18</x:v>
      </x:c>
      <x:c r="B1773" s="115" t="str">
        <x:v>EXT-MONDE-T036</x:v>
      </x:c>
      <x:c r="C1773" s="115" t="str">
        <x:v>Échangeurs</x:v>
      </x:c>
      <x:c r="D1773" s="115" t="str">
        <x:v>Échangeur directionnel</x:v>
      </x:c>
      <x:c r="E1773" s="115" t="n">
        <x:v>18</x:v>
      </x:c>
      <x:c r="F1773" s="115" t="str">
        <x:v>Inspection physique</x:v>
      </x:c>
      <x:c r="G1773" s="115" t="str">
        <x:v>1 niveaux ; 34 pièces ; 260 segments de mur ; 0 transitions. Inspection physique ; architecture complète encore ouverte.</x:v>
      </x:c>
      <x:c r="H1773" s="115" t="str">
        <x:v>L 1480 ; l 1560 ; hauteur 8 m ; choix de composition auteur ; dimensions réelles à documenter</x:v>
      </x:c>
      <x:c r="I1773" s="115" t="str">
        <x:v>À équilibrer</x:v>
      </x:c>
      <x:c r="J1773" s="115" t="str">
        <x:v>Non</x:v>
      </x:c>
      <x:c r="K1773" s="115" t="str">
        <x:v>Pièces décrites, murs, portes, niveaux et mobilier inspectables à l’échelle. Volumes réservés, raccord au seed, butin, rencontres et services de campagne restent à terminer.</x:v>
      </x:c>
    </x:row>
    <x:row r="1774" ht="96" customHeight="1">
      <x:c r="A1774" s="115" t="str">
        <x:v>EXT-MONDE-T036-V19</x:v>
      </x:c>
      <x:c r="B1774" s="115" t="str">
        <x:v>EXT-MONDE-T036</x:v>
      </x:c>
      <x:c r="C1774" s="115" t="str">
        <x:v>Échangeurs</x:v>
      </x:c>
      <x:c r="D1774" s="115" t="str">
        <x:v>Échangeur directionnel</x:v>
      </x:c>
      <x:c r="E1774" s="115" t="n">
        <x:v>19</x:v>
      </x:c>
      <x:c r="F1774" s="115" t="str">
        <x:v>Inspection physique</x:v>
      </x:c>
      <x:c r="G1774" s="115" t="str">
        <x:v>1 niveaux ; 34 pièces ; 260 segments de mur ; 0 transitions. Inspection physique ; architecture complète encore ouverte.</x:v>
      </x:c>
      <x:c r="H1774" s="115" t="str">
        <x:v>L 1480 ; l 1560 ; hauteur 8 m ; choix de composition auteur ; dimensions réelles à documenter</x:v>
      </x:c>
      <x:c r="I1774" s="115" t="str">
        <x:v>À équilibrer</x:v>
      </x:c>
      <x:c r="J1774" s="115" t="str">
        <x:v>Non</x:v>
      </x:c>
      <x:c r="K1774" s="115" t="str">
        <x:v>Pièces décrites, murs, portes, niveaux et mobilier inspectables à l’échelle. Volumes réservés, raccord au seed, butin, rencontres et services de campagne restent à terminer.</x:v>
      </x:c>
    </x:row>
    <x:row r="1775" ht="96" customHeight="1">
      <x:c r="A1775" s="115" t="str">
        <x:v>EXT-MONDE-T036-V20</x:v>
      </x:c>
      <x:c r="B1775" s="115" t="str">
        <x:v>EXT-MONDE-T036</x:v>
      </x:c>
      <x:c r="C1775" s="115" t="str">
        <x:v>Échangeurs</x:v>
      </x:c>
      <x:c r="D1775" s="115" t="str">
        <x:v>Échangeur directionnel</x:v>
      </x:c>
      <x:c r="E1775" s="115" t="n">
        <x:v>20</x:v>
      </x:c>
      <x:c r="F1775" s="115" t="str">
        <x:v>Inspection physique</x:v>
      </x:c>
      <x:c r="G1775" s="115" t="str">
        <x:v>1 niveaux ; 34 pièces ; 260 segments de mur ; 0 transitions. Inspection physique ; architecture complète encore ouverte.</x:v>
      </x:c>
      <x:c r="H1775" s="115" t="str">
        <x:v>L 1480 ; l 1560 ; hauteur 8 m ; choix de composition auteur ; dimensions réelles à documenter</x:v>
      </x:c>
      <x:c r="I1775" s="115" t="str">
        <x:v>À équilibrer</x:v>
      </x:c>
      <x:c r="J1775" s="115" t="str">
        <x:v>Non</x:v>
      </x:c>
      <x:c r="K1775" s="115" t="str">
        <x:v>Pièces décrites, murs, portes, niveaux et mobilier inspectables à l’échelle. Volumes réservés, raccord au seed, butin, rencontres et services de campagne restent à terminer.</x:v>
      </x:c>
    </x:row>
    <x:row r="1776" ht="96" customHeight="1">
      <x:c r="A1776" s="115" t="str">
        <x:v>EXT-MONDE-T036-V21</x:v>
      </x:c>
      <x:c r="B1776" s="115" t="str">
        <x:v>EXT-MONDE-T036</x:v>
      </x:c>
      <x:c r="C1776" s="115" t="str">
        <x:v>Échangeurs</x:v>
      </x:c>
      <x:c r="D1776" s="115" t="str">
        <x:v>Échangeur directionnel</x:v>
      </x:c>
      <x:c r="E1776" s="115" t="n">
        <x:v>21</x:v>
      </x:c>
      <x:c r="F1776" s="115" t="str">
        <x:v>Inspection physique</x:v>
      </x:c>
      <x:c r="G1776" s="115" t="str">
        <x:v>1 niveaux ; 34 pièces ; 260 segments de mur ; 0 transitions. Inspection physique ; architecture complète encore ouverte.</x:v>
      </x:c>
      <x:c r="H1776" s="115" t="str">
        <x:v>L 1560 ; l 1720 ; hauteur 8 m ; choix de composition auteur ; dimensions réelles à documenter</x:v>
      </x:c>
      <x:c r="I1776" s="115" t="str">
        <x:v>À équilibrer</x:v>
      </x:c>
      <x:c r="J1776" s="115" t="str">
        <x:v>Non</x:v>
      </x:c>
      <x:c r="K1776" s="115" t="str">
        <x:v>Pièces décrites, murs, portes, niveaux et mobilier inspectables à l’échelle. Volumes réservés, raccord au seed, butin, rencontres et services de campagne restent à terminer.</x:v>
      </x:c>
    </x:row>
    <x:row r="1777" ht="96" customHeight="1">
      <x:c r="A1777" s="115" t="str">
        <x:v>EXT-MONDE-T036-V22</x:v>
      </x:c>
      <x:c r="B1777" s="115" t="str">
        <x:v>EXT-MONDE-T036</x:v>
      </x:c>
      <x:c r="C1777" s="115" t="str">
        <x:v>Échangeurs</x:v>
      </x:c>
      <x:c r="D1777" s="115" t="str">
        <x:v>Échangeur directionnel</x:v>
      </x:c>
      <x:c r="E1777" s="115" t="n">
        <x:v>22</x:v>
      </x:c>
      <x:c r="F1777" s="115" t="str">
        <x:v>Inspection physique</x:v>
      </x:c>
      <x:c r="G1777" s="115" t="str">
        <x:v>1 niveaux ; 34 pièces ; 260 segments de mur ; 0 transitions. Inspection physique ; architecture complète encore ouverte.</x:v>
      </x:c>
      <x:c r="H1777" s="115" t="str">
        <x:v>L 1560 ; l 1720 ; hauteur 8 m ; choix de composition auteur ; dimensions réelles à documenter</x:v>
      </x:c>
      <x:c r="I1777" s="115" t="str">
        <x:v>À équilibrer</x:v>
      </x:c>
      <x:c r="J1777" s="115" t="str">
        <x:v>Non</x:v>
      </x:c>
      <x:c r="K1777" s="115" t="str">
        <x:v>Pièces décrites, murs, portes, niveaux et mobilier inspectables à l’échelle. Volumes réservés, raccord au seed, butin, rencontres et services de campagne restent à terminer.</x:v>
      </x:c>
    </x:row>
    <x:row r="1778" ht="96" customHeight="1">
      <x:c r="A1778" s="115" t="str">
        <x:v>EXT-MONDE-T036-V23</x:v>
      </x:c>
      <x:c r="B1778" s="115" t="str">
        <x:v>EXT-MONDE-T036</x:v>
      </x:c>
      <x:c r="C1778" s="115" t="str">
        <x:v>Échangeurs</x:v>
      </x:c>
      <x:c r="D1778" s="115" t="str">
        <x:v>Échangeur directionnel</x:v>
      </x:c>
      <x:c r="E1778" s="115" t="n">
        <x:v>23</x:v>
      </x:c>
      <x:c r="F1778" s="115" t="str">
        <x:v>Inspection physique</x:v>
      </x:c>
      <x:c r="G1778" s="115" t="str">
        <x:v>1 niveaux ; 34 pièces ; 260 segments de mur ; 0 transitions. Inspection physique ; architecture complète encore ouverte.</x:v>
      </x:c>
      <x:c r="H1778" s="115" t="str">
        <x:v>L 1560 ; l 1720 ; hauteur 8 m ; choix de composition auteur ; dimensions réelles à documenter</x:v>
      </x:c>
      <x:c r="I1778" s="115" t="str">
        <x:v>À équilibrer</x:v>
      </x:c>
      <x:c r="J1778" s="115" t="str">
        <x:v>Non</x:v>
      </x:c>
      <x:c r="K1778" s="115" t="str">
        <x:v>Pièces décrites, murs, portes, niveaux et mobilier inspectables à l’échelle. Volumes réservés, raccord au seed, butin, rencontres et services de campagne restent à terminer.</x:v>
      </x:c>
    </x:row>
    <x:row r="1779" ht="96" customHeight="1">
      <x:c r="A1779" s="115" t="str">
        <x:v>EXT-MONDE-T036-V24</x:v>
      </x:c>
      <x:c r="B1779" s="115" t="str">
        <x:v>EXT-MONDE-T036</x:v>
      </x:c>
      <x:c r="C1779" s="115" t="str">
        <x:v>Échangeurs</x:v>
      </x:c>
      <x:c r="D1779" s="115" t="str">
        <x:v>Échangeur directionnel</x:v>
      </x:c>
      <x:c r="E1779" s="115" t="n">
        <x:v>24</x:v>
      </x:c>
      <x:c r="F1779" s="115" t="str">
        <x:v>Inspection physique</x:v>
      </x:c>
      <x:c r="G1779" s="115" t="str">
        <x:v>1 niveaux ; 34 pièces ; 260 segments de mur ; 0 transitions. Inspection physique ; architecture complète encore ouverte.</x:v>
      </x:c>
      <x:c r="H1779" s="115" t="str">
        <x:v>L 1560 ; l 1720 ; hauteur 8 m ; choix de composition auteur ; dimensions réelles à documenter</x:v>
      </x:c>
      <x:c r="I1779" s="115" t="str">
        <x:v>À équilibrer</x:v>
      </x:c>
      <x:c r="J1779" s="115" t="str">
        <x:v>Non</x:v>
      </x:c>
      <x:c r="K1779" s="115" t="str">
        <x:v>Pièces décrites, murs, portes, niveaux et mobilier inspectables à l’échelle. Volumes réservés, raccord au seed, butin, rencontres et services de campagne restent à terminer.</x:v>
      </x:c>
    </x:row>
    <x:row r="1780" ht="96" customHeight="1">
      <x:c r="A1780" s="115" t="str">
        <x:v>EXT-MONDE-T036-V25</x:v>
      </x:c>
      <x:c r="B1780" s="115" t="str">
        <x:v>EXT-MONDE-T036</x:v>
      </x:c>
      <x:c r="C1780" s="115" t="str">
        <x:v>Échangeurs</x:v>
      </x:c>
      <x:c r="D1780" s="115" t="str">
        <x:v>Échangeur directionnel</x:v>
      </x:c>
      <x:c r="E1780" s="115" t="n">
        <x:v>25</x:v>
      </x:c>
      <x:c r="F1780" s="115" t="str">
        <x:v>Inspection physique</x:v>
      </x:c>
      <x:c r="G1780" s="115" t="str">
        <x:v>1 niveaux ; 34 pièces ; 260 segments de mur ; 0 transitions. Inspection physique ; architecture complète encore ouverte.</x:v>
      </x:c>
      <x:c r="H1780" s="115" t="str">
        <x:v>L 1560 ; l 1720 ; hauteur 8 m ; choix de composition auteur ; dimensions réelles à documenter</x:v>
      </x:c>
      <x:c r="I1780" s="115" t="str">
        <x:v>À équilibrer</x:v>
      </x:c>
      <x:c r="J1780" s="115" t="str">
        <x:v>Non</x:v>
      </x:c>
      <x:c r="K1780" s="115" t="str">
        <x:v>Pièces décrites, murs, portes, niveaux et mobilier inspectables à l’échelle. Volumes réservés, raccord au seed, butin, rencontres et services de campagne restent à terminer.</x:v>
      </x:c>
    </x:row>
    <x:row r="1781" ht="96" customHeight="1">
      <x:c r="A1781" s="115" t="str">
        <x:v>EXT-MONDE-T036-V26</x:v>
      </x:c>
      <x:c r="B1781" s="115" t="str">
        <x:v>EXT-MONDE-T036</x:v>
      </x:c>
      <x:c r="C1781" s="115" t="str">
        <x:v>Échangeurs</x:v>
      </x:c>
      <x:c r="D1781" s="115" t="str">
        <x:v>Échangeur directionnel</x:v>
      </x:c>
      <x:c r="E1781" s="115" t="n">
        <x:v>26</x:v>
      </x:c>
      <x:c r="F1781" s="115" t="str">
        <x:v>Inspection physique</x:v>
      </x:c>
      <x:c r="G1781" s="115" t="str">
        <x:v>1 niveaux ; 34 pièces ; 260 segments de mur ; 0 transitions. Inspection physique ; architecture complète encore ouverte.</x:v>
      </x:c>
      <x:c r="H1781" s="115" t="str">
        <x:v>L 1560 ; l 1720 ; hauteur 8 m ; choix de composition auteur ; dimensions réelles à documenter</x:v>
      </x:c>
      <x:c r="I1781" s="115" t="str">
        <x:v>À équilibrer</x:v>
      </x:c>
      <x:c r="J1781" s="115" t="str">
        <x:v>Non</x:v>
      </x:c>
      <x:c r="K1781" s="115" t="str">
        <x:v>Pièces décrites, murs, portes, niveaux et mobilier inspectables à l’échelle. Volumes réservés, raccord au seed, butin, rencontres et services de campagne restent à terminer.</x:v>
      </x:c>
    </x:row>
    <x:row r="1782" ht="96" customHeight="1">
      <x:c r="A1782" s="115" t="str">
        <x:v>EXT-MONDE-T036-V27</x:v>
      </x:c>
      <x:c r="B1782" s="115" t="str">
        <x:v>EXT-MONDE-T036</x:v>
      </x:c>
      <x:c r="C1782" s="115" t="str">
        <x:v>Échangeurs</x:v>
      </x:c>
      <x:c r="D1782" s="115" t="str">
        <x:v>Échangeur directionnel</x:v>
      </x:c>
      <x:c r="E1782" s="115" t="n">
        <x:v>27</x:v>
      </x:c>
      <x:c r="F1782" s="115" t="str">
        <x:v>Inspection physique</x:v>
      </x:c>
      <x:c r="G1782" s="115" t="str">
        <x:v>1 niveaux ; 34 pièces ; 260 segments de mur ; 0 transitions. Inspection physique ; architecture complète encore ouverte.</x:v>
      </x:c>
      <x:c r="H1782" s="115" t="str">
        <x:v>L 1560 ; l 1720 ; hauteur 8 m ; choix de composition auteur ; dimensions réelles à documenter</x:v>
      </x:c>
      <x:c r="I1782" s="115" t="str">
        <x:v>À équilibrer</x:v>
      </x:c>
      <x:c r="J1782" s="115" t="str">
        <x:v>Non</x:v>
      </x:c>
      <x:c r="K1782" s="115" t="str">
        <x:v>Pièces décrites, murs, portes, niveaux et mobilier inspectables à l’échelle. Volumes réservés, raccord au seed, butin, rencontres et services de campagne restent à terminer.</x:v>
      </x:c>
    </x:row>
    <x:row r="1783" ht="96" customHeight="1">
      <x:c r="A1783" s="115" t="str">
        <x:v>EXT-MONDE-T036-V28</x:v>
      </x:c>
      <x:c r="B1783" s="115" t="str">
        <x:v>EXT-MONDE-T036</x:v>
      </x:c>
      <x:c r="C1783" s="115" t="str">
        <x:v>Échangeurs</x:v>
      </x:c>
      <x:c r="D1783" s="115" t="str">
        <x:v>Échangeur directionnel</x:v>
      </x:c>
      <x:c r="E1783" s="115" t="n">
        <x:v>28</x:v>
      </x:c>
      <x:c r="F1783" s="115" t="str">
        <x:v>Inspection physique</x:v>
      </x:c>
      <x:c r="G1783" s="115" t="str">
        <x:v>1 niveaux ; 34 pièces ; 260 segments de mur ; 0 transitions. Inspection physique ; architecture complète encore ouverte.</x:v>
      </x:c>
      <x:c r="H1783" s="115" t="str">
        <x:v>L 1560 ; l 1720 ; hauteur 8 m ; choix de composition auteur ; dimensions réelles à documenter</x:v>
      </x:c>
      <x:c r="I1783" s="115" t="str">
        <x:v>À équilibrer</x:v>
      </x:c>
      <x:c r="J1783" s="115" t="str">
        <x:v>Non</x:v>
      </x:c>
      <x:c r="K1783" s="115" t="str">
        <x:v>Pièces décrites, murs, portes, niveaux et mobilier inspectables à l’échelle. Volumes réservés, raccord au seed, butin, rencontres et services de campagne restent à terminer.</x:v>
      </x:c>
    </x:row>
    <x:row r="1784" ht="96" customHeight="1">
      <x:c r="A1784" s="115" t="str">
        <x:v>EXT-MONDE-T036-V29</x:v>
      </x:c>
      <x:c r="B1784" s="115" t="str">
        <x:v>EXT-MONDE-T036</x:v>
      </x:c>
      <x:c r="C1784" s="115" t="str">
        <x:v>Échangeurs</x:v>
      </x:c>
      <x:c r="D1784" s="115" t="str">
        <x:v>Échangeur directionnel</x:v>
      </x:c>
      <x:c r="E1784" s="115" t="n">
        <x:v>29</x:v>
      </x:c>
      <x:c r="F1784" s="115" t="str">
        <x:v>Inspection physique</x:v>
      </x:c>
      <x:c r="G1784" s="115" t="str">
        <x:v>1 niveaux ; 34 pièces ; 260 segments de mur ; 0 transitions. Inspection physique ; architecture complète encore ouverte.</x:v>
      </x:c>
      <x:c r="H1784" s="115" t="str">
        <x:v>L 1560 ; l 1720 ; hauteur 8 m ; choix de composition auteur ; dimensions réelles à documenter</x:v>
      </x:c>
      <x:c r="I1784" s="115" t="str">
        <x:v>À équilibrer</x:v>
      </x:c>
      <x:c r="J1784" s="115" t="str">
        <x:v>Non</x:v>
      </x:c>
      <x:c r="K1784" s="115" t="str">
        <x:v>Pièces décrites, murs, portes, niveaux et mobilier inspectables à l’échelle. Volumes réservés, raccord au seed, butin, rencontres et services de campagne restent à terminer.</x:v>
      </x:c>
    </x:row>
    <x:row r="1785" ht="96" customHeight="1">
      <x:c r="A1785" s="115" t="str">
        <x:v>EXT-MONDE-T036-V30</x:v>
      </x:c>
      <x:c r="B1785" s="115" t="str">
        <x:v>EXT-MONDE-T036</x:v>
      </x:c>
      <x:c r="C1785" s="115" t="str">
        <x:v>Échangeurs</x:v>
      </x:c>
      <x:c r="D1785" s="115" t="str">
        <x:v>Échangeur directionnel</x:v>
      </x:c>
      <x:c r="E1785" s="115" t="n">
        <x:v>30</x:v>
      </x:c>
      <x:c r="F1785" s="115" t="str">
        <x:v>Inspection physique</x:v>
      </x:c>
      <x:c r="G1785" s="115" t="str">
        <x:v>1 niveaux ; 34 pièces ; 260 segments de mur ; 0 transitions. Inspection physique ; architecture complète encore ouverte.</x:v>
      </x:c>
      <x:c r="H1785" s="115" t="str">
        <x:v>L 1560 ; l 1720 ; hauteur 8 m ; choix de composition auteur ; dimensions réelles à documenter</x:v>
      </x:c>
      <x:c r="I1785" s="115" t="str">
        <x:v>À équilibrer</x:v>
      </x:c>
      <x:c r="J1785" s="115" t="str">
        <x:v>Non</x:v>
      </x:c>
      <x:c r="K1785" s="115" t="str">
        <x:v>Pièces décrites, murs, portes, niveaux et mobilier inspectables à l’échelle. Volumes réservés, raccord au seed, butin, rencontres et services de campagne restent à terminer.</x:v>
      </x:c>
    </x:row>
    <x:row r="1786" ht="96" customHeight="1">
      <x:c r="A1786" s="115" t="str">
        <x:v>EXT-MONDE-T036-V31</x:v>
      </x:c>
      <x:c r="B1786" s="115" t="str">
        <x:v>EXT-MONDE-T036</x:v>
      </x:c>
      <x:c r="C1786" s="115" t="str">
        <x:v>Échangeurs</x:v>
      </x:c>
      <x:c r="D1786" s="115" t="str">
        <x:v>Échangeur directionnel</x:v>
      </x:c>
      <x:c r="E1786" s="115" t="n">
        <x:v>31</x:v>
      </x:c>
      <x:c r="F1786" s="115" t="str">
        <x:v>Inspection physique</x:v>
      </x:c>
      <x:c r="G1786" s="115" t="str">
        <x:v>1 niveaux ; 34 pièces ; 260 segments de mur ; 0 transitions. Inspection physique ; architecture complète encore ouverte.</x:v>
      </x:c>
      <x:c r="H1786" s="115" t="str">
        <x:v>L 1640 ; l 1880 ; hauteur 8 m ; choix de composition auteur ; dimensions réelles à documenter</x:v>
      </x:c>
      <x:c r="I1786" s="115" t="str">
        <x:v>À équilibrer</x:v>
      </x:c>
      <x:c r="J1786" s="115" t="str">
        <x:v>Non</x:v>
      </x:c>
      <x:c r="K1786" s="115" t="str">
        <x:v>Pièces décrites, murs, portes, niveaux et mobilier inspectables à l’échelle. Volumes réservés, raccord au seed, butin, rencontres et services de campagne restent à terminer.</x:v>
      </x:c>
    </x:row>
    <x:row r="1787" ht="96" customHeight="1">
      <x:c r="A1787" s="115" t="str">
        <x:v>EXT-MONDE-T036-V32</x:v>
      </x:c>
      <x:c r="B1787" s="115" t="str">
        <x:v>EXT-MONDE-T036</x:v>
      </x:c>
      <x:c r="C1787" s="115" t="str">
        <x:v>Échangeurs</x:v>
      </x:c>
      <x:c r="D1787" s="115" t="str">
        <x:v>Échangeur directionnel</x:v>
      </x:c>
      <x:c r="E1787" s="115" t="n">
        <x:v>32</x:v>
      </x:c>
      <x:c r="F1787" s="115" t="str">
        <x:v>Inspection physique</x:v>
      </x:c>
      <x:c r="G1787" s="115" t="str">
        <x:v>1 niveaux ; 34 pièces ; 260 segments de mur ; 0 transitions. Inspection physique ; architecture complète encore ouverte.</x:v>
      </x:c>
      <x:c r="H1787" s="115" t="str">
        <x:v>L 1640 ; l 1880 ; hauteur 8 m ; choix de composition auteur ; dimensions réelles à documenter</x:v>
      </x:c>
      <x:c r="I1787" s="115" t="str">
        <x:v>À équilibrer</x:v>
      </x:c>
      <x:c r="J1787" s="115" t="str">
        <x:v>Non</x:v>
      </x:c>
      <x:c r="K1787" s="115" t="str">
        <x:v>Pièces décrites, murs, portes, niveaux et mobilier inspectables à l’échelle. Volumes réservés, raccord au seed, butin, rencontres et services de campagne restent à terminer.</x:v>
      </x:c>
    </x:row>
    <x:row r="1788" ht="96" customHeight="1">
      <x:c r="A1788" s="115" t="str">
        <x:v>EXT-MONDE-T036-V33</x:v>
      </x:c>
      <x:c r="B1788" s="115" t="str">
        <x:v>EXT-MONDE-T036</x:v>
      </x:c>
      <x:c r="C1788" s="115" t="str">
        <x:v>Échangeurs</x:v>
      </x:c>
      <x:c r="D1788" s="115" t="str">
        <x:v>Échangeur directionnel</x:v>
      </x:c>
      <x:c r="E1788" s="115" t="n">
        <x:v>33</x:v>
      </x:c>
      <x:c r="F1788" s="115" t="str">
        <x:v>Inspection physique</x:v>
      </x:c>
      <x:c r="G1788" s="115" t="str">
        <x:v>1 niveaux ; 34 pièces ; 260 segments de mur ; 0 transitions. Inspection physique ; architecture complète encore ouverte.</x:v>
      </x:c>
      <x:c r="H1788" s="115" t="str">
        <x:v>L 1640 ; l 1880 ; hauteur 8 m ; choix de composition auteur ; dimensions réelles à documenter</x:v>
      </x:c>
      <x:c r="I1788" s="115" t="str">
        <x:v>À équilibrer</x:v>
      </x:c>
      <x:c r="J1788" s="115" t="str">
        <x:v>Non</x:v>
      </x:c>
      <x:c r="K1788" s="115" t="str">
        <x:v>Pièces décrites, murs, portes, niveaux et mobilier inspectables à l’échelle. Volumes réservés, raccord au seed, butin, rencontres et services de campagne restent à terminer.</x:v>
      </x:c>
    </x:row>
    <x:row r="1789" ht="96" customHeight="1">
      <x:c r="A1789" s="115" t="str">
        <x:v>EXT-MONDE-T036-V34</x:v>
      </x:c>
      <x:c r="B1789" s="115" t="str">
        <x:v>EXT-MONDE-T036</x:v>
      </x:c>
      <x:c r="C1789" s="115" t="str">
        <x:v>Échangeurs</x:v>
      </x:c>
      <x:c r="D1789" s="115" t="str">
        <x:v>Échangeur directionnel</x:v>
      </x:c>
      <x:c r="E1789" s="115" t="n">
        <x:v>34</x:v>
      </x:c>
      <x:c r="F1789" s="115" t="str">
        <x:v>Inspection physique</x:v>
      </x:c>
      <x:c r="G1789" s="115" t="str">
        <x:v>1 niveaux ; 34 pièces ; 260 segments de mur ; 0 transitions. Inspection physique ; architecture complète encore ouverte.</x:v>
      </x:c>
      <x:c r="H1789" s="115" t="str">
        <x:v>L 1640 ; l 1880 ; hauteur 8 m ; choix de composition auteur ; dimensions réelles à documenter</x:v>
      </x:c>
      <x:c r="I1789" s="115" t="str">
        <x:v>À équilibrer</x:v>
      </x:c>
      <x:c r="J1789" s="115" t="str">
        <x:v>Non</x:v>
      </x:c>
      <x:c r="K1789" s="115" t="str">
        <x:v>Pièces décrites, murs, portes, niveaux et mobilier inspectables à l’échelle. Volumes réservés, raccord au seed, butin, rencontres et services de campagne restent à terminer.</x:v>
      </x:c>
    </x:row>
    <x:row r="1790" ht="96" customHeight="1">
      <x:c r="A1790" s="115" t="str">
        <x:v>EXT-MONDE-T036-V35</x:v>
      </x:c>
      <x:c r="B1790" s="115" t="str">
        <x:v>EXT-MONDE-T036</x:v>
      </x:c>
      <x:c r="C1790" s="115" t="str">
        <x:v>Échangeurs</x:v>
      </x:c>
      <x:c r="D1790" s="115" t="str">
        <x:v>Échangeur directionnel</x:v>
      </x:c>
      <x:c r="E1790" s="115" t="n">
        <x:v>35</x:v>
      </x:c>
      <x:c r="F1790" s="115" t="str">
        <x:v>Inspection physique</x:v>
      </x:c>
      <x:c r="G1790" s="115" t="str">
        <x:v>1 niveaux ; 34 pièces ; 260 segments de mur ; 0 transitions. Inspection physique ; architecture complète encore ouverte.</x:v>
      </x:c>
      <x:c r="H1790" s="115" t="str">
        <x:v>L 1640 ; l 1880 ; hauteur 8 m ; choix de composition auteur ; dimensions réelles à documenter</x:v>
      </x:c>
      <x:c r="I1790" s="115" t="str">
        <x:v>À équilibrer</x:v>
      </x:c>
      <x:c r="J1790" s="115" t="str">
        <x:v>Non</x:v>
      </x:c>
      <x:c r="K1790" s="115" t="str">
        <x:v>Pièces décrites, murs, portes, niveaux et mobilier inspectables à l’échelle. Volumes réservés, raccord au seed, butin, rencontres et services de campagne restent à terminer.</x:v>
      </x:c>
    </x:row>
    <x:row r="1791" ht="96" customHeight="1">
      <x:c r="A1791" s="115" t="str">
        <x:v>EXT-MONDE-T036-V36</x:v>
      </x:c>
      <x:c r="B1791" s="115" t="str">
        <x:v>EXT-MONDE-T036</x:v>
      </x:c>
      <x:c r="C1791" s="115" t="str">
        <x:v>Échangeurs</x:v>
      </x:c>
      <x:c r="D1791" s="115" t="str">
        <x:v>Échangeur directionnel</x:v>
      </x:c>
      <x:c r="E1791" s="115" t="n">
        <x:v>36</x:v>
      </x:c>
      <x:c r="F1791" s="115" t="str">
        <x:v>Inspection physique</x:v>
      </x:c>
      <x:c r="G1791" s="115" t="str">
        <x:v>1 niveaux ; 34 pièces ; 260 segments de mur ; 0 transitions. Inspection physique ; architecture complète encore ouverte.</x:v>
      </x:c>
      <x:c r="H1791" s="115" t="str">
        <x:v>L 1640 ; l 1880 ; hauteur 8 m ; choix de composition auteur ; dimensions réelles à documenter</x:v>
      </x:c>
      <x:c r="I1791" s="115" t="str">
        <x:v>À équilibrer</x:v>
      </x:c>
      <x:c r="J1791" s="115" t="str">
        <x:v>Non</x:v>
      </x:c>
      <x:c r="K1791" s="115" t="str">
        <x:v>Pièces décrites, murs, portes, niveaux et mobilier inspectables à l’échelle. Volumes réservés, raccord au seed, butin, rencontres et services de campagne restent à terminer.</x:v>
      </x:c>
    </x:row>
    <x:row r="1792" ht="96" customHeight="1">
      <x:c r="A1792" s="115" t="str">
        <x:v>EXT-MONDE-T036-V37</x:v>
      </x:c>
      <x:c r="B1792" s="115" t="str">
        <x:v>EXT-MONDE-T036</x:v>
      </x:c>
      <x:c r="C1792" s="115" t="str">
        <x:v>Échangeurs</x:v>
      </x:c>
      <x:c r="D1792" s="115" t="str">
        <x:v>Échangeur directionnel</x:v>
      </x:c>
      <x:c r="E1792" s="115" t="n">
        <x:v>37</x:v>
      </x:c>
      <x:c r="F1792" s="115" t="str">
        <x:v>Inspection physique</x:v>
      </x:c>
      <x:c r="G1792" s="115" t="str">
        <x:v>1 niveaux ; 34 pièces ; 260 segments de mur ; 0 transitions. Inspection physique ; architecture complète encore ouverte.</x:v>
      </x:c>
      <x:c r="H1792" s="115" t="str">
        <x:v>L 1640 ; l 1880 ; hauteur 8 m ; choix de composition auteur ; dimensions réelles à documenter</x:v>
      </x:c>
      <x:c r="I1792" s="115" t="str">
        <x:v>À équilibrer</x:v>
      </x:c>
      <x:c r="J1792" s="115" t="str">
        <x:v>Non</x:v>
      </x:c>
      <x:c r="K1792" s="115" t="str">
        <x:v>Pièces décrites, murs, portes, niveaux et mobilier inspectables à l’échelle. Volumes réservés, raccord au seed, butin, rencontres et services de campagne restent à terminer.</x:v>
      </x:c>
    </x:row>
    <x:row r="1793" ht="96" customHeight="1">
      <x:c r="A1793" s="115" t="str">
        <x:v>EXT-MONDE-T036-V38</x:v>
      </x:c>
      <x:c r="B1793" s="115" t="str">
        <x:v>EXT-MONDE-T036</x:v>
      </x:c>
      <x:c r="C1793" s="115" t="str">
        <x:v>Échangeurs</x:v>
      </x:c>
      <x:c r="D1793" s="115" t="str">
        <x:v>Échangeur directionnel</x:v>
      </x:c>
      <x:c r="E1793" s="115" t="n">
        <x:v>38</x:v>
      </x:c>
      <x:c r="F1793" s="115" t="str">
        <x:v>Inspection physique</x:v>
      </x:c>
      <x:c r="G1793" s="115" t="str">
        <x:v>1 niveaux ; 34 pièces ; 260 segments de mur ; 0 transitions. Inspection physique ; architecture complète encore ouverte.</x:v>
      </x:c>
      <x:c r="H1793" s="115" t="str">
        <x:v>L 1640 ; l 1880 ; hauteur 8 m ; choix de composition auteur ; dimensions réelles à documenter</x:v>
      </x:c>
      <x:c r="I1793" s="115" t="str">
        <x:v>À équilibrer</x:v>
      </x:c>
      <x:c r="J1793" s="115" t="str">
        <x:v>Non</x:v>
      </x:c>
      <x:c r="K1793" s="115" t="str">
        <x:v>Pièces décrites, murs, portes, niveaux et mobilier inspectables à l’échelle. Volumes réservés, raccord au seed, butin, rencontres et services de campagne restent à terminer.</x:v>
      </x:c>
    </x:row>
    <x:row r="1794" ht="96" customHeight="1">
      <x:c r="A1794" s="115" t="str">
        <x:v>EXT-MONDE-T036-V39</x:v>
      </x:c>
      <x:c r="B1794" s="115" t="str">
        <x:v>EXT-MONDE-T036</x:v>
      </x:c>
      <x:c r="C1794" s="115" t="str">
        <x:v>Échangeurs</x:v>
      </x:c>
      <x:c r="D1794" s="115" t="str">
        <x:v>Échangeur directionnel</x:v>
      </x:c>
      <x:c r="E1794" s="115" t="n">
        <x:v>39</x:v>
      </x:c>
      <x:c r="F1794" s="115" t="str">
        <x:v>Inspection physique</x:v>
      </x:c>
      <x:c r="G1794" s="115" t="str">
        <x:v>1 niveaux ; 34 pièces ; 260 segments de mur ; 0 transitions. Inspection physique ; architecture complète encore ouverte.</x:v>
      </x:c>
      <x:c r="H1794" s="115" t="str">
        <x:v>L 1640 ; l 1880 ; hauteur 8 m ; choix de composition auteur ; dimensions réelles à documenter</x:v>
      </x:c>
      <x:c r="I1794" s="115" t="str">
        <x:v>À équilibrer</x:v>
      </x:c>
      <x:c r="J1794" s="115" t="str">
        <x:v>Non</x:v>
      </x:c>
      <x:c r="K1794" s="115" t="str">
        <x:v>Pièces décrites, murs, portes, niveaux et mobilier inspectables à l’échelle. Volumes réservés, raccord au seed, butin, rencontres et services de campagne restent à terminer.</x:v>
      </x:c>
    </x:row>
    <x:row r="1795" ht="96" customHeight="1">
      <x:c r="A1795" s="115" t="str">
        <x:v>EXT-MONDE-T036-V40</x:v>
      </x:c>
      <x:c r="B1795" s="115" t="str">
        <x:v>EXT-MONDE-T036</x:v>
      </x:c>
      <x:c r="C1795" s="115" t="str">
        <x:v>Échangeurs</x:v>
      </x:c>
      <x:c r="D1795" s="115" t="str">
        <x:v>Échangeur directionnel</x:v>
      </x:c>
      <x:c r="E1795" s="115" t="n">
        <x:v>40</x:v>
      </x:c>
      <x:c r="F1795" s="115" t="str">
        <x:v>Inspection physique</x:v>
      </x:c>
      <x:c r="G1795" s="115" t="str">
        <x:v>1 niveaux ; 34 pièces ; 260 segments de mur ; 0 transitions. Inspection physique ; architecture complète encore ouverte.</x:v>
      </x:c>
      <x:c r="H1795" s="115" t="str">
        <x:v>L 1640 ; l 1880 ; hauteur 8 m ; choix de composition auteur ; dimensions réelles à documenter</x:v>
      </x:c>
      <x:c r="I1795" s="115" t="str">
        <x:v>À équilibrer</x:v>
      </x:c>
      <x:c r="J1795" s="115" t="str">
        <x:v>Non</x:v>
      </x:c>
      <x:c r="K1795" s="115" t="str">
        <x:v>Pièces décrites, murs, portes, niveaux et mobilier inspectables à l’échelle. Volumes réservés, raccord au seed, butin, rencontres et services de campagne restent à terminer.</x:v>
      </x:c>
    </x:row>
    <x:row r="1796" ht="96" customHeight="1">
      <x:c r="A1796" s="115" t="str">
        <x:v>EXT-MONDE-T036-V41</x:v>
      </x:c>
      <x:c r="B1796" s="115" t="str">
        <x:v>EXT-MONDE-T036</x:v>
      </x:c>
      <x:c r="C1796" s="115" t="str">
        <x:v>Échangeurs</x:v>
      </x:c>
      <x:c r="D1796" s="115" t="str">
        <x:v>Échangeur directionnel</x:v>
      </x:c>
      <x:c r="E1796" s="115" t="n">
        <x:v>41</x:v>
      </x:c>
      <x:c r="F1796" s="115" t="str">
        <x:v>Inspection physique</x:v>
      </x:c>
      <x:c r="G1796" s="115" t="str">
        <x:v>1 niveaux ; 34 pièces ; 260 segments de mur ; 0 transitions. Inspection physique ; architecture complète encore ouverte.</x:v>
      </x:c>
      <x:c r="H1796" s="115" t="str">
        <x:v>L 1720 ; l 2040 ; hauteur 8 m ; choix de composition auteur ; dimensions réelles à documenter</x:v>
      </x:c>
      <x:c r="I1796" s="115" t="str">
        <x:v>À équilibrer</x:v>
      </x:c>
      <x:c r="J1796" s="115" t="str">
        <x:v>Non</x:v>
      </x:c>
      <x:c r="K1796" s="115" t="str">
        <x:v>Pièces décrites, murs, portes, niveaux et mobilier inspectables à l’échelle. Volumes réservés, raccord au seed, butin, rencontres et services de campagne restent à terminer.</x:v>
      </x:c>
    </x:row>
    <x:row r="1797" ht="96" customHeight="1">
      <x:c r="A1797" s="115" t="str">
        <x:v>EXT-MONDE-T036-V42</x:v>
      </x:c>
      <x:c r="B1797" s="115" t="str">
        <x:v>EXT-MONDE-T036</x:v>
      </x:c>
      <x:c r="C1797" s="115" t="str">
        <x:v>Échangeurs</x:v>
      </x:c>
      <x:c r="D1797" s="115" t="str">
        <x:v>Échangeur directionnel</x:v>
      </x:c>
      <x:c r="E1797" s="115" t="n">
        <x:v>42</x:v>
      </x:c>
      <x:c r="F1797" s="115" t="str">
        <x:v>Inspection physique</x:v>
      </x:c>
      <x:c r="G1797" s="115" t="str">
        <x:v>1 niveaux ; 34 pièces ; 260 segments de mur ; 0 transitions. Inspection physique ; architecture complète encore ouverte.</x:v>
      </x:c>
      <x:c r="H1797" s="115" t="str">
        <x:v>L 1720 ; l 2040 ; hauteur 8 m ; choix de composition auteur ; dimensions réelles à documenter</x:v>
      </x:c>
      <x:c r="I1797" s="115" t="str">
        <x:v>À équilibrer</x:v>
      </x:c>
      <x:c r="J1797" s="115" t="str">
        <x:v>Non</x:v>
      </x:c>
      <x:c r="K1797" s="115" t="str">
        <x:v>Pièces décrites, murs, portes, niveaux et mobilier inspectables à l’échelle. Volumes réservés, raccord au seed, butin, rencontres et services de campagne restent à terminer.</x:v>
      </x:c>
    </x:row>
    <x:row r="1798" ht="96" customHeight="1">
      <x:c r="A1798" s="115" t="str">
        <x:v>EXT-MONDE-T036-V43</x:v>
      </x:c>
      <x:c r="B1798" s="115" t="str">
        <x:v>EXT-MONDE-T036</x:v>
      </x:c>
      <x:c r="C1798" s="115" t="str">
        <x:v>Échangeurs</x:v>
      </x:c>
      <x:c r="D1798" s="115" t="str">
        <x:v>Échangeur directionnel</x:v>
      </x:c>
      <x:c r="E1798" s="115" t="n">
        <x:v>43</x:v>
      </x:c>
      <x:c r="F1798" s="115" t="str">
        <x:v>Inspection physique</x:v>
      </x:c>
      <x:c r="G1798" s="115" t="str">
        <x:v>1 niveaux ; 34 pièces ; 260 segments de mur ; 0 transitions. Inspection physique ; architecture complète encore ouverte.</x:v>
      </x:c>
      <x:c r="H1798" s="115" t="str">
        <x:v>L 1720 ; l 2040 ; hauteur 8 m ; choix de composition auteur ; dimensions réelles à documenter</x:v>
      </x:c>
      <x:c r="I1798" s="115" t="str">
        <x:v>À équilibrer</x:v>
      </x:c>
      <x:c r="J1798" s="115" t="str">
        <x:v>Non</x:v>
      </x:c>
      <x:c r="K1798" s="115" t="str">
        <x:v>Pièces décrites, murs, portes, niveaux et mobilier inspectables à l’échelle. Volumes réservés, raccord au seed, butin, rencontres et services de campagne restent à terminer.</x:v>
      </x:c>
    </x:row>
    <x:row r="1799" ht="96" customHeight="1">
      <x:c r="A1799" s="115" t="str">
        <x:v>EXT-MONDE-T036-V44</x:v>
      </x:c>
      <x:c r="B1799" s="115" t="str">
        <x:v>EXT-MONDE-T036</x:v>
      </x:c>
      <x:c r="C1799" s="115" t="str">
        <x:v>Échangeurs</x:v>
      </x:c>
      <x:c r="D1799" s="115" t="str">
        <x:v>Échangeur directionnel</x:v>
      </x:c>
      <x:c r="E1799" s="115" t="n">
        <x:v>44</x:v>
      </x:c>
      <x:c r="F1799" s="115" t="str">
        <x:v>Inspection physique</x:v>
      </x:c>
      <x:c r="G1799" s="115" t="str">
        <x:v>1 niveaux ; 34 pièces ; 260 segments de mur ; 0 transitions. Inspection physique ; architecture complète encore ouverte.</x:v>
      </x:c>
      <x:c r="H1799" s="115" t="str">
        <x:v>L 1720 ; l 2040 ; hauteur 8 m ; choix de composition auteur ; dimensions réelles à documenter</x:v>
      </x:c>
      <x:c r="I1799" s="115" t="str">
        <x:v>À équilibrer</x:v>
      </x:c>
      <x:c r="J1799" s="115" t="str">
        <x:v>Non</x:v>
      </x:c>
      <x:c r="K1799" s="115" t="str">
        <x:v>Pièces décrites, murs, portes, niveaux et mobilier inspectables à l’échelle. Volumes réservés, raccord au seed, butin, rencontres et services de campagne restent à terminer.</x:v>
      </x:c>
    </x:row>
    <x:row r="1800" ht="96" customHeight="1">
      <x:c r="A1800" s="115" t="str">
        <x:v>EXT-MONDE-T036-V45</x:v>
      </x:c>
      <x:c r="B1800" s="115" t="str">
        <x:v>EXT-MONDE-T036</x:v>
      </x:c>
      <x:c r="C1800" s="115" t="str">
        <x:v>Échangeurs</x:v>
      </x:c>
      <x:c r="D1800" s="115" t="str">
        <x:v>Échangeur directionnel</x:v>
      </x:c>
      <x:c r="E1800" s="115" t="n">
        <x:v>45</x:v>
      </x:c>
      <x:c r="F1800" s="115" t="str">
        <x:v>Inspection physique</x:v>
      </x:c>
      <x:c r="G1800" s="115" t="str">
        <x:v>1 niveaux ; 34 pièces ; 260 segments de mur ; 0 transitions. Inspection physique ; architecture complète encore ouverte.</x:v>
      </x:c>
      <x:c r="H1800" s="115" t="str">
        <x:v>L 1720 ; l 2040 ; hauteur 8 m ; choix de composition auteur ; dimensions réelles à documenter</x:v>
      </x:c>
      <x:c r="I1800" s="115" t="str">
        <x:v>À équilibrer</x:v>
      </x:c>
      <x:c r="J1800" s="115" t="str">
        <x:v>Non</x:v>
      </x:c>
      <x:c r="K1800" s="115" t="str">
        <x:v>Pièces décrites, murs, portes, niveaux et mobilier inspectables à l’échelle. Volumes réservés, raccord au seed, butin, rencontres et services de campagne restent à terminer.</x:v>
      </x:c>
    </x:row>
    <x:row r="1801" ht="96" customHeight="1">
      <x:c r="A1801" s="115" t="str">
        <x:v>EXT-MONDE-T036-V46</x:v>
      </x:c>
      <x:c r="B1801" s="115" t="str">
        <x:v>EXT-MONDE-T036</x:v>
      </x:c>
      <x:c r="C1801" s="115" t="str">
        <x:v>Échangeurs</x:v>
      </x:c>
      <x:c r="D1801" s="115" t="str">
        <x:v>Échangeur directionnel</x:v>
      </x:c>
      <x:c r="E1801" s="115" t="n">
        <x:v>46</x:v>
      </x:c>
      <x:c r="F1801" s="115" t="str">
        <x:v>Inspection physique</x:v>
      </x:c>
      <x:c r="G1801" s="115" t="str">
        <x:v>1 niveaux ; 34 pièces ; 260 segments de mur ; 0 transitions. Inspection physique ; architecture complète encore ouverte.</x:v>
      </x:c>
      <x:c r="H1801" s="115" t="str">
        <x:v>L 1720 ; l 2040 ; hauteur 8 m ; choix de composition auteur ; dimensions réelles à documenter</x:v>
      </x:c>
      <x:c r="I1801" s="115" t="str">
        <x:v>À équilibrer</x:v>
      </x:c>
      <x:c r="J1801" s="115" t="str">
        <x:v>Non</x:v>
      </x:c>
      <x:c r="K1801" s="115" t="str">
        <x:v>Pièces décrites, murs, portes, niveaux et mobilier inspectables à l’échelle. Volumes réservés, raccord au seed, butin, rencontres et services de campagne restent à terminer.</x:v>
      </x:c>
    </x:row>
    <x:row r="1802" ht="96" customHeight="1">
      <x:c r="A1802" s="115" t="str">
        <x:v>EXT-MONDE-T036-V47</x:v>
      </x:c>
      <x:c r="B1802" s="115" t="str">
        <x:v>EXT-MONDE-T036</x:v>
      </x:c>
      <x:c r="C1802" s="115" t="str">
        <x:v>Échangeurs</x:v>
      </x:c>
      <x:c r="D1802" s="115" t="str">
        <x:v>Échangeur directionnel</x:v>
      </x:c>
      <x:c r="E1802" s="115" t="n">
        <x:v>47</x:v>
      </x:c>
      <x:c r="F1802" s="115" t="str">
        <x:v>Inspection physique</x:v>
      </x:c>
      <x:c r="G1802" s="115" t="str">
        <x:v>1 niveaux ; 34 pièces ; 260 segments de mur ; 0 transitions. Inspection physique ; architecture complète encore ouverte.</x:v>
      </x:c>
      <x:c r="H1802" s="115" t="str">
        <x:v>L 1720 ; l 2040 ; hauteur 8 m ; choix de composition auteur ; dimensions réelles à documenter</x:v>
      </x:c>
      <x:c r="I1802" s="115" t="str">
        <x:v>À équilibrer</x:v>
      </x:c>
      <x:c r="J1802" s="115" t="str">
        <x:v>Non</x:v>
      </x:c>
      <x:c r="K1802" s="115" t="str">
        <x:v>Pièces décrites, murs, portes, niveaux et mobilier inspectables à l’échelle. Volumes réservés, raccord au seed, butin, rencontres et services de campagne restent à terminer.</x:v>
      </x:c>
    </x:row>
    <x:row r="1803" ht="96" customHeight="1">
      <x:c r="A1803" s="115" t="str">
        <x:v>EXT-MONDE-T036-V48</x:v>
      </x:c>
      <x:c r="B1803" s="115" t="str">
        <x:v>EXT-MONDE-T036</x:v>
      </x:c>
      <x:c r="C1803" s="115" t="str">
        <x:v>Échangeurs</x:v>
      </x:c>
      <x:c r="D1803" s="115" t="str">
        <x:v>Échangeur directionnel</x:v>
      </x:c>
      <x:c r="E1803" s="115" t="n">
        <x:v>48</x:v>
      </x:c>
      <x:c r="F1803" s="115" t="str">
        <x:v>Inspection physique</x:v>
      </x:c>
      <x:c r="G1803" s="115" t="str">
        <x:v>1 niveaux ; 34 pièces ; 260 segments de mur ; 0 transitions. Inspection physique ; architecture complète encore ouverte.</x:v>
      </x:c>
      <x:c r="H1803" s="115" t="str">
        <x:v>L 1720 ; l 2040 ; hauteur 8 m ; choix de composition auteur ; dimensions réelles à documenter</x:v>
      </x:c>
      <x:c r="I1803" s="115" t="str">
        <x:v>À équilibrer</x:v>
      </x:c>
      <x:c r="J1803" s="115" t="str">
        <x:v>Non</x:v>
      </x:c>
      <x:c r="K1803" s="115" t="str">
        <x:v>Pièces décrites, murs, portes, niveaux et mobilier inspectables à l’échelle. Volumes réservés, raccord au seed, butin, rencontres et services de campagne restent à terminer.</x:v>
      </x:c>
    </x:row>
    <x:row r="1804" ht="96" customHeight="1">
      <x:c r="A1804" s="115" t="str">
        <x:v>EXT-MONDE-T036-V49</x:v>
      </x:c>
      <x:c r="B1804" s="115" t="str">
        <x:v>EXT-MONDE-T036</x:v>
      </x:c>
      <x:c r="C1804" s="115" t="str">
        <x:v>Échangeurs</x:v>
      </x:c>
      <x:c r="D1804" s="115" t="str">
        <x:v>Échangeur directionnel</x:v>
      </x:c>
      <x:c r="E1804" s="115" t="n">
        <x:v>49</x:v>
      </x:c>
      <x:c r="F1804" s="115" t="str">
        <x:v>Inspection physique</x:v>
      </x:c>
      <x:c r="G1804" s="115" t="str">
        <x:v>1 niveaux ; 34 pièces ; 260 segments de mur ; 0 transitions. Inspection physique ; architecture complète encore ouverte.</x:v>
      </x:c>
      <x:c r="H1804" s="115" t="str">
        <x:v>L 1720 ; l 2040 ; hauteur 8 m ; choix de composition auteur ; dimensions réelles à documenter</x:v>
      </x:c>
      <x:c r="I1804" s="115" t="str">
        <x:v>À équilibrer</x:v>
      </x:c>
      <x:c r="J1804" s="115" t="str">
        <x:v>Non</x:v>
      </x:c>
      <x:c r="K1804" s="115" t="str">
        <x:v>Pièces décrites, murs, portes, niveaux et mobilier inspectables à l’échelle. Volumes réservés, raccord au seed, butin, rencontres et services de campagne restent à terminer.</x:v>
      </x:c>
    </x:row>
    <x:row r="1805" ht="96" customHeight="1">
      <x:c r="A1805" s="115" t="str">
        <x:v>EXT-MONDE-T036-V50</x:v>
      </x:c>
      <x:c r="B1805" s="115" t="str">
        <x:v>EXT-MONDE-T036</x:v>
      </x:c>
      <x:c r="C1805" s="115" t="str">
        <x:v>Échangeurs</x:v>
      </x:c>
      <x:c r="D1805" s="115" t="str">
        <x:v>Échangeur directionnel</x:v>
      </x:c>
      <x:c r="E1805" s="115" t="n">
        <x:v>50</x:v>
      </x:c>
      <x:c r="F1805" s="115" t="str">
        <x:v>Inspection physique</x:v>
      </x:c>
      <x:c r="G1805" s="115" t="str">
        <x:v>1 niveaux ; 34 pièces ; 260 segments de mur ; 0 transitions. Inspection physique ; architecture complète encore ouverte.</x:v>
      </x:c>
      <x:c r="H1805" s="115" t="str">
        <x:v>L 1720 ; l 2040 ; hauteur 8 m ; choix de composition auteur ; dimensions réelles à documenter</x:v>
      </x:c>
      <x:c r="I1805" s="115" t="str">
        <x:v>À équilibrer</x:v>
      </x:c>
      <x:c r="J1805" s="115" t="str">
        <x:v>Non</x:v>
      </x:c>
      <x:c r="K1805" s="115" t="str">
        <x:v>Pièces décrites, murs, portes, niveaux et mobilier inspectables à l’échelle. Volumes réservés, raccord au seed, butin, rencontres et services de campagne restent à terminer.</x:v>
      </x:c>
    </x:row>
    <x:row r="1806" ht="96" customHeight="1">
      <x:c r="A1806" s="115" t="str">
        <x:v>EXT-MONDE-T037-V01</x:v>
      </x:c>
      <x:c r="B1806" s="115" t="str">
        <x:v>EXT-MONDE-T037</x:v>
      </x:c>
      <x:c r="C1806" s="115" t="str">
        <x:v>Égouts</x:v>
      </x:c>
      <x:c r="D1806" s="115" t="str">
        <x:v>Collecteur urbain</x:v>
      </x:c>
      <x:c r="E1806" s="115" t="n">
        <x:v>1</x:v>
      </x:c>
      <x:c r="F1806" s="115" t="str">
        <x:v>Inspection physique</x:v>
      </x:c>
      <x:c r="G1806" s="115" t="str">
        <x:v>2 niveaux ; 14 pièces ; 126 segments de mur ; 2 transitions. Inspection physique ; architecture complète encore ouverte.</x:v>
      </x:c>
      <x:c r="H1806" s="115" t="str">
        <x:v>L 180 ; l 200 ; hauteur 3 m ; choix de composition auteur ; dimensions réelles à documenter</x:v>
      </x:c>
      <x:c r="I1806" s="115" t="str">
        <x:v>À équilibrer</x:v>
      </x:c>
      <x:c r="J1806" s="115" t="str">
        <x:v>Non</x:v>
      </x:c>
      <x:c r="K1806" s="115" t="str">
        <x:v>Pièces décrites, murs, portes, niveaux et mobilier inspectables à l’échelle. Volumes réservés, raccord au seed, butin, rencontres et services de campagne restent à terminer.</x:v>
      </x:c>
    </x:row>
    <x:row r="1807" ht="96" customHeight="1">
      <x:c r="A1807" s="115" t="str">
        <x:v>EXT-MONDE-T037-V02</x:v>
      </x:c>
      <x:c r="B1807" s="115" t="str">
        <x:v>EXT-MONDE-T037</x:v>
      </x:c>
      <x:c r="C1807" s="115" t="str">
        <x:v>Égouts</x:v>
      </x:c>
      <x:c r="D1807" s="115" t="str">
        <x:v>Collecteur urbain</x:v>
      </x:c>
      <x:c r="E1807" s="115" t="n">
        <x:v>2</x:v>
      </x:c>
      <x:c r="F1807" s="115" t="str">
        <x:v>Inspection physique</x:v>
      </x:c>
      <x:c r="G1807" s="115" t="str">
        <x:v>2 niveaux ; 14 pièces ; 126 segments de mur ; 2 transitions. Inspection physique ; architecture complète encore ouverte.</x:v>
      </x:c>
      <x:c r="H1807" s="115" t="str">
        <x:v>L 182 ; l 200,7 ; hauteur 3 m ; choix de composition auteur ; dimensions réelles à documenter</x:v>
      </x:c>
      <x:c r="I1807" s="115" t="str">
        <x:v>À équilibrer</x:v>
      </x:c>
      <x:c r="J1807" s="115" t="str">
        <x:v>Non</x:v>
      </x:c>
      <x:c r="K1807" s="115" t="str">
        <x:v>Pièces décrites, murs, portes, niveaux et mobilier inspectables à l’échelle. Volumes réservés, raccord au seed, butin, rencontres et services de campagne restent à terminer.</x:v>
      </x:c>
    </x:row>
    <x:row r="1808" ht="96" customHeight="1">
      <x:c r="A1808" s="115" t="str">
        <x:v>EXT-MONDE-T037-V03</x:v>
      </x:c>
      <x:c r="B1808" s="115" t="str">
        <x:v>EXT-MONDE-T037</x:v>
      </x:c>
      <x:c r="C1808" s="115" t="str">
        <x:v>Égouts</x:v>
      </x:c>
      <x:c r="D1808" s="115" t="str">
        <x:v>Collecteur urbain</x:v>
      </x:c>
      <x:c r="E1808" s="115" t="n">
        <x:v>3</x:v>
      </x:c>
      <x:c r="F1808" s="115" t="str">
        <x:v>Inspection physique</x:v>
      </x:c>
      <x:c r="G1808" s="115" t="str">
        <x:v>2 niveaux ; 14 pièces ; 126 segments de mur ; 2 transitions. Inspection physique ; architecture complète encore ouverte.</x:v>
      </x:c>
      <x:c r="H1808" s="115" t="str">
        <x:v>L 184 ; l 201,4 ; hauteur 3 m ; choix de composition auteur ; dimensions réelles à documenter</x:v>
      </x:c>
      <x:c r="I1808" s="115" t="str">
        <x:v>À équilibrer</x:v>
      </x:c>
      <x:c r="J1808" s="115" t="str">
        <x:v>Non</x:v>
      </x:c>
      <x:c r="K1808" s="115" t="str">
        <x:v>Pièces décrites, murs, portes, niveaux et mobilier inspectables à l’échelle. Volumes réservés, raccord au seed, butin, rencontres et services de campagne restent à terminer.</x:v>
      </x:c>
    </x:row>
    <x:row r="1809" ht="96" customHeight="1">
      <x:c r="A1809" s="115" t="str">
        <x:v>EXT-MONDE-T037-V04</x:v>
      </x:c>
      <x:c r="B1809" s="115" t="str">
        <x:v>EXT-MONDE-T037</x:v>
      </x:c>
      <x:c r="C1809" s="115" t="str">
        <x:v>Égouts</x:v>
      </x:c>
      <x:c r="D1809" s="115" t="str">
        <x:v>Collecteur urbain</x:v>
      </x:c>
      <x:c r="E1809" s="115" t="n">
        <x:v>4</x:v>
      </x:c>
      <x:c r="F1809" s="115" t="str">
        <x:v>Inspection physique</x:v>
      </x:c>
      <x:c r="G1809" s="115" t="str">
        <x:v>2 niveaux ; 14 pièces ; 126 segments de mur ; 2 transitions. Inspection physique ; architecture complète encore ouverte.</x:v>
      </x:c>
      <x:c r="H1809" s="115" t="str">
        <x:v>L 186 ; l 202,1 ; hauteur 3 m ; choix de composition auteur ; dimensions réelles à documenter</x:v>
      </x:c>
      <x:c r="I1809" s="115" t="str">
        <x:v>À équilibrer</x:v>
      </x:c>
      <x:c r="J1809" s="115" t="str">
        <x:v>Non</x:v>
      </x:c>
      <x:c r="K1809" s="115" t="str">
        <x:v>Pièces décrites, murs, portes, niveaux et mobilier inspectables à l’échelle. Volumes réservés, raccord au seed, butin, rencontres et services de campagne restent à terminer.</x:v>
      </x:c>
    </x:row>
    <x:row r="1810" ht="96" customHeight="1">
      <x:c r="A1810" s="115" t="str">
        <x:v>EXT-MONDE-T037-V05</x:v>
      </x:c>
      <x:c r="B1810" s="115" t="str">
        <x:v>EXT-MONDE-T037</x:v>
      </x:c>
      <x:c r="C1810" s="115" t="str">
        <x:v>Égouts</x:v>
      </x:c>
      <x:c r="D1810" s="115" t="str">
        <x:v>Collecteur urbain</x:v>
      </x:c>
      <x:c r="E1810" s="115" t="n">
        <x:v>5</x:v>
      </x:c>
      <x:c r="F1810" s="115" t="str">
        <x:v>Inspection physique</x:v>
      </x:c>
      <x:c r="G1810" s="115" t="str">
        <x:v>2 niveaux ; 14 pièces ; 126 segments de mur ; 2 transitions. Inspection physique ; architecture complète encore ouverte.</x:v>
      </x:c>
      <x:c r="H1810" s="115" t="str">
        <x:v>L 188 ; l 202,8 ; hauteur 3 m ; choix de composition auteur ; dimensions réelles à documenter</x:v>
      </x:c>
      <x:c r="I1810" s="115" t="str">
        <x:v>À équilibrer</x:v>
      </x:c>
      <x:c r="J1810" s="115" t="str">
        <x:v>Non</x:v>
      </x:c>
      <x:c r="K1810" s="115" t="str">
        <x:v>Pièces décrites, murs, portes, niveaux et mobilier inspectables à l’échelle. Volumes réservés, raccord au seed, butin, rencontres et services de campagne restent à terminer.</x:v>
      </x:c>
    </x:row>
    <x:row r="1811" ht="96" customHeight="1">
      <x:c r="A1811" s="115" t="str">
        <x:v>EXT-MONDE-T037-V06</x:v>
      </x:c>
      <x:c r="B1811" s="115" t="str">
        <x:v>EXT-MONDE-T037</x:v>
      </x:c>
      <x:c r="C1811" s="115" t="str">
        <x:v>Égouts</x:v>
      </x:c>
      <x:c r="D1811" s="115" t="str">
        <x:v>Collecteur urbain</x:v>
      </x:c>
      <x:c r="E1811" s="115" t="n">
        <x:v>6</x:v>
      </x:c>
      <x:c r="F1811" s="115" t="str">
        <x:v>Inspection physique</x:v>
      </x:c>
      <x:c r="G1811" s="115" t="str">
        <x:v>2 niveaux ; 14 pièces ; 126 segments de mur ; 2 transitions. Inspection physique ; architecture complète encore ouverte.</x:v>
      </x:c>
      <x:c r="H1811" s="115" t="str">
        <x:v>L 190 ; l 203,5 ; hauteur 3 m ; choix de composition auteur ; dimensions réelles à documenter</x:v>
      </x:c>
      <x:c r="I1811" s="115" t="str">
        <x:v>À équilibrer</x:v>
      </x:c>
      <x:c r="J1811" s="115" t="str">
        <x:v>Non</x:v>
      </x:c>
      <x:c r="K1811" s="115" t="str">
        <x:v>Pièces décrites, murs, portes, niveaux et mobilier inspectables à l’échelle. Volumes réservés, raccord au seed, butin, rencontres et services de campagne restent à terminer.</x:v>
      </x:c>
    </x:row>
    <x:row r="1812" ht="96" customHeight="1">
      <x:c r="A1812" s="115" t="str">
        <x:v>EXT-MONDE-T037-V07</x:v>
      </x:c>
      <x:c r="B1812" s="115" t="str">
        <x:v>EXT-MONDE-T037</x:v>
      </x:c>
      <x:c r="C1812" s="115" t="str">
        <x:v>Égouts</x:v>
      </x:c>
      <x:c r="D1812" s="115" t="str">
        <x:v>Collecteur urbain</x:v>
      </x:c>
      <x:c r="E1812" s="115" t="n">
        <x:v>7</x:v>
      </x:c>
      <x:c r="F1812" s="115" t="str">
        <x:v>Inspection physique</x:v>
      </x:c>
      <x:c r="G1812" s="115" t="str">
        <x:v>2 niveaux ; 14 pièces ; 126 segments de mur ; 2 transitions. Inspection physique ; architecture complète encore ouverte.</x:v>
      </x:c>
      <x:c r="H1812" s="115" t="str">
        <x:v>L 192 ; l 204,2 ; hauteur 3 m ; choix de composition auteur ; dimensions réelles à documenter</x:v>
      </x:c>
      <x:c r="I1812" s="115" t="str">
        <x:v>À équilibrer</x:v>
      </x:c>
      <x:c r="J1812" s="115" t="str">
        <x:v>Non</x:v>
      </x:c>
      <x:c r="K1812" s="115" t="str">
        <x:v>Pièces décrites, murs, portes, niveaux et mobilier inspectables à l’échelle. Volumes réservés, raccord au seed, butin, rencontres et services de campagne restent à terminer.</x:v>
      </x:c>
    </x:row>
    <x:row r="1813" ht="96" customHeight="1">
      <x:c r="A1813" s="115" t="str">
        <x:v>EXT-MONDE-T037-V08</x:v>
      </x:c>
      <x:c r="B1813" s="115" t="str">
        <x:v>EXT-MONDE-T037</x:v>
      </x:c>
      <x:c r="C1813" s="115" t="str">
        <x:v>Égouts</x:v>
      </x:c>
      <x:c r="D1813" s="115" t="str">
        <x:v>Collecteur urbain</x:v>
      </x:c>
      <x:c r="E1813" s="115" t="n">
        <x:v>8</x:v>
      </x:c>
      <x:c r="F1813" s="115" t="str">
        <x:v>Inspection physique</x:v>
      </x:c>
      <x:c r="G1813" s="115" t="str">
        <x:v>2 niveaux ; 14 pièces ; 126 segments de mur ; 2 transitions. Inspection physique ; architecture complète encore ouverte.</x:v>
      </x:c>
      <x:c r="H1813" s="115" t="str">
        <x:v>L 194 ; l 204,9 ; hauteur 3 m ; choix de composition auteur ; dimensions réelles à documenter</x:v>
      </x:c>
      <x:c r="I1813" s="115" t="str">
        <x:v>À équilibrer</x:v>
      </x:c>
      <x:c r="J1813" s="115" t="str">
        <x:v>Non</x:v>
      </x:c>
      <x:c r="K1813" s="115" t="str">
        <x:v>Pièces décrites, murs, portes, niveaux et mobilier inspectables à l’échelle. Volumes réservés, raccord au seed, butin, rencontres et services de campagne restent à terminer.</x:v>
      </x:c>
    </x:row>
    <x:row r="1814" ht="96" customHeight="1">
      <x:c r="A1814" s="115" t="str">
        <x:v>EXT-MONDE-T037-V09</x:v>
      </x:c>
      <x:c r="B1814" s="115" t="str">
        <x:v>EXT-MONDE-T037</x:v>
      </x:c>
      <x:c r="C1814" s="115" t="str">
        <x:v>Égouts</x:v>
      </x:c>
      <x:c r="D1814" s="115" t="str">
        <x:v>Collecteur urbain</x:v>
      </x:c>
      <x:c r="E1814" s="115" t="n">
        <x:v>9</x:v>
      </x:c>
      <x:c r="F1814" s="115" t="str">
        <x:v>Inspection physique</x:v>
      </x:c>
      <x:c r="G1814" s="115" t="str">
        <x:v>2 niveaux ; 14 pièces ; 126 segments de mur ; 2 transitions. Inspection physique ; architecture complète encore ouverte.</x:v>
      </x:c>
      <x:c r="H1814" s="115" t="str">
        <x:v>L 196 ; l 205,6 ; hauteur 3 m ; choix de composition auteur ; dimensions réelles à documenter</x:v>
      </x:c>
      <x:c r="I1814" s="115" t="str">
        <x:v>À équilibrer</x:v>
      </x:c>
      <x:c r="J1814" s="115" t="str">
        <x:v>Non</x:v>
      </x:c>
      <x:c r="K1814" s="115" t="str">
        <x:v>Pièces décrites, murs, portes, niveaux et mobilier inspectables à l’échelle. Volumes réservés, raccord au seed, butin, rencontres et services de campagne restent à terminer.</x:v>
      </x:c>
    </x:row>
    <x:row r="1815" ht="96" customHeight="1">
      <x:c r="A1815" s="115" t="str">
        <x:v>EXT-MONDE-T037-V10</x:v>
      </x:c>
      <x:c r="B1815" s="115" t="str">
        <x:v>EXT-MONDE-T037</x:v>
      </x:c>
      <x:c r="C1815" s="115" t="str">
        <x:v>Égouts</x:v>
      </x:c>
      <x:c r="D1815" s="115" t="str">
        <x:v>Collecteur urbain</x:v>
      </x:c>
      <x:c r="E1815" s="115" t="n">
        <x:v>10</x:v>
      </x:c>
      <x:c r="F1815" s="115" t="str">
        <x:v>Inspection physique</x:v>
      </x:c>
      <x:c r="G1815" s="115" t="str">
        <x:v>2 niveaux ; 14 pièces ; 126 segments de mur ; 2 transitions. Inspection physique ; architecture complète encore ouverte.</x:v>
      </x:c>
      <x:c r="H1815" s="115" t="str">
        <x:v>L 198 ; l 206,3 ; hauteur 3 m ; choix de composition auteur ; dimensions réelles à documenter</x:v>
      </x:c>
      <x:c r="I1815" s="115" t="str">
        <x:v>À équilibrer</x:v>
      </x:c>
      <x:c r="J1815" s="115" t="str">
        <x:v>Non</x:v>
      </x:c>
      <x:c r="K1815" s="115" t="str">
        <x:v>Pièces décrites, murs, portes, niveaux et mobilier inspectables à l’échelle. Volumes réservés, raccord au seed, butin, rencontres et services de campagne restent à terminer.</x:v>
      </x:c>
    </x:row>
    <x:row r="1816" ht="96" customHeight="1">
      <x:c r="A1816" s="115" t="str">
        <x:v>EXT-MONDE-T037-V11</x:v>
      </x:c>
      <x:c r="B1816" s="115" t="str">
        <x:v>EXT-MONDE-T037</x:v>
      </x:c>
      <x:c r="C1816" s="115" t="str">
        <x:v>Égouts</x:v>
      </x:c>
      <x:c r="D1816" s="115" t="str">
        <x:v>Collecteur urbain</x:v>
      </x:c>
      <x:c r="E1816" s="115" t="n">
        <x:v>11</x:v>
      </x:c>
      <x:c r="F1816" s="115" t="str">
        <x:v>Inspection physique</x:v>
      </x:c>
      <x:c r="G1816" s="115" t="str">
        <x:v>2 niveaux ; 14 pièces ; 126 segments de mur ; 2 transitions. Inspection physique ; architecture complète encore ouverte.</x:v>
      </x:c>
      <x:c r="H1816" s="115" t="str">
        <x:v>L 190 ; l 212 ; hauteur 3 m ; choix de composition auteur ; dimensions réelles à documenter</x:v>
      </x:c>
      <x:c r="I1816" s="115" t="str">
        <x:v>À équilibrer</x:v>
      </x:c>
      <x:c r="J1816" s="115" t="str">
        <x:v>Non</x:v>
      </x:c>
      <x:c r="K1816" s="115" t="str">
        <x:v>Pièces décrites, murs, portes, niveaux et mobilier inspectables à l’échelle. Volumes réservés, raccord au seed, butin, rencontres et services de campagne restent à terminer.</x:v>
      </x:c>
    </x:row>
    <x:row r="1817" ht="96" customHeight="1">
      <x:c r="A1817" s="115" t="str">
        <x:v>EXT-MONDE-T037-V12</x:v>
      </x:c>
      <x:c r="B1817" s="115" t="str">
        <x:v>EXT-MONDE-T037</x:v>
      </x:c>
      <x:c r="C1817" s="115" t="str">
        <x:v>Égouts</x:v>
      </x:c>
      <x:c r="D1817" s="115" t="str">
        <x:v>Collecteur urbain</x:v>
      </x:c>
      <x:c r="E1817" s="115" t="n">
        <x:v>12</x:v>
      </x:c>
      <x:c r="F1817" s="115" t="str">
        <x:v>Inspection physique</x:v>
      </x:c>
      <x:c r="G1817" s="115" t="str">
        <x:v>2 niveaux ; 14 pièces ; 126 segments de mur ; 2 transitions. Inspection physique ; architecture complète encore ouverte.</x:v>
      </x:c>
      <x:c r="H1817" s="115" t="str">
        <x:v>L 192 ; l 212,7 ; hauteur 3 m ; choix de composition auteur ; dimensions réelles à documenter</x:v>
      </x:c>
      <x:c r="I1817" s="115" t="str">
        <x:v>À équilibrer</x:v>
      </x:c>
      <x:c r="J1817" s="115" t="str">
        <x:v>Non</x:v>
      </x:c>
      <x:c r="K1817" s="115" t="str">
        <x:v>Pièces décrites, murs, portes, niveaux et mobilier inspectables à l’échelle. Volumes réservés, raccord au seed, butin, rencontres et services de campagne restent à terminer.</x:v>
      </x:c>
    </x:row>
    <x:row r="1818" ht="96" customHeight="1">
      <x:c r="A1818" s="115" t="str">
        <x:v>EXT-MONDE-T037-V13</x:v>
      </x:c>
      <x:c r="B1818" s="115" t="str">
        <x:v>EXT-MONDE-T037</x:v>
      </x:c>
      <x:c r="C1818" s="115" t="str">
        <x:v>Égouts</x:v>
      </x:c>
      <x:c r="D1818" s="115" t="str">
        <x:v>Collecteur urbain</x:v>
      </x:c>
      <x:c r="E1818" s="115" t="n">
        <x:v>13</x:v>
      </x:c>
      <x:c r="F1818" s="115" t="str">
        <x:v>Inspection physique</x:v>
      </x:c>
      <x:c r="G1818" s="115" t="str">
        <x:v>2 niveaux ; 14 pièces ; 126 segments de mur ; 2 transitions. Inspection physique ; architecture complète encore ouverte.</x:v>
      </x:c>
      <x:c r="H1818" s="115" t="str">
        <x:v>L 194 ; l 213,4 ; hauteur 3 m ; choix de composition auteur ; dimensions réelles à documenter</x:v>
      </x:c>
      <x:c r="I1818" s="115" t="str">
        <x:v>À équilibrer</x:v>
      </x:c>
      <x:c r="J1818" s="115" t="str">
        <x:v>Non</x:v>
      </x:c>
      <x:c r="K1818" s="115" t="str">
        <x:v>Pièces décrites, murs, portes, niveaux et mobilier inspectables à l’échelle. Volumes réservés, raccord au seed, butin, rencontres et services de campagne restent à terminer.</x:v>
      </x:c>
    </x:row>
    <x:row r="1819" ht="96" customHeight="1">
      <x:c r="A1819" s="115" t="str">
        <x:v>EXT-MONDE-T037-V14</x:v>
      </x:c>
      <x:c r="B1819" s="115" t="str">
        <x:v>EXT-MONDE-T037</x:v>
      </x:c>
      <x:c r="C1819" s="115" t="str">
        <x:v>Égouts</x:v>
      </x:c>
      <x:c r="D1819" s="115" t="str">
        <x:v>Collecteur urbain</x:v>
      </x:c>
      <x:c r="E1819" s="115" t="n">
        <x:v>14</x:v>
      </x:c>
      <x:c r="F1819" s="115" t="str">
        <x:v>Inspection physique</x:v>
      </x:c>
      <x:c r="G1819" s="115" t="str">
        <x:v>2 niveaux ; 14 pièces ; 126 segments de mur ; 2 transitions. Inspection physique ; architecture complète encore ouverte.</x:v>
      </x:c>
      <x:c r="H1819" s="115" t="str">
        <x:v>L 196 ; l 214,1 ; hauteur 3 m ; choix de composition auteur ; dimensions réelles à documenter</x:v>
      </x:c>
      <x:c r="I1819" s="115" t="str">
        <x:v>À équilibrer</x:v>
      </x:c>
      <x:c r="J1819" s="115" t="str">
        <x:v>Non</x:v>
      </x:c>
      <x:c r="K1819" s="115" t="str">
        <x:v>Pièces décrites, murs, portes, niveaux et mobilier inspectables à l’échelle. Volumes réservés, raccord au seed, butin, rencontres et services de campagne restent à terminer.</x:v>
      </x:c>
    </x:row>
    <x:row r="1820" ht="96" customHeight="1">
      <x:c r="A1820" s="115" t="str">
        <x:v>EXT-MONDE-T037-V15</x:v>
      </x:c>
      <x:c r="B1820" s="115" t="str">
        <x:v>EXT-MONDE-T037</x:v>
      </x:c>
      <x:c r="C1820" s="115" t="str">
        <x:v>Égouts</x:v>
      </x:c>
      <x:c r="D1820" s="115" t="str">
        <x:v>Collecteur urbain</x:v>
      </x:c>
      <x:c r="E1820" s="115" t="n">
        <x:v>15</x:v>
      </x:c>
      <x:c r="F1820" s="115" t="str">
        <x:v>Inspection physique</x:v>
      </x:c>
      <x:c r="G1820" s="115" t="str">
        <x:v>2 niveaux ; 14 pièces ; 126 segments de mur ; 2 transitions. Inspection physique ; architecture complète encore ouverte.</x:v>
      </x:c>
      <x:c r="H1820" s="115" t="str">
        <x:v>L 198 ; l 214,8 ; hauteur 3 m ; choix de composition auteur ; dimensions réelles à documenter</x:v>
      </x:c>
      <x:c r="I1820" s="115" t="str">
        <x:v>À équilibrer</x:v>
      </x:c>
      <x:c r="J1820" s="115" t="str">
        <x:v>Non</x:v>
      </x:c>
      <x:c r="K1820" s="115" t="str">
        <x:v>Pièces décrites, murs, portes, niveaux et mobilier inspectables à l’échelle. Volumes réservés, raccord au seed, butin, rencontres et services de campagne restent à terminer.</x:v>
      </x:c>
    </x:row>
    <x:row r="1821" ht="96" customHeight="1">
      <x:c r="A1821" s="115" t="str">
        <x:v>EXT-MONDE-T037-V16</x:v>
      </x:c>
      <x:c r="B1821" s="115" t="str">
        <x:v>EXT-MONDE-T037</x:v>
      </x:c>
      <x:c r="C1821" s="115" t="str">
        <x:v>Égouts</x:v>
      </x:c>
      <x:c r="D1821" s="115" t="str">
        <x:v>Collecteur urbain</x:v>
      </x:c>
      <x:c r="E1821" s="115" t="n">
        <x:v>16</x:v>
      </x:c>
      <x:c r="F1821" s="115" t="str">
        <x:v>Inspection physique</x:v>
      </x:c>
      <x:c r="G1821" s="115" t="str">
        <x:v>2 niveaux ; 14 pièces ; 126 segments de mur ; 2 transitions. Inspection physique ; architecture complète encore ouverte.</x:v>
      </x:c>
      <x:c r="H1821" s="115" t="str">
        <x:v>L 200 ; l 215,5 ; hauteur 3 m ; choix de composition auteur ; dimensions réelles à documenter</x:v>
      </x:c>
      <x:c r="I1821" s="115" t="str">
        <x:v>À équilibrer</x:v>
      </x:c>
      <x:c r="J1821" s="115" t="str">
        <x:v>Non</x:v>
      </x:c>
      <x:c r="K1821" s="115" t="str">
        <x:v>Pièces décrites, murs, portes, niveaux et mobilier inspectables à l’échelle. Volumes réservés, raccord au seed, butin, rencontres et services de campagne restent à terminer.</x:v>
      </x:c>
    </x:row>
    <x:row r="1822" ht="96" customHeight="1">
      <x:c r="A1822" s="115" t="str">
        <x:v>EXT-MONDE-T037-V17</x:v>
      </x:c>
      <x:c r="B1822" s="115" t="str">
        <x:v>EXT-MONDE-T037</x:v>
      </x:c>
      <x:c r="C1822" s="115" t="str">
        <x:v>Égouts</x:v>
      </x:c>
      <x:c r="D1822" s="115" t="str">
        <x:v>Collecteur urbain</x:v>
      </x:c>
      <x:c r="E1822" s="115" t="n">
        <x:v>17</x:v>
      </x:c>
      <x:c r="F1822" s="115" t="str">
        <x:v>Inspection physique</x:v>
      </x:c>
      <x:c r="G1822" s="115" t="str">
        <x:v>2 niveaux ; 14 pièces ; 126 segments de mur ; 2 transitions. Inspection physique ; architecture complète encore ouverte.</x:v>
      </x:c>
      <x:c r="H1822" s="115" t="str">
        <x:v>L 202 ; l 216,2 ; hauteur 3 m ; choix de composition auteur ; dimensions réelles à documenter</x:v>
      </x:c>
      <x:c r="I1822" s="115" t="str">
        <x:v>À équilibrer</x:v>
      </x:c>
      <x:c r="J1822" s="115" t="str">
        <x:v>Non</x:v>
      </x:c>
      <x:c r="K1822" s="115" t="str">
        <x:v>Pièces décrites, murs, portes, niveaux et mobilier inspectables à l’échelle. Volumes réservés, raccord au seed, butin, rencontres et services de campagne restent à terminer.</x:v>
      </x:c>
    </x:row>
    <x:row r="1823" ht="96" customHeight="1">
      <x:c r="A1823" s="115" t="str">
        <x:v>EXT-MONDE-T037-V18</x:v>
      </x:c>
      <x:c r="B1823" s="115" t="str">
        <x:v>EXT-MONDE-T037</x:v>
      </x:c>
      <x:c r="C1823" s="115" t="str">
        <x:v>Égouts</x:v>
      </x:c>
      <x:c r="D1823" s="115" t="str">
        <x:v>Collecteur urbain</x:v>
      </x:c>
      <x:c r="E1823" s="115" t="n">
        <x:v>18</x:v>
      </x:c>
      <x:c r="F1823" s="115" t="str">
        <x:v>Inspection physique</x:v>
      </x:c>
      <x:c r="G1823" s="115" t="str">
        <x:v>2 niveaux ; 14 pièces ; 126 segments de mur ; 2 transitions. Inspection physique ; architecture complète encore ouverte.</x:v>
      </x:c>
      <x:c r="H1823" s="115" t="str">
        <x:v>L 204 ; l 216,9 ; hauteur 3 m ; choix de composition auteur ; dimensions réelles à documenter</x:v>
      </x:c>
      <x:c r="I1823" s="115" t="str">
        <x:v>À équilibrer</x:v>
      </x:c>
      <x:c r="J1823" s="115" t="str">
        <x:v>Non</x:v>
      </x:c>
      <x:c r="K1823" s="115" t="str">
        <x:v>Pièces décrites, murs, portes, niveaux et mobilier inspectables à l’échelle. Volumes réservés, raccord au seed, butin, rencontres et services de campagne restent à terminer.</x:v>
      </x:c>
    </x:row>
    <x:row r="1824" ht="96" customHeight="1">
      <x:c r="A1824" s="115" t="str">
        <x:v>EXT-MONDE-T037-V19</x:v>
      </x:c>
      <x:c r="B1824" s="115" t="str">
        <x:v>EXT-MONDE-T037</x:v>
      </x:c>
      <x:c r="C1824" s="115" t="str">
        <x:v>Égouts</x:v>
      </x:c>
      <x:c r="D1824" s="115" t="str">
        <x:v>Collecteur urbain</x:v>
      </x:c>
      <x:c r="E1824" s="115" t="n">
        <x:v>19</x:v>
      </x:c>
      <x:c r="F1824" s="115" t="str">
        <x:v>Inspection physique</x:v>
      </x:c>
      <x:c r="G1824" s="115" t="str">
        <x:v>2 niveaux ; 14 pièces ; 126 segments de mur ; 2 transitions. Inspection physique ; architecture complète encore ouverte.</x:v>
      </x:c>
      <x:c r="H1824" s="115" t="str">
        <x:v>L 206 ; l 217,6 ; hauteur 3 m ; choix de composition auteur ; dimensions réelles à documenter</x:v>
      </x:c>
      <x:c r="I1824" s="115" t="str">
        <x:v>À équilibrer</x:v>
      </x:c>
      <x:c r="J1824" s="115" t="str">
        <x:v>Non</x:v>
      </x:c>
      <x:c r="K1824" s="115" t="str">
        <x:v>Pièces décrites, murs, portes, niveaux et mobilier inspectables à l’échelle. Volumes réservés, raccord au seed, butin, rencontres et services de campagne restent à terminer.</x:v>
      </x:c>
    </x:row>
    <x:row r="1825" ht="96" customHeight="1">
      <x:c r="A1825" s="115" t="str">
        <x:v>EXT-MONDE-T037-V20</x:v>
      </x:c>
      <x:c r="B1825" s="115" t="str">
        <x:v>EXT-MONDE-T037</x:v>
      </x:c>
      <x:c r="C1825" s="115" t="str">
        <x:v>Égouts</x:v>
      </x:c>
      <x:c r="D1825" s="115" t="str">
        <x:v>Collecteur urbain</x:v>
      </x:c>
      <x:c r="E1825" s="115" t="n">
        <x:v>20</x:v>
      </x:c>
      <x:c r="F1825" s="115" t="str">
        <x:v>Inspection physique</x:v>
      </x:c>
      <x:c r="G1825" s="115" t="str">
        <x:v>2 niveaux ; 14 pièces ; 126 segments de mur ; 2 transitions. Inspection physique ; architecture complète encore ouverte.</x:v>
      </x:c>
      <x:c r="H1825" s="115" t="str">
        <x:v>L 208 ; l 218,3 ; hauteur 3 m ; choix de composition auteur ; dimensions réelles à documenter</x:v>
      </x:c>
      <x:c r="I1825" s="115" t="str">
        <x:v>À équilibrer</x:v>
      </x:c>
      <x:c r="J1825" s="115" t="str">
        <x:v>Non</x:v>
      </x:c>
      <x:c r="K1825" s="115" t="str">
        <x:v>Pièces décrites, murs, portes, niveaux et mobilier inspectables à l’échelle. Volumes réservés, raccord au seed, butin, rencontres et services de campagne restent à terminer.</x:v>
      </x:c>
    </x:row>
    <x:row r="1826" ht="96" customHeight="1">
      <x:c r="A1826" s="115" t="str">
        <x:v>EXT-MONDE-T037-V21</x:v>
      </x:c>
      <x:c r="B1826" s="115" t="str">
        <x:v>EXT-MONDE-T037</x:v>
      </x:c>
      <x:c r="C1826" s="115" t="str">
        <x:v>Égouts</x:v>
      </x:c>
      <x:c r="D1826" s="115" t="str">
        <x:v>Collecteur urbain</x:v>
      </x:c>
      <x:c r="E1826" s="115" t="n">
        <x:v>21</x:v>
      </x:c>
      <x:c r="F1826" s="115" t="str">
        <x:v>Inspection physique</x:v>
      </x:c>
      <x:c r="G1826" s="115" t="str">
        <x:v>2 niveaux ; 14 pièces ; 126 segments de mur ; 2 transitions. Inspection physique ; architecture complète encore ouverte.</x:v>
      </x:c>
      <x:c r="H1826" s="115" t="str">
        <x:v>L 200 ; l 224 ; hauteur 3 m ; choix de composition auteur ; dimensions réelles à documenter</x:v>
      </x:c>
      <x:c r="I1826" s="115" t="str">
        <x:v>À équilibrer</x:v>
      </x:c>
      <x:c r="J1826" s="115" t="str">
        <x:v>Non</x:v>
      </x:c>
      <x:c r="K1826" s="115" t="str">
        <x:v>Pièces décrites, murs, portes, niveaux et mobilier inspectables à l’échelle. Volumes réservés, raccord au seed, butin, rencontres et services de campagne restent à terminer.</x:v>
      </x:c>
    </x:row>
    <x:row r="1827" ht="96" customHeight="1">
      <x:c r="A1827" s="115" t="str">
        <x:v>EXT-MONDE-T037-V22</x:v>
      </x:c>
      <x:c r="B1827" s="115" t="str">
        <x:v>EXT-MONDE-T037</x:v>
      </x:c>
      <x:c r="C1827" s="115" t="str">
        <x:v>Égouts</x:v>
      </x:c>
      <x:c r="D1827" s="115" t="str">
        <x:v>Collecteur urbain</x:v>
      </x:c>
      <x:c r="E1827" s="115" t="n">
        <x:v>22</x:v>
      </x:c>
      <x:c r="F1827" s="115" t="str">
        <x:v>Inspection physique</x:v>
      </x:c>
      <x:c r="G1827" s="115" t="str">
        <x:v>2 niveaux ; 14 pièces ; 126 segments de mur ; 2 transitions. Inspection physique ; architecture complète encore ouverte.</x:v>
      </x:c>
      <x:c r="H1827" s="115" t="str">
        <x:v>L 202 ; l 224,7 ; hauteur 3 m ; choix de composition auteur ; dimensions réelles à documenter</x:v>
      </x:c>
      <x:c r="I1827" s="115" t="str">
        <x:v>À équilibrer</x:v>
      </x:c>
      <x:c r="J1827" s="115" t="str">
        <x:v>Non</x:v>
      </x:c>
      <x:c r="K1827" s="115" t="str">
        <x:v>Pièces décrites, murs, portes, niveaux et mobilier inspectables à l’échelle. Volumes réservés, raccord au seed, butin, rencontres et services de campagne restent à terminer.</x:v>
      </x:c>
    </x:row>
    <x:row r="1828" ht="96" customHeight="1">
      <x:c r="A1828" s="115" t="str">
        <x:v>EXT-MONDE-T037-V23</x:v>
      </x:c>
      <x:c r="B1828" s="115" t="str">
        <x:v>EXT-MONDE-T037</x:v>
      </x:c>
      <x:c r="C1828" s="115" t="str">
        <x:v>Égouts</x:v>
      </x:c>
      <x:c r="D1828" s="115" t="str">
        <x:v>Collecteur urbain</x:v>
      </x:c>
      <x:c r="E1828" s="115" t="n">
        <x:v>23</x:v>
      </x:c>
      <x:c r="F1828" s="115" t="str">
        <x:v>Inspection physique</x:v>
      </x:c>
      <x:c r="G1828" s="115" t="str">
        <x:v>2 niveaux ; 14 pièces ; 126 segments de mur ; 2 transitions. Inspection physique ; architecture complète encore ouverte.</x:v>
      </x:c>
      <x:c r="H1828" s="115" t="str">
        <x:v>L 204 ; l 225,4 ; hauteur 3 m ; choix de composition auteur ; dimensions réelles à documenter</x:v>
      </x:c>
      <x:c r="I1828" s="115" t="str">
        <x:v>À équilibrer</x:v>
      </x:c>
      <x:c r="J1828" s="115" t="str">
        <x:v>Non</x:v>
      </x:c>
      <x:c r="K1828" s="115" t="str">
        <x:v>Pièces décrites, murs, portes, niveaux et mobilier inspectables à l’échelle. Volumes réservés, raccord au seed, butin, rencontres et services de campagne restent à terminer.</x:v>
      </x:c>
    </x:row>
    <x:row r="1829" ht="96" customHeight="1">
      <x:c r="A1829" s="115" t="str">
        <x:v>EXT-MONDE-T037-V24</x:v>
      </x:c>
      <x:c r="B1829" s="115" t="str">
        <x:v>EXT-MONDE-T037</x:v>
      </x:c>
      <x:c r="C1829" s="115" t="str">
        <x:v>Égouts</x:v>
      </x:c>
      <x:c r="D1829" s="115" t="str">
        <x:v>Collecteur urbain</x:v>
      </x:c>
      <x:c r="E1829" s="115" t="n">
        <x:v>24</x:v>
      </x:c>
      <x:c r="F1829" s="115" t="str">
        <x:v>Inspection physique</x:v>
      </x:c>
      <x:c r="G1829" s="115" t="str">
        <x:v>2 niveaux ; 14 pièces ; 126 segments de mur ; 2 transitions. Inspection physique ; architecture complète encore ouverte.</x:v>
      </x:c>
      <x:c r="H1829" s="115" t="str">
        <x:v>L 206 ; l 226,1 ; hauteur 3 m ; choix de composition auteur ; dimensions réelles à documenter</x:v>
      </x:c>
      <x:c r="I1829" s="115" t="str">
        <x:v>À équilibrer</x:v>
      </x:c>
      <x:c r="J1829" s="115" t="str">
        <x:v>Non</x:v>
      </x:c>
      <x:c r="K1829" s="115" t="str">
        <x:v>Pièces décrites, murs, portes, niveaux et mobilier inspectables à l’échelle. Volumes réservés, raccord au seed, butin, rencontres et services de campagne restent à terminer.</x:v>
      </x:c>
    </x:row>
    <x:row r="1830" ht="96" customHeight="1">
      <x:c r="A1830" s="115" t="str">
        <x:v>EXT-MONDE-T037-V25</x:v>
      </x:c>
      <x:c r="B1830" s="115" t="str">
        <x:v>EXT-MONDE-T037</x:v>
      </x:c>
      <x:c r="C1830" s="115" t="str">
        <x:v>Égouts</x:v>
      </x:c>
      <x:c r="D1830" s="115" t="str">
        <x:v>Collecteur urbain</x:v>
      </x:c>
      <x:c r="E1830" s="115" t="n">
        <x:v>25</x:v>
      </x:c>
      <x:c r="F1830" s="115" t="str">
        <x:v>Inspection physique</x:v>
      </x:c>
      <x:c r="G1830" s="115" t="str">
        <x:v>2 niveaux ; 14 pièces ; 126 segments de mur ; 2 transitions. Inspection physique ; architecture complète encore ouverte.</x:v>
      </x:c>
      <x:c r="H1830" s="115" t="str">
        <x:v>L 208 ; l 226,8 ; hauteur 3 m ; choix de composition auteur ; dimensions réelles à documenter</x:v>
      </x:c>
      <x:c r="I1830" s="115" t="str">
        <x:v>À équilibrer</x:v>
      </x:c>
      <x:c r="J1830" s="115" t="str">
        <x:v>Non</x:v>
      </x:c>
      <x:c r="K1830" s="115" t="str">
        <x:v>Pièces décrites, murs, portes, niveaux et mobilier inspectables à l’échelle. Volumes réservés, raccord au seed, butin, rencontres et services de campagne restent à terminer.</x:v>
      </x:c>
    </x:row>
    <x:row r="1831" ht="96" customHeight="1">
      <x:c r="A1831" s="115" t="str">
        <x:v>EXT-MONDE-T037-V26</x:v>
      </x:c>
      <x:c r="B1831" s="115" t="str">
        <x:v>EXT-MONDE-T037</x:v>
      </x:c>
      <x:c r="C1831" s="115" t="str">
        <x:v>Égouts</x:v>
      </x:c>
      <x:c r="D1831" s="115" t="str">
        <x:v>Collecteur urbain</x:v>
      </x:c>
      <x:c r="E1831" s="115" t="n">
        <x:v>26</x:v>
      </x:c>
      <x:c r="F1831" s="115" t="str">
        <x:v>Inspection physique</x:v>
      </x:c>
      <x:c r="G1831" s="115" t="str">
        <x:v>2 niveaux ; 14 pièces ; 126 segments de mur ; 2 transitions. Inspection physique ; architecture complète encore ouverte.</x:v>
      </x:c>
      <x:c r="H1831" s="115" t="str">
        <x:v>L 210 ; l 227,5 ; hauteur 3 m ; choix de composition auteur ; dimensions réelles à documenter</x:v>
      </x:c>
      <x:c r="I1831" s="115" t="str">
        <x:v>À équilibrer</x:v>
      </x:c>
      <x:c r="J1831" s="115" t="str">
        <x:v>Non</x:v>
      </x:c>
      <x:c r="K1831" s="115" t="str">
        <x:v>Pièces décrites, murs, portes, niveaux et mobilier inspectables à l’échelle. Volumes réservés, raccord au seed, butin, rencontres et services de campagne restent à terminer.</x:v>
      </x:c>
    </x:row>
    <x:row r="1832" ht="96" customHeight="1">
      <x:c r="A1832" s="115" t="str">
        <x:v>EXT-MONDE-T037-V27</x:v>
      </x:c>
      <x:c r="B1832" s="115" t="str">
        <x:v>EXT-MONDE-T037</x:v>
      </x:c>
      <x:c r="C1832" s="115" t="str">
        <x:v>Égouts</x:v>
      </x:c>
      <x:c r="D1832" s="115" t="str">
        <x:v>Collecteur urbain</x:v>
      </x:c>
      <x:c r="E1832" s="115" t="n">
        <x:v>27</x:v>
      </x:c>
      <x:c r="F1832" s="115" t="str">
        <x:v>Inspection physique</x:v>
      </x:c>
      <x:c r="G1832" s="115" t="str">
        <x:v>2 niveaux ; 14 pièces ; 126 segments de mur ; 2 transitions. Inspection physique ; architecture complète encore ouverte.</x:v>
      </x:c>
      <x:c r="H1832" s="115" t="str">
        <x:v>L 212 ; l 228,2 ; hauteur 3 m ; choix de composition auteur ; dimensions réelles à documenter</x:v>
      </x:c>
      <x:c r="I1832" s="115" t="str">
        <x:v>À équilibrer</x:v>
      </x:c>
      <x:c r="J1832" s="115" t="str">
        <x:v>Non</x:v>
      </x:c>
      <x:c r="K1832" s="115" t="str">
        <x:v>Pièces décrites, murs, portes, niveaux et mobilier inspectables à l’échelle. Volumes réservés, raccord au seed, butin, rencontres et services de campagne restent à terminer.</x:v>
      </x:c>
    </x:row>
    <x:row r="1833" ht="96" customHeight="1">
      <x:c r="A1833" s="115" t="str">
        <x:v>EXT-MONDE-T037-V28</x:v>
      </x:c>
      <x:c r="B1833" s="115" t="str">
        <x:v>EXT-MONDE-T037</x:v>
      </x:c>
      <x:c r="C1833" s="115" t="str">
        <x:v>Égouts</x:v>
      </x:c>
      <x:c r="D1833" s="115" t="str">
        <x:v>Collecteur urbain</x:v>
      </x:c>
      <x:c r="E1833" s="115" t="n">
        <x:v>28</x:v>
      </x:c>
      <x:c r="F1833" s="115" t="str">
        <x:v>Inspection physique</x:v>
      </x:c>
      <x:c r="G1833" s="115" t="str">
        <x:v>2 niveaux ; 14 pièces ; 126 segments de mur ; 2 transitions. Inspection physique ; architecture complète encore ouverte.</x:v>
      </x:c>
      <x:c r="H1833" s="115" t="str">
        <x:v>L 214 ; l 228,9 ; hauteur 3 m ; choix de composition auteur ; dimensions réelles à documenter</x:v>
      </x:c>
      <x:c r="I1833" s="115" t="str">
        <x:v>À équilibrer</x:v>
      </x:c>
      <x:c r="J1833" s="115" t="str">
        <x:v>Non</x:v>
      </x:c>
      <x:c r="K1833" s="115" t="str">
        <x:v>Pièces décrites, murs, portes, niveaux et mobilier inspectables à l’échelle. Volumes réservés, raccord au seed, butin, rencontres et services de campagne restent à terminer.</x:v>
      </x:c>
    </x:row>
    <x:row r="1834" ht="96" customHeight="1">
      <x:c r="A1834" s="115" t="str">
        <x:v>EXT-MONDE-T037-V29</x:v>
      </x:c>
      <x:c r="B1834" s="115" t="str">
        <x:v>EXT-MONDE-T037</x:v>
      </x:c>
      <x:c r="C1834" s="115" t="str">
        <x:v>Égouts</x:v>
      </x:c>
      <x:c r="D1834" s="115" t="str">
        <x:v>Collecteur urbain</x:v>
      </x:c>
      <x:c r="E1834" s="115" t="n">
        <x:v>29</x:v>
      </x:c>
      <x:c r="F1834" s="115" t="str">
        <x:v>Inspection physique</x:v>
      </x:c>
      <x:c r="G1834" s="115" t="str">
        <x:v>2 niveaux ; 14 pièces ; 126 segments de mur ; 2 transitions. Inspection physique ; architecture complète encore ouverte.</x:v>
      </x:c>
      <x:c r="H1834" s="115" t="str">
        <x:v>L 216 ; l 229,6 ; hauteur 3 m ; choix de composition auteur ; dimensions réelles à documenter</x:v>
      </x:c>
      <x:c r="I1834" s="115" t="str">
        <x:v>À équilibrer</x:v>
      </x:c>
      <x:c r="J1834" s="115" t="str">
        <x:v>Non</x:v>
      </x:c>
      <x:c r="K1834" s="115" t="str">
        <x:v>Pièces décrites, murs, portes, niveaux et mobilier inspectables à l’échelle. Volumes réservés, raccord au seed, butin, rencontres et services de campagne restent à terminer.</x:v>
      </x:c>
    </x:row>
    <x:row r="1835" ht="96" customHeight="1">
      <x:c r="A1835" s="115" t="str">
        <x:v>EXT-MONDE-T037-V30</x:v>
      </x:c>
      <x:c r="B1835" s="115" t="str">
        <x:v>EXT-MONDE-T037</x:v>
      </x:c>
      <x:c r="C1835" s="115" t="str">
        <x:v>Égouts</x:v>
      </x:c>
      <x:c r="D1835" s="115" t="str">
        <x:v>Collecteur urbain</x:v>
      </x:c>
      <x:c r="E1835" s="115" t="n">
        <x:v>30</x:v>
      </x:c>
      <x:c r="F1835" s="115" t="str">
        <x:v>Inspection physique</x:v>
      </x:c>
      <x:c r="G1835" s="115" t="str">
        <x:v>2 niveaux ; 14 pièces ; 126 segments de mur ; 2 transitions. Inspection physique ; architecture complète encore ouverte.</x:v>
      </x:c>
      <x:c r="H1835" s="115" t="str">
        <x:v>L 218 ; l 230,3 ; hauteur 3 m ; choix de composition auteur ; dimensions réelles à documenter</x:v>
      </x:c>
      <x:c r="I1835" s="115" t="str">
        <x:v>À équilibrer</x:v>
      </x:c>
      <x:c r="J1835" s="115" t="str">
        <x:v>Non</x:v>
      </x:c>
      <x:c r="K1835" s="115" t="str">
        <x:v>Pièces décrites, murs, portes, niveaux et mobilier inspectables à l’échelle. Volumes réservés, raccord au seed, butin, rencontres et services de campagne restent à terminer.</x:v>
      </x:c>
    </x:row>
    <x:row r="1836" ht="96" customHeight="1">
      <x:c r="A1836" s="115" t="str">
        <x:v>EXT-MONDE-T037-V31</x:v>
      </x:c>
      <x:c r="B1836" s="115" t="str">
        <x:v>EXT-MONDE-T037</x:v>
      </x:c>
      <x:c r="C1836" s="115" t="str">
        <x:v>Égouts</x:v>
      </x:c>
      <x:c r="D1836" s="115" t="str">
        <x:v>Collecteur urbain</x:v>
      </x:c>
      <x:c r="E1836" s="115" t="n">
        <x:v>31</x:v>
      </x:c>
      <x:c r="F1836" s="115" t="str">
        <x:v>Inspection physique</x:v>
      </x:c>
      <x:c r="G1836" s="115" t="str">
        <x:v>2 niveaux ; 14 pièces ; 126 segments de mur ; 2 transitions. Inspection physique ; architecture complète encore ouverte.</x:v>
      </x:c>
      <x:c r="H1836" s="115" t="str">
        <x:v>L 210 ; l 236 ; hauteur 3 m ; choix de composition auteur ; dimensions réelles à documenter</x:v>
      </x:c>
      <x:c r="I1836" s="115" t="str">
        <x:v>À équilibrer</x:v>
      </x:c>
      <x:c r="J1836" s="115" t="str">
        <x:v>Non</x:v>
      </x:c>
      <x:c r="K1836" s="115" t="str">
        <x:v>Pièces décrites, murs, portes, niveaux et mobilier inspectables à l’échelle. Volumes réservés, raccord au seed, butin, rencontres et services de campagne restent à terminer.</x:v>
      </x:c>
    </x:row>
    <x:row r="1837" ht="96" customHeight="1">
      <x:c r="A1837" s="115" t="str">
        <x:v>EXT-MONDE-T037-V32</x:v>
      </x:c>
      <x:c r="B1837" s="115" t="str">
        <x:v>EXT-MONDE-T037</x:v>
      </x:c>
      <x:c r="C1837" s="115" t="str">
        <x:v>Égouts</x:v>
      </x:c>
      <x:c r="D1837" s="115" t="str">
        <x:v>Collecteur urbain</x:v>
      </x:c>
      <x:c r="E1837" s="115" t="n">
        <x:v>32</x:v>
      </x:c>
      <x:c r="F1837" s="115" t="str">
        <x:v>Inspection physique</x:v>
      </x:c>
      <x:c r="G1837" s="115" t="str">
        <x:v>2 niveaux ; 14 pièces ; 126 segments de mur ; 2 transitions. Inspection physique ; architecture complète encore ouverte.</x:v>
      </x:c>
      <x:c r="H1837" s="115" t="str">
        <x:v>L 212 ; l 236,7 ; hauteur 3 m ; choix de composition auteur ; dimensions réelles à documenter</x:v>
      </x:c>
      <x:c r="I1837" s="115" t="str">
        <x:v>À équilibrer</x:v>
      </x:c>
      <x:c r="J1837" s="115" t="str">
        <x:v>Non</x:v>
      </x:c>
      <x:c r="K1837" s="115" t="str">
        <x:v>Pièces décrites, murs, portes, niveaux et mobilier inspectables à l’échelle. Volumes réservés, raccord au seed, butin, rencontres et services de campagne restent à terminer.</x:v>
      </x:c>
    </x:row>
    <x:row r="1838" ht="96" customHeight="1">
      <x:c r="A1838" s="115" t="str">
        <x:v>EXT-MONDE-T037-V33</x:v>
      </x:c>
      <x:c r="B1838" s="115" t="str">
        <x:v>EXT-MONDE-T037</x:v>
      </x:c>
      <x:c r="C1838" s="115" t="str">
        <x:v>Égouts</x:v>
      </x:c>
      <x:c r="D1838" s="115" t="str">
        <x:v>Collecteur urbain</x:v>
      </x:c>
      <x:c r="E1838" s="115" t="n">
        <x:v>33</x:v>
      </x:c>
      <x:c r="F1838" s="115" t="str">
        <x:v>Inspection physique</x:v>
      </x:c>
      <x:c r="G1838" s="115" t="str">
        <x:v>2 niveaux ; 14 pièces ; 126 segments de mur ; 2 transitions. Inspection physique ; architecture complète encore ouverte.</x:v>
      </x:c>
      <x:c r="H1838" s="115" t="str">
        <x:v>L 214 ; l 237,4 ; hauteur 3 m ; choix de composition auteur ; dimensions réelles à documenter</x:v>
      </x:c>
      <x:c r="I1838" s="115" t="str">
        <x:v>À équilibrer</x:v>
      </x:c>
      <x:c r="J1838" s="115" t="str">
        <x:v>Non</x:v>
      </x:c>
      <x:c r="K1838" s="115" t="str">
        <x:v>Pièces décrites, murs, portes, niveaux et mobilier inspectables à l’échelle. Volumes réservés, raccord au seed, butin, rencontres et services de campagne restent à terminer.</x:v>
      </x:c>
    </x:row>
    <x:row r="1839" ht="96" customHeight="1">
      <x:c r="A1839" s="115" t="str">
        <x:v>EXT-MONDE-T037-V34</x:v>
      </x:c>
      <x:c r="B1839" s="115" t="str">
        <x:v>EXT-MONDE-T037</x:v>
      </x:c>
      <x:c r="C1839" s="115" t="str">
        <x:v>Égouts</x:v>
      </x:c>
      <x:c r="D1839" s="115" t="str">
        <x:v>Collecteur urbain</x:v>
      </x:c>
      <x:c r="E1839" s="115" t="n">
        <x:v>34</x:v>
      </x:c>
      <x:c r="F1839" s="115" t="str">
        <x:v>Inspection physique</x:v>
      </x:c>
      <x:c r="G1839" s="115" t="str">
        <x:v>2 niveaux ; 14 pièces ; 126 segments de mur ; 2 transitions. Inspection physique ; architecture complète encore ouverte.</x:v>
      </x:c>
      <x:c r="H1839" s="115" t="str">
        <x:v>L 216 ; l 238,1 ; hauteur 3 m ; choix de composition auteur ; dimensions réelles à documenter</x:v>
      </x:c>
      <x:c r="I1839" s="115" t="str">
        <x:v>À équilibrer</x:v>
      </x:c>
      <x:c r="J1839" s="115" t="str">
        <x:v>Non</x:v>
      </x:c>
      <x:c r="K1839" s="115" t="str">
        <x:v>Pièces décrites, murs, portes, niveaux et mobilier inspectables à l’échelle. Volumes réservés, raccord au seed, butin, rencontres et services de campagne restent à terminer.</x:v>
      </x:c>
    </x:row>
    <x:row r="1840" ht="96" customHeight="1">
      <x:c r="A1840" s="115" t="str">
        <x:v>EXT-MONDE-T037-V35</x:v>
      </x:c>
      <x:c r="B1840" s="115" t="str">
        <x:v>EXT-MONDE-T037</x:v>
      </x:c>
      <x:c r="C1840" s="115" t="str">
        <x:v>Égouts</x:v>
      </x:c>
      <x:c r="D1840" s="115" t="str">
        <x:v>Collecteur urbain</x:v>
      </x:c>
      <x:c r="E1840" s="115" t="n">
        <x:v>35</x:v>
      </x:c>
      <x:c r="F1840" s="115" t="str">
        <x:v>Inspection physique</x:v>
      </x:c>
      <x:c r="G1840" s="115" t="str">
        <x:v>2 niveaux ; 14 pièces ; 126 segments de mur ; 2 transitions. Inspection physique ; architecture complète encore ouverte.</x:v>
      </x:c>
      <x:c r="H1840" s="115" t="str">
        <x:v>L 218 ; l 238,8 ; hauteur 3 m ; choix de composition auteur ; dimensions réelles à documenter</x:v>
      </x:c>
      <x:c r="I1840" s="115" t="str">
        <x:v>À équilibrer</x:v>
      </x:c>
      <x:c r="J1840" s="115" t="str">
        <x:v>Non</x:v>
      </x:c>
      <x:c r="K1840" s="115" t="str">
        <x:v>Pièces décrites, murs, portes, niveaux et mobilier inspectables à l’échelle. Volumes réservés, raccord au seed, butin, rencontres et services de campagne restent à terminer.</x:v>
      </x:c>
    </x:row>
    <x:row r="1841" ht="96" customHeight="1">
      <x:c r="A1841" s="115" t="str">
        <x:v>EXT-MONDE-T037-V36</x:v>
      </x:c>
      <x:c r="B1841" s="115" t="str">
        <x:v>EXT-MONDE-T037</x:v>
      </x:c>
      <x:c r="C1841" s="115" t="str">
        <x:v>Égouts</x:v>
      </x:c>
      <x:c r="D1841" s="115" t="str">
        <x:v>Collecteur urbain</x:v>
      </x:c>
      <x:c r="E1841" s="115" t="n">
        <x:v>36</x:v>
      </x:c>
      <x:c r="F1841" s="115" t="str">
        <x:v>Inspection physique</x:v>
      </x:c>
      <x:c r="G1841" s="115" t="str">
        <x:v>2 niveaux ; 14 pièces ; 126 segments de mur ; 2 transitions. Inspection physique ; architecture complète encore ouverte.</x:v>
      </x:c>
      <x:c r="H1841" s="115" t="str">
        <x:v>L 220 ; l 239,5 ; hauteur 3 m ; choix de composition auteur ; dimensions réelles à documenter</x:v>
      </x:c>
      <x:c r="I1841" s="115" t="str">
        <x:v>À équilibrer</x:v>
      </x:c>
      <x:c r="J1841" s="115" t="str">
        <x:v>Non</x:v>
      </x:c>
      <x:c r="K1841" s="115" t="str">
        <x:v>Pièces décrites, murs, portes, niveaux et mobilier inspectables à l’échelle. Volumes réservés, raccord au seed, butin, rencontres et services de campagne restent à terminer.</x:v>
      </x:c>
    </x:row>
    <x:row r="1842" ht="96" customHeight="1">
      <x:c r="A1842" s="115" t="str">
        <x:v>EXT-MONDE-T037-V37</x:v>
      </x:c>
      <x:c r="B1842" s="115" t="str">
        <x:v>EXT-MONDE-T037</x:v>
      </x:c>
      <x:c r="C1842" s="115" t="str">
        <x:v>Égouts</x:v>
      </x:c>
      <x:c r="D1842" s="115" t="str">
        <x:v>Collecteur urbain</x:v>
      </x:c>
      <x:c r="E1842" s="115" t="n">
        <x:v>37</x:v>
      </x:c>
      <x:c r="F1842" s="115" t="str">
        <x:v>Inspection physique</x:v>
      </x:c>
      <x:c r="G1842" s="115" t="str">
        <x:v>2 niveaux ; 14 pièces ; 126 segments de mur ; 2 transitions. Inspection physique ; architecture complète encore ouverte.</x:v>
      </x:c>
      <x:c r="H1842" s="115" t="str">
        <x:v>L 222 ; l 240,2 ; hauteur 3 m ; choix de composition auteur ; dimensions réelles à documenter</x:v>
      </x:c>
      <x:c r="I1842" s="115" t="str">
        <x:v>À équilibrer</x:v>
      </x:c>
      <x:c r="J1842" s="115" t="str">
        <x:v>Non</x:v>
      </x:c>
      <x:c r="K1842" s="115" t="str">
        <x:v>Pièces décrites, murs, portes, niveaux et mobilier inspectables à l’échelle. Volumes réservés, raccord au seed, butin, rencontres et services de campagne restent à terminer.</x:v>
      </x:c>
    </x:row>
    <x:row r="1843" ht="96" customHeight="1">
      <x:c r="A1843" s="115" t="str">
        <x:v>EXT-MONDE-T037-V38</x:v>
      </x:c>
      <x:c r="B1843" s="115" t="str">
        <x:v>EXT-MONDE-T037</x:v>
      </x:c>
      <x:c r="C1843" s="115" t="str">
        <x:v>Égouts</x:v>
      </x:c>
      <x:c r="D1843" s="115" t="str">
        <x:v>Collecteur urbain</x:v>
      </x:c>
      <x:c r="E1843" s="115" t="n">
        <x:v>38</x:v>
      </x:c>
      <x:c r="F1843" s="115" t="str">
        <x:v>Inspection physique</x:v>
      </x:c>
      <x:c r="G1843" s="115" t="str">
        <x:v>2 niveaux ; 14 pièces ; 126 segments de mur ; 2 transitions. Inspection physique ; architecture complète encore ouverte.</x:v>
      </x:c>
      <x:c r="H1843" s="115" t="str">
        <x:v>L 224 ; l 240,9 ; hauteur 3 m ; choix de composition auteur ; dimensions réelles à documenter</x:v>
      </x:c>
      <x:c r="I1843" s="115" t="str">
        <x:v>À équilibrer</x:v>
      </x:c>
      <x:c r="J1843" s="115" t="str">
        <x:v>Non</x:v>
      </x:c>
      <x:c r="K1843" s="115" t="str">
        <x:v>Pièces décrites, murs, portes, niveaux et mobilier inspectables à l’échelle. Volumes réservés, raccord au seed, butin, rencontres et services de campagne restent à terminer.</x:v>
      </x:c>
    </x:row>
    <x:row r="1844" ht="96" customHeight="1">
      <x:c r="A1844" s="115" t="str">
        <x:v>EXT-MONDE-T037-V39</x:v>
      </x:c>
      <x:c r="B1844" s="115" t="str">
        <x:v>EXT-MONDE-T037</x:v>
      </x:c>
      <x:c r="C1844" s="115" t="str">
        <x:v>Égouts</x:v>
      </x:c>
      <x:c r="D1844" s="115" t="str">
        <x:v>Collecteur urbain</x:v>
      </x:c>
      <x:c r="E1844" s="115" t="n">
        <x:v>39</x:v>
      </x:c>
      <x:c r="F1844" s="115" t="str">
        <x:v>Inspection physique</x:v>
      </x:c>
      <x:c r="G1844" s="115" t="str">
        <x:v>2 niveaux ; 14 pièces ; 126 segments de mur ; 2 transitions. Inspection physique ; architecture complète encore ouverte.</x:v>
      </x:c>
      <x:c r="H1844" s="115" t="str">
        <x:v>L 226 ; l 241,6 ; hauteur 3 m ; choix de composition auteur ; dimensions réelles à documenter</x:v>
      </x:c>
      <x:c r="I1844" s="115" t="str">
        <x:v>À équilibrer</x:v>
      </x:c>
      <x:c r="J1844" s="115" t="str">
        <x:v>Non</x:v>
      </x:c>
      <x:c r="K1844" s="115" t="str">
        <x:v>Pièces décrites, murs, portes, niveaux et mobilier inspectables à l’échelle. Volumes réservés, raccord au seed, butin, rencontres et services de campagne restent à terminer.</x:v>
      </x:c>
    </x:row>
    <x:row r="1845" ht="96" customHeight="1">
      <x:c r="A1845" s="115" t="str">
        <x:v>EXT-MONDE-T037-V40</x:v>
      </x:c>
      <x:c r="B1845" s="115" t="str">
        <x:v>EXT-MONDE-T037</x:v>
      </x:c>
      <x:c r="C1845" s="115" t="str">
        <x:v>Égouts</x:v>
      </x:c>
      <x:c r="D1845" s="115" t="str">
        <x:v>Collecteur urbain</x:v>
      </x:c>
      <x:c r="E1845" s="115" t="n">
        <x:v>40</x:v>
      </x:c>
      <x:c r="F1845" s="115" t="str">
        <x:v>Inspection physique</x:v>
      </x:c>
      <x:c r="G1845" s="115" t="str">
        <x:v>2 niveaux ; 14 pièces ; 126 segments de mur ; 2 transitions. Inspection physique ; architecture complète encore ouverte.</x:v>
      </x:c>
      <x:c r="H1845" s="115" t="str">
        <x:v>L 228 ; l 242,3 ; hauteur 3 m ; choix de composition auteur ; dimensions réelles à documenter</x:v>
      </x:c>
      <x:c r="I1845" s="115" t="str">
        <x:v>À équilibrer</x:v>
      </x:c>
      <x:c r="J1845" s="115" t="str">
        <x:v>Non</x:v>
      </x:c>
      <x:c r="K1845" s="115" t="str">
        <x:v>Pièces décrites, murs, portes, niveaux et mobilier inspectables à l’échelle. Volumes réservés, raccord au seed, butin, rencontres et services de campagne restent à terminer.</x:v>
      </x:c>
    </x:row>
    <x:row r="1846" ht="96" customHeight="1">
      <x:c r="A1846" s="115" t="str">
        <x:v>EXT-MONDE-T037-V41</x:v>
      </x:c>
      <x:c r="B1846" s="115" t="str">
        <x:v>EXT-MONDE-T037</x:v>
      </x:c>
      <x:c r="C1846" s="115" t="str">
        <x:v>Égouts</x:v>
      </x:c>
      <x:c r="D1846" s="115" t="str">
        <x:v>Collecteur urbain</x:v>
      </x:c>
      <x:c r="E1846" s="115" t="n">
        <x:v>41</x:v>
      </x:c>
      <x:c r="F1846" s="115" t="str">
        <x:v>Inspection physique</x:v>
      </x:c>
      <x:c r="G1846" s="115" t="str">
        <x:v>2 niveaux ; 14 pièces ; 126 segments de mur ; 2 transitions. Inspection physique ; architecture complète encore ouverte.</x:v>
      </x:c>
      <x:c r="H1846" s="115" t="str">
        <x:v>L 220 ; l 248 ; hauteur 3 m ; choix de composition auteur ; dimensions réelles à documenter</x:v>
      </x:c>
      <x:c r="I1846" s="115" t="str">
        <x:v>À équilibrer</x:v>
      </x:c>
      <x:c r="J1846" s="115" t="str">
        <x:v>Non</x:v>
      </x:c>
      <x:c r="K1846" s="115" t="str">
        <x:v>Pièces décrites, murs, portes, niveaux et mobilier inspectables à l’échelle. Volumes réservés, raccord au seed, butin, rencontres et services de campagne restent à terminer.</x:v>
      </x:c>
    </x:row>
    <x:row r="1847" ht="96" customHeight="1">
      <x:c r="A1847" s="115" t="str">
        <x:v>EXT-MONDE-T037-V42</x:v>
      </x:c>
      <x:c r="B1847" s="115" t="str">
        <x:v>EXT-MONDE-T037</x:v>
      </x:c>
      <x:c r="C1847" s="115" t="str">
        <x:v>Égouts</x:v>
      </x:c>
      <x:c r="D1847" s="115" t="str">
        <x:v>Collecteur urbain</x:v>
      </x:c>
      <x:c r="E1847" s="115" t="n">
        <x:v>42</x:v>
      </x:c>
      <x:c r="F1847" s="115" t="str">
        <x:v>Inspection physique</x:v>
      </x:c>
      <x:c r="G1847" s="115" t="str">
        <x:v>2 niveaux ; 14 pièces ; 126 segments de mur ; 2 transitions. Inspection physique ; architecture complète encore ouverte.</x:v>
      </x:c>
      <x:c r="H1847" s="115" t="str">
        <x:v>L 222 ; l 248,7 ; hauteur 3 m ; choix de composition auteur ; dimensions réelles à documenter</x:v>
      </x:c>
      <x:c r="I1847" s="115" t="str">
        <x:v>À équilibrer</x:v>
      </x:c>
      <x:c r="J1847" s="115" t="str">
        <x:v>Non</x:v>
      </x:c>
      <x:c r="K1847" s="115" t="str">
        <x:v>Pièces décrites, murs, portes, niveaux et mobilier inspectables à l’échelle. Volumes réservés, raccord au seed, butin, rencontres et services de campagne restent à terminer.</x:v>
      </x:c>
    </x:row>
    <x:row r="1848" ht="96" customHeight="1">
      <x:c r="A1848" s="115" t="str">
        <x:v>EXT-MONDE-T037-V43</x:v>
      </x:c>
      <x:c r="B1848" s="115" t="str">
        <x:v>EXT-MONDE-T037</x:v>
      </x:c>
      <x:c r="C1848" s="115" t="str">
        <x:v>Égouts</x:v>
      </x:c>
      <x:c r="D1848" s="115" t="str">
        <x:v>Collecteur urbain</x:v>
      </x:c>
      <x:c r="E1848" s="115" t="n">
        <x:v>43</x:v>
      </x:c>
      <x:c r="F1848" s="115" t="str">
        <x:v>Inspection physique</x:v>
      </x:c>
      <x:c r="G1848" s="115" t="str">
        <x:v>2 niveaux ; 14 pièces ; 126 segments de mur ; 2 transitions. Inspection physique ; architecture complète encore ouverte.</x:v>
      </x:c>
      <x:c r="H1848" s="115" t="str">
        <x:v>L 224 ; l 249,4 ; hauteur 3 m ; choix de composition auteur ; dimensions réelles à documenter</x:v>
      </x:c>
      <x:c r="I1848" s="115" t="str">
        <x:v>À équilibrer</x:v>
      </x:c>
      <x:c r="J1848" s="115" t="str">
        <x:v>Non</x:v>
      </x:c>
      <x:c r="K1848" s="115" t="str">
        <x:v>Pièces décrites, murs, portes, niveaux et mobilier inspectables à l’échelle. Volumes réservés, raccord au seed, butin, rencontres et services de campagne restent à terminer.</x:v>
      </x:c>
    </x:row>
    <x:row r="1849" ht="96" customHeight="1">
      <x:c r="A1849" s="115" t="str">
        <x:v>EXT-MONDE-T037-V44</x:v>
      </x:c>
      <x:c r="B1849" s="115" t="str">
        <x:v>EXT-MONDE-T037</x:v>
      </x:c>
      <x:c r="C1849" s="115" t="str">
        <x:v>Égouts</x:v>
      </x:c>
      <x:c r="D1849" s="115" t="str">
        <x:v>Collecteur urbain</x:v>
      </x:c>
      <x:c r="E1849" s="115" t="n">
        <x:v>44</x:v>
      </x:c>
      <x:c r="F1849" s="115" t="str">
        <x:v>Inspection physique</x:v>
      </x:c>
      <x:c r="G1849" s="115" t="str">
        <x:v>2 niveaux ; 14 pièces ; 126 segments de mur ; 2 transitions. Inspection physique ; architecture complète encore ouverte.</x:v>
      </x:c>
      <x:c r="H1849" s="115" t="str">
        <x:v>L 226 ; l 250,1 ; hauteur 3 m ; choix de composition auteur ; dimensions réelles à documenter</x:v>
      </x:c>
      <x:c r="I1849" s="115" t="str">
        <x:v>À équilibrer</x:v>
      </x:c>
      <x:c r="J1849" s="115" t="str">
        <x:v>Non</x:v>
      </x:c>
      <x:c r="K1849" s="115" t="str">
        <x:v>Pièces décrites, murs, portes, niveaux et mobilier inspectables à l’échelle. Volumes réservés, raccord au seed, butin, rencontres et services de campagne restent à terminer.</x:v>
      </x:c>
    </x:row>
    <x:row r="1850" ht="96" customHeight="1">
      <x:c r="A1850" s="115" t="str">
        <x:v>EXT-MONDE-T037-V45</x:v>
      </x:c>
      <x:c r="B1850" s="115" t="str">
        <x:v>EXT-MONDE-T037</x:v>
      </x:c>
      <x:c r="C1850" s="115" t="str">
        <x:v>Égouts</x:v>
      </x:c>
      <x:c r="D1850" s="115" t="str">
        <x:v>Collecteur urbain</x:v>
      </x:c>
      <x:c r="E1850" s="115" t="n">
        <x:v>45</x:v>
      </x:c>
      <x:c r="F1850" s="115" t="str">
        <x:v>Inspection physique</x:v>
      </x:c>
      <x:c r="G1850" s="115" t="str">
        <x:v>2 niveaux ; 14 pièces ; 126 segments de mur ; 2 transitions. Inspection physique ; architecture complète encore ouverte.</x:v>
      </x:c>
      <x:c r="H1850" s="115" t="str">
        <x:v>L 228 ; l 250,8 ; hauteur 3 m ; choix de composition auteur ; dimensions réelles à documenter</x:v>
      </x:c>
      <x:c r="I1850" s="115" t="str">
        <x:v>À équilibrer</x:v>
      </x:c>
      <x:c r="J1850" s="115" t="str">
        <x:v>Non</x:v>
      </x:c>
      <x:c r="K1850" s="115" t="str">
        <x:v>Pièces décrites, murs, portes, niveaux et mobilier inspectables à l’échelle. Volumes réservés, raccord au seed, butin, rencontres et services de campagne restent à terminer.</x:v>
      </x:c>
    </x:row>
    <x:row r="1851" ht="96" customHeight="1">
      <x:c r="A1851" s="115" t="str">
        <x:v>EXT-MONDE-T037-V46</x:v>
      </x:c>
      <x:c r="B1851" s="115" t="str">
        <x:v>EXT-MONDE-T037</x:v>
      </x:c>
      <x:c r="C1851" s="115" t="str">
        <x:v>Égouts</x:v>
      </x:c>
      <x:c r="D1851" s="115" t="str">
        <x:v>Collecteur urbain</x:v>
      </x:c>
      <x:c r="E1851" s="115" t="n">
        <x:v>46</x:v>
      </x:c>
      <x:c r="F1851" s="115" t="str">
        <x:v>Inspection physique</x:v>
      </x:c>
      <x:c r="G1851" s="115" t="str">
        <x:v>2 niveaux ; 14 pièces ; 126 segments de mur ; 2 transitions. Inspection physique ; architecture complète encore ouverte.</x:v>
      </x:c>
      <x:c r="H1851" s="115" t="str">
        <x:v>L 230 ; l 251,5 ; hauteur 3 m ; choix de composition auteur ; dimensions réelles à documenter</x:v>
      </x:c>
      <x:c r="I1851" s="115" t="str">
        <x:v>À équilibrer</x:v>
      </x:c>
      <x:c r="J1851" s="115" t="str">
        <x:v>Non</x:v>
      </x:c>
      <x:c r="K1851" s="115" t="str">
        <x:v>Pièces décrites, murs, portes, niveaux et mobilier inspectables à l’échelle. Volumes réservés, raccord au seed, butin, rencontres et services de campagne restent à terminer.</x:v>
      </x:c>
    </x:row>
    <x:row r="1852" ht="96" customHeight="1">
      <x:c r="A1852" s="115" t="str">
        <x:v>EXT-MONDE-T037-V47</x:v>
      </x:c>
      <x:c r="B1852" s="115" t="str">
        <x:v>EXT-MONDE-T037</x:v>
      </x:c>
      <x:c r="C1852" s="115" t="str">
        <x:v>Égouts</x:v>
      </x:c>
      <x:c r="D1852" s="115" t="str">
        <x:v>Collecteur urbain</x:v>
      </x:c>
      <x:c r="E1852" s="115" t="n">
        <x:v>47</x:v>
      </x:c>
      <x:c r="F1852" s="115" t="str">
        <x:v>Inspection physique</x:v>
      </x:c>
      <x:c r="G1852" s="115" t="str">
        <x:v>2 niveaux ; 14 pièces ; 126 segments de mur ; 2 transitions. Inspection physique ; architecture complète encore ouverte.</x:v>
      </x:c>
      <x:c r="H1852" s="115" t="str">
        <x:v>L 232 ; l 252,2 ; hauteur 3 m ; choix de composition auteur ; dimensions réelles à documenter</x:v>
      </x:c>
      <x:c r="I1852" s="115" t="str">
        <x:v>À équilibrer</x:v>
      </x:c>
      <x:c r="J1852" s="115" t="str">
        <x:v>Non</x:v>
      </x:c>
      <x:c r="K1852" s="115" t="str">
        <x:v>Pièces décrites, murs, portes, niveaux et mobilier inspectables à l’échelle. Volumes réservés, raccord au seed, butin, rencontres et services de campagne restent à terminer.</x:v>
      </x:c>
    </x:row>
    <x:row r="1853" ht="96" customHeight="1">
      <x:c r="A1853" s="115" t="str">
        <x:v>EXT-MONDE-T037-V48</x:v>
      </x:c>
      <x:c r="B1853" s="115" t="str">
        <x:v>EXT-MONDE-T037</x:v>
      </x:c>
      <x:c r="C1853" s="115" t="str">
        <x:v>Égouts</x:v>
      </x:c>
      <x:c r="D1853" s="115" t="str">
        <x:v>Collecteur urbain</x:v>
      </x:c>
      <x:c r="E1853" s="115" t="n">
        <x:v>48</x:v>
      </x:c>
      <x:c r="F1853" s="115" t="str">
        <x:v>Inspection physique</x:v>
      </x:c>
      <x:c r="G1853" s="115" t="str">
        <x:v>2 niveaux ; 14 pièces ; 126 segments de mur ; 2 transitions. Inspection physique ; architecture complète encore ouverte.</x:v>
      </x:c>
      <x:c r="H1853" s="115" t="str">
        <x:v>L 234 ; l 252,9 ; hauteur 3 m ; choix de composition auteur ; dimensions réelles à documenter</x:v>
      </x:c>
      <x:c r="I1853" s="115" t="str">
        <x:v>À équilibrer</x:v>
      </x:c>
      <x:c r="J1853" s="115" t="str">
        <x:v>Non</x:v>
      </x:c>
      <x:c r="K1853" s="115" t="str">
        <x:v>Pièces décrites, murs, portes, niveaux et mobilier inspectables à l’échelle. Volumes réservés, raccord au seed, butin, rencontres et services de campagne restent à terminer.</x:v>
      </x:c>
    </x:row>
    <x:row r="1854" ht="96" customHeight="1">
      <x:c r="A1854" s="115" t="str">
        <x:v>EXT-MONDE-T037-V49</x:v>
      </x:c>
      <x:c r="B1854" s="115" t="str">
        <x:v>EXT-MONDE-T037</x:v>
      </x:c>
      <x:c r="C1854" s="115" t="str">
        <x:v>Égouts</x:v>
      </x:c>
      <x:c r="D1854" s="115" t="str">
        <x:v>Collecteur urbain</x:v>
      </x:c>
      <x:c r="E1854" s="115" t="n">
        <x:v>49</x:v>
      </x:c>
      <x:c r="F1854" s="115" t="str">
        <x:v>Inspection physique</x:v>
      </x:c>
      <x:c r="G1854" s="115" t="str">
        <x:v>2 niveaux ; 14 pièces ; 126 segments de mur ; 2 transitions. Inspection physique ; architecture complète encore ouverte.</x:v>
      </x:c>
      <x:c r="H1854" s="115" t="str">
        <x:v>L 236 ; l 253,6 ; hauteur 3 m ; choix de composition auteur ; dimensions réelles à documenter</x:v>
      </x:c>
      <x:c r="I1854" s="115" t="str">
        <x:v>À équilibrer</x:v>
      </x:c>
      <x:c r="J1854" s="115" t="str">
        <x:v>Non</x:v>
      </x:c>
      <x:c r="K1854" s="115" t="str">
        <x:v>Pièces décrites, murs, portes, niveaux et mobilier inspectables à l’échelle. Volumes réservés, raccord au seed, butin, rencontres et services de campagne restent à terminer.</x:v>
      </x:c>
    </x:row>
    <x:row r="1855" ht="96" customHeight="1">
      <x:c r="A1855" s="115" t="str">
        <x:v>EXT-MONDE-T037-V50</x:v>
      </x:c>
      <x:c r="B1855" s="115" t="str">
        <x:v>EXT-MONDE-T037</x:v>
      </x:c>
      <x:c r="C1855" s="115" t="str">
        <x:v>Égouts</x:v>
      </x:c>
      <x:c r="D1855" s="115" t="str">
        <x:v>Collecteur urbain</x:v>
      </x:c>
      <x:c r="E1855" s="115" t="n">
        <x:v>50</x:v>
      </x:c>
      <x:c r="F1855" s="115" t="str">
        <x:v>Inspection physique</x:v>
      </x:c>
      <x:c r="G1855" s="115" t="str">
        <x:v>2 niveaux ; 14 pièces ; 126 segments de mur ; 2 transitions. Inspection physique ; architecture complète encore ouverte.</x:v>
      </x:c>
      <x:c r="H1855" s="115" t="str">
        <x:v>L 238 ; l 254,3 ; hauteur 3 m ; choix de composition auteur ; dimensions réelles à documenter</x:v>
      </x:c>
      <x:c r="I1855" s="115" t="str">
        <x:v>À équilibrer</x:v>
      </x:c>
      <x:c r="J1855" s="115" t="str">
        <x:v>Non</x:v>
      </x:c>
      <x:c r="K1855" s="115" t="str">
        <x:v>Pièces décrites, murs, portes, niveaux et mobilier inspectables à l’échelle. Volumes réservés, raccord au seed, butin, rencontres et services de campagne restent à terminer.</x:v>
      </x:c>
    </x:row>
    <x:row r="1856" ht="96" customHeight="1">
      <x:c r="A1856" s="115" t="str">
        <x:v>EXT-MONDE-T038-V01</x:v>
      </x:c>
      <x:c r="B1856" s="115" t="str">
        <x:v>EXT-MONDE-T038</x:v>
      </x:c>
      <x:c r="C1856" s="115" t="str">
        <x:v>Égouts</x:v>
      </x:c>
      <x:c r="D1856" s="115" t="str">
        <x:v>Réseau unitaire ancien</x:v>
      </x:c>
      <x:c r="E1856" s="115" t="n">
        <x:v>1</x:v>
      </x:c>
      <x:c r="F1856" s="115" t="str">
        <x:v>Inspection physique</x:v>
      </x:c>
      <x:c r="G1856" s="115" t="str">
        <x:v>3 niveaux ; 24 pièces ; 207 segments de mur ; 4 transitions. Inspection physique ; architecture complète encore ouverte.</x:v>
      </x:c>
      <x:c r="H1856" s="115" t="str">
        <x:v>L 180 ; l 200 ; hauteur 3 m ; choix de composition auteur ; dimensions réelles à documenter</x:v>
      </x:c>
      <x:c r="I1856" s="115" t="str">
        <x:v>À équilibrer</x:v>
      </x:c>
      <x:c r="J1856" s="115" t="str">
        <x:v>Non</x:v>
      </x:c>
      <x:c r="K1856" s="115" t="str">
        <x:v>Pièces décrites, murs, portes, niveaux et mobilier inspectables à l’échelle. Volumes réservés, raccord au seed, butin, rencontres et services de campagne restent à terminer.</x:v>
      </x:c>
    </x:row>
    <x:row r="1857" ht="96" customHeight="1">
      <x:c r="A1857" s="115" t="str">
        <x:v>EXT-MONDE-T038-V02</x:v>
      </x:c>
      <x:c r="B1857" s="115" t="str">
        <x:v>EXT-MONDE-T038</x:v>
      </x:c>
      <x:c r="C1857" s="115" t="str">
        <x:v>Égouts</x:v>
      </x:c>
      <x:c r="D1857" s="115" t="str">
        <x:v>Réseau unitaire ancien</x:v>
      </x:c>
      <x:c r="E1857" s="115" t="n">
        <x:v>2</x:v>
      </x:c>
      <x:c r="F1857" s="115" t="str">
        <x:v>Inspection physique</x:v>
      </x:c>
      <x:c r="G1857" s="115" t="str">
        <x:v>3 niveaux ; 24 pièces ; 207 segments de mur ; 4 transitions. Inspection physique ; architecture complète encore ouverte.</x:v>
      </x:c>
      <x:c r="H1857" s="115" t="str">
        <x:v>L 182 ; l 200,7 ; hauteur 3 m ; choix de composition auteur ; dimensions réelles à documenter</x:v>
      </x:c>
      <x:c r="I1857" s="115" t="str">
        <x:v>À équilibrer</x:v>
      </x:c>
      <x:c r="J1857" s="115" t="str">
        <x:v>Non</x:v>
      </x:c>
      <x:c r="K1857" s="115" t="str">
        <x:v>Pièces décrites, murs, portes, niveaux et mobilier inspectables à l’échelle. Volumes réservés, raccord au seed, butin, rencontres et services de campagne restent à terminer.</x:v>
      </x:c>
    </x:row>
    <x:row r="1858" ht="96" customHeight="1">
      <x:c r="A1858" s="115" t="str">
        <x:v>EXT-MONDE-T038-V03</x:v>
      </x:c>
      <x:c r="B1858" s="115" t="str">
        <x:v>EXT-MONDE-T038</x:v>
      </x:c>
      <x:c r="C1858" s="115" t="str">
        <x:v>Égouts</x:v>
      </x:c>
      <x:c r="D1858" s="115" t="str">
        <x:v>Réseau unitaire ancien</x:v>
      </x:c>
      <x:c r="E1858" s="115" t="n">
        <x:v>3</x:v>
      </x:c>
      <x:c r="F1858" s="115" t="str">
        <x:v>Inspection physique</x:v>
      </x:c>
      <x:c r="G1858" s="115" t="str">
        <x:v>3 niveaux ; 24 pièces ; 207 segments de mur ; 4 transitions. Inspection physique ; architecture complète encore ouverte.</x:v>
      </x:c>
      <x:c r="H1858" s="115" t="str">
        <x:v>L 184 ; l 201,4 ; hauteur 3 m ; choix de composition auteur ; dimensions réelles à documenter</x:v>
      </x:c>
      <x:c r="I1858" s="115" t="str">
        <x:v>À équilibrer</x:v>
      </x:c>
      <x:c r="J1858" s="115" t="str">
        <x:v>Non</x:v>
      </x:c>
      <x:c r="K1858" s="115" t="str">
        <x:v>Pièces décrites, murs, portes, niveaux et mobilier inspectables à l’échelle. Volumes réservés, raccord au seed, butin, rencontres et services de campagne restent à terminer.</x:v>
      </x:c>
    </x:row>
    <x:row r="1859" ht="96" customHeight="1">
      <x:c r="A1859" s="115" t="str">
        <x:v>EXT-MONDE-T038-V04</x:v>
      </x:c>
      <x:c r="B1859" s="115" t="str">
        <x:v>EXT-MONDE-T038</x:v>
      </x:c>
      <x:c r="C1859" s="115" t="str">
        <x:v>Égouts</x:v>
      </x:c>
      <x:c r="D1859" s="115" t="str">
        <x:v>Réseau unitaire ancien</x:v>
      </x:c>
      <x:c r="E1859" s="115" t="n">
        <x:v>4</x:v>
      </x:c>
      <x:c r="F1859" s="115" t="str">
        <x:v>Inspection physique</x:v>
      </x:c>
      <x:c r="G1859" s="115" t="str">
        <x:v>3 niveaux ; 24 pièces ; 207 segments de mur ; 4 transitions. Inspection physique ; architecture complète encore ouverte.</x:v>
      </x:c>
      <x:c r="H1859" s="115" t="str">
        <x:v>L 186 ; l 202,1 ; hauteur 3 m ; choix de composition auteur ; dimensions réelles à documenter</x:v>
      </x:c>
      <x:c r="I1859" s="115" t="str">
        <x:v>À équilibrer</x:v>
      </x:c>
      <x:c r="J1859" s="115" t="str">
        <x:v>Non</x:v>
      </x:c>
      <x:c r="K1859" s="115" t="str">
        <x:v>Pièces décrites, murs, portes, niveaux et mobilier inspectables à l’échelle. Volumes réservés, raccord au seed, butin, rencontres et services de campagne restent à terminer.</x:v>
      </x:c>
    </x:row>
    <x:row r="1860" ht="96" customHeight="1">
      <x:c r="A1860" s="115" t="str">
        <x:v>EXT-MONDE-T038-V05</x:v>
      </x:c>
      <x:c r="B1860" s="115" t="str">
        <x:v>EXT-MONDE-T038</x:v>
      </x:c>
      <x:c r="C1860" s="115" t="str">
        <x:v>Égouts</x:v>
      </x:c>
      <x:c r="D1860" s="115" t="str">
        <x:v>Réseau unitaire ancien</x:v>
      </x:c>
      <x:c r="E1860" s="115" t="n">
        <x:v>5</x:v>
      </x:c>
      <x:c r="F1860" s="115" t="str">
        <x:v>Inspection physique</x:v>
      </x:c>
      <x:c r="G1860" s="115" t="str">
        <x:v>3 niveaux ; 24 pièces ; 207 segments de mur ; 4 transitions. Inspection physique ; architecture complète encore ouverte.</x:v>
      </x:c>
      <x:c r="H1860" s="115" t="str">
        <x:v>L 188 ; l 202,8 ; hauteur 3 m ; choix de composition auteur ; dimensions réelles à documenter</x:v>
      </x:c>
      <x:c r="I1860" s="115" t="str">
        <x:v>À équilibrer</x:v>
      </x:c>
      <x:c r="J1860" s="115" t="str">
        <x:v>Non</x:v>
      </x:c>
      <x:c r="K1860" s="115" t="str">
        <x:v>Pièces décrites, murs, portes, niveaux et mobilier inspectables à l’échelle. Volumes réservés, raccord au seed, butin, rencontres et services de campagne restent à terminer.</x:v>
      </x:c>
    </x:row>
    <x:row r="1861" ht="96" customHeight="1">
      <x:c r="A1861" s="115" t="str">
        <x:v>EXT-MONDE-T038-V06</x:v>
      </x:c>
      <x:c r="B1861" s="115" t="str">
        <x:v>EXT-MONDE-T038</x:v>
      </x:c>
      <x:c r="C1861" s="115" t="str">
        <x:v>Égouts</x:v>
      </x:c>
      <x:c r="D1861" s="115" t="str">
        <x:v>Réseau unitaire ancien</x:v>
      </x:c>
      <x:c r="E1861" s="115" t="n">
        <x:v>6</x:v>
      </x:c>
      <x:c r="F1861" s="115" t="str">
        <x:v>Inspection physique</x:v>
      </x:c>
      <x:c r="G1861" s="115" t="str">
        <x:v>3 niveaux ; 24 pièces ; 207 segments de mur ; 4 transitions. Inspection physique ; architecture complète encore ouverte.</x:v>
      </x:c>
      <x:c r="H1861" s="115" t="str">
        <x:v>L 190 ; l 203,5 ; hauteur 3 m ; choix de composition auteur ; dimensions réelles à documenter</x:v>
      </x:c>
      <x:c r="I1861" s="115" t="str">
        <x:v>À équilibrer</x:v>
      </x:c>
      <x:c r="J1861" s="115" t="str">
        <x:v>Non</x:v>
      </x:c>
      <x:c r="K1861" s="115" t="str">
        <x:v>Pièces décrites, murs, portes, niveaux et mobilier inspectables à l’échelle. Volumes réservés, raccord au seed, butin, rencontres et services de campagne restent à terminer.</x:v>
      </x:c>
    </x:row>
    <x:row r="1862" ht="96" customHeight="1">
      <x:c r="A1862" s="115" t="str">
        <x:v>EXT-MONDE-T038-V07</x:v>
      </x:c>
      <x:c r="B1862" s="115" t="str">
        <x:v>EXT-MONDE-T038</x:v>
      </x:c>
      <x:c r="C1862" s="115" t="str">
        <x:v>Égouts</x:v>
      </x:c>
      <x:c r="D1862" s="115" t="str">
        <x:v>Réseau unitaire ancien</x:v>
      </x:c>
      <x:c r="E1862" s="115" t="n">
        <x:v>7</x:v>
      </x:c>
      <x:c r="F1862" s="115" t="str">
        <x:v>Inspection physique</x:v>
      </x:c>
      <x:c r="G1862" s="115" t="str">
        <x:v>3 niveaux ; 24 pièces ; 207 segments de mur ; 4 transitions. Inspection physique ; architecture complète encore ouverte.</x:v>
      </x:c>
      <x:c r="H1862" s="115" t="str">
        <x:v>L 192 ; l 204,2 ; hauteur 3 m ; choix de composition auteur ; dimensions réelles à documenter</x:v>
      </x:c>
      <x:c r="I1862" s="115" t="str">
        <x:v>À équilibrer</x:v>
      </x:c>
      <x:c r="J1862" s="115" t="str">
        <x:v>Non</x:v>
      </x:c>
      <x:c r="K1862" s="115" t="str">
        <x:v>Pièces décrites, murs, portes, niveaux et mobilier inspectables à l’échelle. Volumes réservés, raccord au seed, butin, rencontres et services de campagne restent à terminer.</x:v>
      </x:c>
    </x:row>
    <x:row r="1863" ht="96" customHeight="1">
      <x:c r="A1863" s="115" t="str">
        <x:v>EXT-MONDE-T038-V08</x:v>
      </x:c>
      <x:c r="B1863" s="115" t="str">
        <x:v>EXT-MONDE-T038</x:v>
      </x:c>
      <x:c r="C1863" s="115" t="str">
        <x:v>Égouts</x:v>
      </x:c>
      <x:c r="D1863" s="115" t="str">
        <x:v>Réseau unitaire ancien</x:v>
      </x:c>
      <x:c r="E1863" s="115" t="n">
        <x:v>8</x:v>
      </x:c>
      <x:c r="F1863" s="115" t="str">
        <x:v>Inspection physique</x:v>
      </x:c>
      <x:c r="G1863" s="115" t="str">
        <x:v>3 niveaux ; 24 pièces ; 207 segments de mur ; 4 transitions. Inspection physique ; architecture complète encore ouverte.</x:v>
      </x:c>
      <x:c r="H1863" s="115" t="str">
        <x:v>L 194 ; l 204,9 ; hauteur 3 m ; choix de composition auteur ; dimensions réelles à documenter</x:v>
      </x:c>
      <x:c r="I1863" s="115" t="str">
        <x:v>À équilibrer</x:v>
      </x:c>
      <x:c r="J1863" s="115" t="str">
        <x:v>Non</x:v>
      </x:c>
      <x:c r="K1863" s="115" t="str">
        <x:v>Pièces décrites, murs, portes, niveaux et mobilier inspectables à l’échelle. Volumes réservés, raccord au seed, butin, rencontres et services de campagne restent à terminer.</x:v>
      </x:c>
    </x:row>
    <x:row r="1864" ht="96" customHeight="1">
      <x:c r="A1864" s="115" t="str">
        <x:v>EXT-MONDE-T038-V09</x:v>
      </x:c>
      <x:c r="B1864" s="115" t="str">
        <x:v>EXT-MONDE-T038</x:v>
      </x:c>
      <x:c r="C1864" s="115" t="str">
        <x:v>Égouts</x:v>
      </x:c>
      <x:c r="D1864" s="115" t="str">
        <x:v>Réseau unitaire ancien</x:v>
      </x:c>
      <x:c r="E1864" s="115" t="n">
        <x:v>9</x:v>
      </x:c>
      <x:c r="F1864" s="115" t="str">
        <x:v>Inspection physique</x:v>
      </x:c>
      <x:c r="G1864" s="115" t="str">
        <x:v>3 niveaux ; 24 pièces ; 207 segments de mur ; 4 transitions. Inspection physique ; architecture complète encore ouverte.</x:v>
      </x:c>
      <x:c r="H1864" s="115" t="str">
        <x:v>L 196 ; l 205,6 ; hauteur 3 m ; choix de composition auteur ; dimensions réelles à documenter</x:v>
      </x:c>
      <x:c r="I1864" s="115" t="str">
        <x:v>À équilibrer</x:v>
      </x:c>
      <x:c r="J1864" s="115" t="str">
        <x:v>Non</x:v>
      </x:c>
      <x:c r="K1864" s="115" t="str">
        <x:v>Pièces décrites, murs, portes, niveaux et mobilier inspectables à l’échelle. Volumes réservés, raccord au seed, butin, rencontres et services de campagne restent à terminer.</x:v>
      </x:c>
    </x:row>
    <x:row r="1865" ht="96" customHeight="1">
      <x:c r="A1865" s="115" t="str">
        <x:v>EXT-MONDE-T038-V10</x:v>
      </x:c>
      <x:c r="B1865" s="115" t="str">
        <x:v>EXT-MONDE-T038</x:v>
      </x:c>
      <x:c r="C1865" s="115" t="str">
        <x:v>Égouts</x:v>
      </x:c>
      <x:c r="D1865" s="115" t="str">
        <x:v>Réseau unitaire ancien</x:v>
      </x:c>
      <x:c r="E1865" s="115" t="n">
        <x:v>10</x:v>
      </x:c>
      <x:c r="F1865" s="115" t="str">
        <x:v>Inspection physique</x:v>
      </x:c>
      <x:c r="G1865" s="115" t="str">
        <x:v>3 niveaux ; 24 pièces ; 207 segments de mur ; 4 transitions. Inspection physique ; architecture complète encore ouverte.</x:v>
      </x:c>
      <x:c r="H1865" s="115" t="str">
        <x:v>L 198 ; l 206,3 ; hauteur 3 m ; choix de composition auteur ; dimensions réelles à documenter</x:v>
      </x:c>
      <x:c r="I1865" s="115" t="str">
        <x:v>À équilibrer</x:v>
      </x:c>
      <x:c r="J1865" s="115" t="str">
        <x:v>Non</x:v>
      </x:c>
      <x:c r="K1865" s="115" t="str">
        <x:v>Pièces décrites, murs, portes, niveaux et mobilier inspectables à l’échelle. Volumes réservés, raccord au seed, butin, rencontres et services de campagne restent à terminer.</x:v>
      </x:c>
    </x:row>
    <x:row r="1866" ht="96" customHeight="1">
      <x:c r="A1866" s="115" t="str">
        <x:v>EXT-MONDE-T038-V11</x:v>
      </x:c>
      <x:c r="B1866" s="115" t="str">
        <x:v>EXT-MONDE-T038</x:v>
      </x:c>
      <x:c r="C1866" s="115" t="str">
        <x:v>Égouts</x:v>
      </x:c>
      <x:c r="D1866" s="115" t="str">
        <x:v>Réseau unitaire ancien</x:v>
      </x:c>
      <x:c r="E1866" s="115" t="n">
        <x:v>11</x:v>
      </x:c>
      <x:c r="F1866" s="115" t="str">
        <x:v>Inspection physique</x:v>
      </x:c>
      <x:c r="G1866" s="115" t="str">
        <x:v>3 niveaux ; 24 pièces ; 207 segments de mur ; 4 transitions. Inspection physique ; architecture complète encore ouverte.</x:v>
      </x:c>
      <x:c r="H1866" s="115" t="str">
        <x:v>L 190 ; l 212 ; hauteur 3 m ; choix de composition auteur ; dimensions réelles à documenter</x:v>
      </x:c>
      <x:c r="I1866" s="115" t="str">
        <x:v>À équilibrer</x:v>
      </x:c>
      <x:c r="J1866" s="115" t="str">
        <x:v>Non</x:v>
      </x:c>
      <x:c r="K1866" s="115" t="str">
        <x:v>Pièces décrites, murs, portes, niveaux et mobilier inspectables à l’échelle. Volumes réservés, raccord au seed, butin, rencontres et services de campagne restent à terminer.</x:v>
      </x:c>
    </x:row>
    <x:row r="1867" ht="96" customHeight="1">
      <x:c r="A1867" s="115" t="str">
        <x:v>EXT-MONDE-T038-V12</x:v>
      </x:c>
      <x:c r="B1867" s="115" t="str">
        <x:v>EXT-MONDE-T038</x:v>
      </x:c>
      <x:c r="C1867" s="115" t="str">
        <x:v>Égouts</x:v>
      </x:c>
      <x:c r="D1867" s="115" t="str">
        <x:v>Réseau unitaire ancien</x:v>
      </x:c>
      <x:c r="E1867" s="115" t="n">
        <x:v>12</x:v>
      </x:c>
      <x:c r="F1867" s="115" t="str">
        <x:v>Inspection physique</x:v>
      </x:c>
      <x:c r="G1867" s="115" t="str">
        <x:v>3 niveaux ; 24 pièces ; 207 segments de mur ; 4 transitions. Inspection physique ; architecture complète encore ouverte.</x:v>
      </x:c>
      <x:c r="H1867" s="115" t="str">
        <x:v>L 192 ; l 212,7 ; hauteur 3 m ; choix de composition auteur ; dimensions réelles à documenter</x:v>
      </x:c>
      <x:c r="I1867" s="115" t="str">
        <x:v>À équilibrer</x:v>
      </x:c>
      <x:c r="J1867" s="115" t="str">
        <x:v>Non</x:v>
      </x:c>
      <x:c r="K1867" s="115" t="str">
        <x:v>Pièces décrites, murs, portes, niveaux et mobilier inspectables à l’échelle. Volumes réservés, raccord au seed, butin, rencontres et services de campagne restent à terminer.</x:v>
      </x:c>
    </x:row>
    <x:row r="1868" ht="96" customHeight="1">
      <x:c r="A1868" s="115" t="str">
        <x:v>EXT-MONDE-T038-V13</x:v>
      </x:c>
      <x:c r="B1868" s="115" t="str">
        <x:v>EXT-MONDE-T038</x:v>
      </x:c>
      <x:c r="C1868" s="115" t="str">
        <x:v>Égouts</x:v>
      </x:c>
      <x:c r="D1868" s="115" t="str">
        <x:v>Réseau unitaire ancien</x:v>
      </x:c>
      <x:c r="E1868" s="115" t="n">
        <x:v>13</x:v>
      </x:c>
      <x:c r="F1868" s="115" t="str">
        <x:v>Inspection physique</x:v>
      </x:c>
      <x:c r="G1868" s="115" t="str">
        <x:v>3 niveaux ; 24 pièces ; 207 segments de mur ; 4 transitions. Inspection physique ; architecture complète encore ouverte.</x:v>
      </x:c>
      <x:c r="H1868" s="115" t="str">
        <x:v>L 194 ; l 213,4 ; hauteur 3 m ; choix de composition auteur ; dimensions réelles à documenter</x:v>
      </x:c>
      <x:c r="I1868" s="115" t="str">
        <x:v>À équilibrer</x:v>
      </x:c>
      <x:c r="J1868" s="115" t="str">
        <x:v>Non</x:v>
      </x:c>
      <x:c r="K1868" s="115" t="str">
        <x:v>Pièces décrites, murs, portes, niveaux et mobilier inspectables à l’échelle. Volumes réservés, raccord au seed, butin, rencontres et services de campagne restent à terminer.</x:v>
      </x:c>
    </x:row>
    <x:row r="1869" ht="96" customHeight="1">
      <x:c r="A1869" s="115" t="str">
        <x:v>EXT-MONDE-T038-V14</x:v>
      </x:c>
      <x:c r="B1869" s="115" t="str">
        <x:v>EXT-MONDE-T038</x:v>
      </x:c>
      <x:c r="C1869" s="115" t="str">
        <x:v>Égouts</x:v>
      </x:c>
      <x:c r="D1869" s="115" t="str">
        <x:v>Réseau unitaire ancien</x:v>
      </x:c>
      <x:c r="E1869" s="115" t="n">
        <x:v>14</x:v>
      </x:c>
      <x:c r="F1869" s="115" t="str">
        <x:v>Inspection physique</x:v>
      </x:c>
      <x:c r="G1869" s="115" t="str">
        <x:v>3 niveaux ; 24 pièces ; 207 segments de mur ; 4 transitions. Inspection physique ; architecture complète encore ouverte.</x:v>
      </x:c>
      <x:c r="H1869" s="115" t="str">
        <x:v>L 196 ; l 214,1 ; hauteur 3 m ; choix de composition auteur ; dimensions réelles à documenter</x:v>
      </x:c>
      <x:c r="I1869" s="115" t="str">
        <x:v>À équilibrer</x:v>
      </x:c>
      <x:c r="J1869" s="115" t="str">
        <x:v>Non</x:v>
      </x:c>
      <x:c r="K1869" s="115" t="str">
        <x:v>Pièces décrites, murs, portes, niveaux et mobilier inspectables à l’échelle. Volumes réservés, raccord au seed, butin, rencontres et services de campagne restent à terminer.</x:v>
      </x:c>
    </x:row>
    <x:row r="1870" ht="96" customHeight="1">
      <x:c r="A1870" s="115" t="str">
        <x:v>EXT-MONDE-T038-V15</x:v>
      </x:c>
      <x:c r="B1870" s="115" t="str">
        <x:v>EXT-MONDE-T038</x:v>
      </x:c>
      <x:c r="C1870" s="115" t="str">
        <x:v>Égouts</x:v>
      </x:c>
      <x:c r="D1870" s="115" t="str">
        <x:v>Réseau unitaire ancien</x:v>
      </x:c>
      <x:c r="E1870" s="115" t="n">
        <x:v>15</x:v>
      </x:c>
      <x:c r="F1870" s="115" t="str">
        <x:v>Inspection physique</x:v>
      </x:c>
      <x:c r="G1870" s="115" t="str">
        <x:v>3 niveaux ; 24 pièces ; 207 segments de mur ; 4 transitions. Inspection physique ; architecture complète encore ouverte.</x:v>
      </x:c>
      <x:c r="H1870" s="115" t="str">
        <x:v>L 198 ; l 214,8 ; hauteur 3 m ; choix de composition auteur ; dimensions réelles à documenter</x:v>
      </x:c>
      <x:c r="I1870" s="115" t="str">
        <x:v>À équilibrer</x:v>
      </x:c>
      <x:c r="J1870" s="115" t="str">
        <x:v>Non</x:v>
      </x:c>
      <x:c r="K1870" s="115" t="str">
        <x:v>Pièces décrites, murs, portes, niveaux et mobilier inspectables à l’échelle. Volumes réservés, raccord au seed, butin, rencontres et services de campagne restent à terminer.</x:v>
      </x:c>
    </x:row>
    <x:row r="1871" ht="96" customHeight="1">
      <x:c r="A1871" s="115" t="str">
        <x:v>EXT-MONDE-T038-V16</x:v>
      </x:c>
      <x:c r="B1871" s="115" t="str">
        <x:v>EXT-MONDE-T038</x:v>
      </x:c>
      <x:c r="C1871" s="115" t="str">
        <x:v>Égouts</x:v>
      </x:c>
      <x:c r="D1871" s="115" t="str">
        <x:v>Réseau unitaire ancien</x:v>
      </x:c>
      <x:c r="E1871" s="115" t="n">
        <x:v>16</x:v>
      </x:c>
      <x:c r="F1871" s="115" t="str">
        <x:v>Inspection physique</x:v>
      </x:c>
      <x:c r="G1871" s="115" t="str">
        <x:v>3 niveaux ; 24 pièces ; 207 segments de mur ; 4 transitions. Inspection physique ; architecture complète encore ouverte.</x:v>
      </x:c>
      <x:c r="H1871" s="115" t="str">
        <x:v>L 200 ; l 215,5 ; hauteur 3 m ; choix de composition auteur ; dimensions réelles à documenter</x:v>
      </x:c>
      <x:c r="I1871" s="115" t="str">
        <x:v>À équilibrer</x:v>
      </x:c>
      <x:c r="J1871" s="115" t="str">
        <x:v>Non</x:v>
      </x:c>
      <x:c r="K1871" s="115" t="str">
        <x:v>Pièces décrites, murs, portes, niveaux et mobilier inspectables à l’échelle. Volumes réservés, raccord au seed, butin, rencontres et services de campagne restent à terminer.</x:v>
      </x:c>
    </x:row>
    <x:row r="1872" ht="96" customHeight="1">
      <x:c r="A1872" s="115" t="str">
        <x:v>EXT-MONDE-T038-V17</x:v>
      </x:c>
      <x:c r="B1872" s="115" t="str">
        <x:v>EXT-MONDE-T038</x:v>
      </x:c>
      <x:c r="C1872" s="115" t="str">
        <x:v>Égouts</x:v>
      </x:c>
      <x:c r="D1872" s="115" t="str">
        <x:v>Réseau unitaire ancien</x:v>
      </x:c>
      <x:c r="E1872" s="115" t="n">
        <x:v>17</x:v>
      </x:c>
      <x:c r="F1872" s="115" t="str">
        <x:v>Inspection physique</x:v>
      </x:c>
      <x:c r="G1872" s="115" t="str">
        <x:v>3 niveaux ; 24 pièces ; 207 segments de mur ; 4 transitions. Inspection physique ; architecture complète encore ouverte.</x:v>
      </x:c>
      <x:c r="H1872" s="115" t="str">
        <x:v>L 202 ; l 216,2 ; hauteur 3 m ; choix de composition auteur ; dimensions réelles à documenter</x:v>
      </x:c>
      <x:c r="I1872" s="115" t="str">
        <x:v>À équilibrer</x:v>
      </x:c>
      <x:c r="J1872" s="115" t="str">
        <x:v>Non</x:v>
      </x:c>
      <x:c r="K1872" s="115" t="str">
        <x:v>Pièces décrites, murs, portes, niveaux et mobilier inspectables à l’échelle. Volumes réservés, raccord au seed, butin, rencontres et services de campagne restent à terminer.</x:v>
      </x:c>
    </x:row>
    <x:row r="1873" ht="96" customHeight="1">
      <x:c r="A1873" s="115" t="str">
        <x:v>EXT-MONDE-T038-V18</x:v>
      </x:c>
      <x:c r="B1873" s="115" t="str">
        <x:v>EXT-MONDE-T038</x:v>
      </x:c>
      <x:c r="C1873" s="115" t="str">
        <x:v>Égouts</x:v>
      </x:c>
      <x:c r="D1873" s="115" t="str">
        <x:v>Réseau unitaire ancien</x:v>
      </x:c>
      <x:c r="E1873" s="115" t="n">
        <x:v>18</x:v>
      </x:c>
      <x:c r="F1873" s="115" t="str">
        <x:v>Inspection physique</x:v>
      </x:c>
      <x:c r="G1873" s="115" t="str">
        <x:v>3 niveaux ; 24 pièces ; 207 segments de mur ; 4 transitions. Inspection physique ; architecture complète encore ouverte.</x:v>
      </x:c>
      <x:c r="H1873" s="115" t="str">
        <x:v>L 204 ; l 216,9 ; hauteur 3 m ; choix de composition auteur ; dimensions réelles à documenter</x:v>
      </x:c>
      <x:c r="I1873" s="115" t="str">
        <x:v>À équilibrer</x:v>
      </x:c>
      <x:c r="J1873" s="115" t="str">
        <x:v>Non</x:v>
      </x:c>
      <x:c r="K1873" s="115" t="str">
        <x:v>Pièces décrites, murs, portes, niveaux et mobilier inspectables à l’échelle. Volumes réservés, raccord au seed, butin, rencontres et services de campagne restent à terminer.</x:v>
      </x:c>
    </x:row>
    <x:row r="1874" ht="96" customHeight="1">
      <x:c r="A1874" s="115" t="str">
        <x:v>EXT-MONDE-T038-V19</x:v>
      </x:c>
      <x:c r="B1874" s="115" t="str">
        <x:v>EXT-MONDE-T038</x:v>
      </x:c>
      <x:c r="C1874" s="115" t="str">
        <x:v>Égouts</x:v>
      </x:c>
      <x:c r="D1874" s="115" t="str">
        <x:v>Réseau unitaire ancien</x:v>
      </x:c>
      <x:c r="E1874" s="115" t="n">
        <x:v>19</x:v>
      </x:c>
      <x:c r="F1874" s="115" t="str">
        <x:v>Inspection physique</x:v>
      </x:c>
      <x:c r="G1874" s="115" t="str">
        <x:v>3 niveaux ; 24 pièces ; 207 segments de mur ; 4 transitions. Inspection physique ; architecture complète encore ouverte.</x:v>
      </x:c>
      <x:c r="H1874" s="115" t="str">
        <x:v>L 206 ; l 217,6 ; hauteur 3 m ; choix de composition auteur ; dimensions réelles à documenter</x:v>
      </x:c>
      <x:c r="I1874" s="115" t="str">
        <x:v>À équilibrer</x:v>
      </x:c>
      <x:c r="J1874" s="115" t="str">
        <x:v>Non</x:v>
      </x:c>
      <x:c r="K1874" s="115" t="str">
        <x:v>Pièces décrites, murs, portes, niveaux et mobilier inspectables à l’échelle. Volumes réservés, raccord au seed, butin, rencontres et services de campagne restent à terminer.</x:v>
      </x:c>
    </x:row>
    <x:row r="1875" ht="96" customHeight="1">
      <x:c r="A1875" s="115" t="str">
        <x:v>EXT-MONDE-T038-V20</x:v>
      </x:c>
      <x:c r="B1875" s="115" t="str">
        <x:v>EXT-MONDE-T038</x:v>
      </x:c>
      <x:c r="C1875" s="115" t="str">
        <x:v>Égouts</x:v>
      </x:c>
      <x:c r="D1875" s="115" t="str">
        <x:v>Réseau unitaire ancien</x:v>
      </x:c>
      <x:c r="E1875" s="115" t="n">
        <x:v>20</x:v>
      </x:c>
      <x:c r="F1875" s="115" t="str">
        <x:v>Inspection physique</x:v>
      </x:c>
      <x:c r="G1875" s="115" t="str">
        <x:v>3 niveaux ; 24 pièces ; 207 segments de mur ; 4 transitions. Inspection physique ; architecture complète encore ouverte.</x:v>
      </x:c>
      <x:c r="H1875" s="115" t="str">
        <x:v>L 208 ; l 218,3 ; hauteur 3 m ; choix de composition auteur ; dimensions réelles à documenter</x:v>
      </x:c>
      <x:c r="I1875" s="115" t="str">
        <x:v>À équilibrer</x:v>
      </x:c>
      <x:c r="J1875" s="115" t="str">
        <x:v>Non</x:v>
      </x:c>
      <x:c r="K1875" s="115" t="str">
        <x:v>Pièces décrites, murs, portes, niveaux et mobilier inspectables à l’échelle. Volumes réservés, raccord au seed, butin, rencontres et services de campagne restent à terminer.</x:v>
      </x:c>
    </x:row>
    <x:row r="1876" ht="96" customHeight="1">
      <x:c r="A1876" s="115" t="str">
        <x:v>EXT-MONDE-T038-V21</x:v>
      </x:c>
      <x:c r="B1876" s="115" t="str">
        <x:v>EXT-MONDE-T038</x:v>
      </x:c>
      <x:c r="C1876" s="115" t="str">
        <x:v>Égouts</x:v>
      </x:c>
      <x:c r="D1876" s="115" t="str">
        <x:v>Réseau unitaire ancien</x:v>
      </x:c>
      <x:c r="E1876" s="115" t="n">
        <x:v>21</x:v>
      </x:c>
      <x:c r="F1876" s="115" t="str">
        <x:v>Inspection physique</x:v>
      </x:c>
      <x:c r="G1876" s="115" t="str">
        <x:v>3 niveaux ; 24 pièces ; 207 segments de mur ; 4 transitions. Inspection physique ; architecture complète encore ouverte.</x:v>
      </x:c>
      <x:c r="H1876" s="115" t="str">
        <x:v>L 200 ; l 224 ; hauteur 3 m ; choix de composition auteur ; dimensions réelles à documenter</x:v>
      </x:c>
      <x:c r="I1876" s="115" t="str">
        <x:v>À équilibrer</x:v>
      </x:c>
      <x:c r="J1876" s="115" t="str">
        <x:v>Non</x:v>
      </x:c>
      <x:c r="K1876" s="115" t="str">
        <x:v>Pièces décrites, murs, portes, niveaux et mobilier inspectables à l’échelle. Volumes réservés, raccord au seed, butin, rencontres et services de campagne restent à terminer.</x:v>
      </x:c>
    </x:row>
    <x:row r="1877" ht="96" customHeight="1">
      <x:c r="A1877" s="115" t="str">
        <x:v>EXT-MONDE-T038-V22</x:v>
      </x:c>
      <x:c r="B1877" s="115" t="str">
        <x:v>EXT-MONDE-T038</x:v>
      </x:c>
      <x:c r="C1877" s="115" t="str">
        <x:v>Égouts</x:v>
      </x:c>
      <x:c r="D1877" s="115" t="str">
        <x:v>Réseau unitaire ancien</x:v>
      </x:c>
      <x:c r="E1877" s="115" t="n">
        <x:v>22</x:v>
      </x:c>
      <x:c r="F1877" s="115" t="str">
        <x:v>Inspection physique</x:v>
      </x:c>
      <x:c r="G1877" s="115" t="str">
        <x:v>3 niveaux ; 24 pièces ; 207 segments de mur ; 4 transitions. Inspection physique ; architecture complète encore ouverte.</x:v>
      </x:c>
      <x:c r="H1877" s="115" t="str">
        <x:v>L 202 ; l 224,7 ; hauteur 3 m ; choix de composition auteur ; dimensions réelles à documenter</x:v>
      </x:c>
      <x:c r="I1877" s="115" t="str">
        <x:v>À équilibrer</x:v>
      </x:c>
      <x:c r="J1877" s="115" t="str">
        <x:v>Non</x:v>
      </x:c>
      <x:c r="K1877" s="115" t="str">
        <x:v>Pièces décrites, murs, portes, niveaux et mobilier inspectables à l’échelle. Volumes réservés, raccord au seed, butin, rencontres et services de campagne restent à terminer.</x:v>
      </x:c>
    </x:row>
    <x:row r="1878" ht="96" customHeight="1">
      <x:c r="A1878" s="115" t="str">
        <x:v>EXT-MONDE-T038-V23</x:v>
      </x:c>
      <x:c r="B1878" s="115" t="str">
        <x:v>EXT-MONDE-T038</x:v>
      </x:c>
      <x:c r="C1878" s="115" t="str">
        <x:v>Égouts</x:v>
      </x:c>
      <x:c r="D1878" s="115" t="str">
        <x:v>Réseau unitaire ancien</x:v>
      </x:c>
      <x:c r="E1878" s="115" t="n">
        <x:v>23</x:v>
      </x:c>
      <x:c r="F1878" s="115" t="str">
        <x:v>Inspection physique</x:v>
      </x:c>
      <x:c r="G1878" s="115" t="str">
        <x:v>3 niveaux ; 24 pièces ; 207 segments de mur ; 4 transitions. Inspection physique ; architecture complète encore ouverte.</x:v>
      </x:c>
      <x:c r="H1878" s="115" t="str">
        <x:v>L 204 ; l 225,4 ; hauteur 3 m ; choix de composition auteur ; dimensions réelles à documenter</x:v>
      </x:c>
      <x:c r="I1878" s="115" t="str">
        <x:v>À équilibrer</x:v>
      </x:c>
      <x:c r="J1878" s="115" t="str">
        <x:v>Non</x:v>
      </x:c>
      <x:c r="K1878" s="115" t="str">
        <x:v>Pièces décrites, murs, portes, niveaux et mobilier inspectables à l’échelle. Volumes réservés, raccord au seed, butin, rencontres et services de campagne restent à terminer.</x:v>
      </x:c>
    </x:row>
    <x:row r="1879" ht="96" customHeight="1">
      <x:c r="A1879" s="115" t="str">
        <x:v>EXT-MONDE-T038-V24</x:v>
      </x:c>
      <x:c r="B1879" s="115" t="str">
        <x:v>EXT-MONDE-T038</x:v>
      </x:c>
      <x:c r="C1879" s="115" t="str">
        <x:v>Égouts</x:v>
      </x:c>
      <x:c r="D1879" s="115" t="str">
        <x:v>Réseau unitaire ancien</x:v>
      </x:c>
      <x:c r="E1879" s="115" t="n">
        <x:v>24</x:v>
      </x:c>
      <x:c r="F1879" s="115" t="str">
        <x:v>Inspection physique</x:v>
      </x:c>
      <x:c r="G1879" s="115" t="str">
        <x:v>3 niveaux ; 24 pièces ; 207 segments de mur ; 4 transitions. Inspection physique ; architecture complète encore ouverte.</x:v>
      </x:c>
      <x:c r="H1879" s="115" t="str">
        <x:v>L 206 ; l 226,1 ; hauteur 3 m ; choix de composition auteur ; dimensions réelles à documenter</x:v>
      </x:c>
      <x:c r="I1879" s="115" t="str">
        <x:v>À équilibrer</x:v>
      </x:c>
      <x:c r="J1879" s="115" t="str">
        <x:v>Non</x:v>
      </x:c>
      <x:c r="K1879" s="115" t="str">
        <x:v>Pièces décrites, murs, portes, niveaux et mobilier inspectables à l’échelle. Volumes réservés, raccord au seed, butin, rencontres et services de campagne restent à terminer.</x:v>
      </x:c>
    </x:row>
    <x:row r="1880" ht="96" customHeight="1">
      <x:c r="A1880" s="115" t="str">
        <x:v>EXT-MONDE-T038-V25</x:v>
      </x:c>
      <x:c r="B1880" s="115" t="str">
        <x:v>EXT-MONDE-T038</x:v>
      </x:c>
      <x:c r="C1880" s="115" t="str">
        <x:v>Égouts</x:v>
      </x:c>
      <x:c r="D1880" s="115" t="str">
        <x:v>Réseau unitaire ancien</x:v>
      </x:c>
      <x:c r="E1880" s="115" t="n">
        <x:v>25</x:v>
      </x:c>
      <x:c r="F1880" s="115" t="str">
        <x:v>Inspection physique</x:v>
      </x:c>
      <x:c r="G1880" s="115" t="str">
        <x:v>3 niveaux ; 24 pièces ; 207 segments de mur ; 4 transitions. Inspection physique ; architecture complète encore ouverte.</x:v>
      </x:c>
      <x:c r="H1880" s="115" t="str">
        <x:v>L 208 ; l 226,8 ; hauteur 3 m ; choix de composition auteur ; dimensions réelles à documenter</x:v>
      </x:c>
      <x:c r="I1880" s="115" t="str">
        <x:v>À équilibrer</x:v>
      </x:c>
      <x:c r="J1880" s="115" t="str">
        <x:v>Non</x:v>
      </x:c>
      <x:c r="K1880" s="115" t="str">
        <x:v>Pièces décrites, murs, portes, niveaux et mobilier inspectables à l’échelle. Volumes réservés, raccord au seed, butin, rencontres et services de campagne restent à terminer.</x:v>
      </x:c>
    </x:row>
    <x:row r="1881" ht="96" customHeight="1">
      <x:c r="A1881" s="115" t="str">
        <x:v>EXT-MONDE-T038-V26</x:v>
      </x:c>
      <x:c r="B1881" s="115" t="str">
        <x:v>EXT-MONDE-T038</x:v>
      </x:c>
      <x:c r="C1881" s="115" t="str">
        <x:v>Égouts</x:v>
      </x:c>
      <x:c r="D1881" s="115" t="str">
        <x:v>Réseau unitaire ancien</x:v>
      </x:c>
      <x:c r="E1881" s="115" t="n">
        <x:v>26</x:v>
      </x:c>
      <x:c r="F1881" s="115" t="str">
        <x:v>Inspection physique</x:v>
      </x:c>
      <x:c r="G1881" s="115" t="str">
        <x:v>3 niveaux ; 24 pièces ; 207 segments de mur ; 4 transitions. Inspection physique ; architecture complète encore ouverte.</x:v>
      </x:c>
      <x:c r="H1881" s="115" t="str">
        <x:v>L 210 ; l 227,5 ; hauteur 3 m ; choix de composition auteur ; dimensions réelles à documenter</x:v>
      </x:c>
      <x:c r="I1881" s="115" t="str">
        <x:v>À équilibrer</x:v>
      </x:c>
      <x:c r="J1881" s="115" t="str">
        <x:v>Non</x:v>
      </x:c>
      <x:c r="K1881" s="115" t="str">
        <x:v>Pièces décrites, murs, portes, niveaux et mobilier inspectables à l’échelle. Volumes réservés, raccord au seed, butin, rencontres et services de campagne restent à terminer.</x:v>
      </x:c>
    </x:row>
    <x:row r="1882" ht="96" customHeight="1">
      <x:c r="A1882" s="115" t="str">
        <x:v>EXT-MONDE-T038-V27</x:v>
      </x:c>
      <x:c r="B1882" s="115" t="str">
        <x:v>EXT-MONDE-T038</x:v>
      </x:c>
      <x:c r="C1882" s="115" t="str">
        <x:v>Égouts</x:v>
      </x:c>
      <x:c r="D1882" s="115" t="str">
        <x:v>Réseau unitaire ancien</x:v>
      </x:c>
      <x:c r="E1882" s="115" t="n">
        <x:v>27</x:v>
      </x:c>
      <x:c r="F1882" s="115" t="str">
        <x:v>Inspection physique</x:v>
      </x:c>
      <x:c r="G1882" s="115" t="str">
        <x:v>3 niveaux ; 24 pièces ; 207 segments de mur ; 4 transitions. Inspection physique ; architecture complète encore ouverte.</x:v>
      </x:c>
      <x:c r="H1882" s="115" t="str">
        <x:v>L 212 ; l 228,2 ; hauteur 3 m ; choix de composition auteur ; dimensions réelles à documenter</x:v>
      </x:c>
      <x:c r="I1882" s="115" t="str">
        <x:v>À équilibrer</x:v>
      </x:c>
      <x:c r="J1882" s="115" t="str">
        <x:v>Non</x:v>
      </x:c>
      <x:c r="K1882" s="115" t="str">
        <x:v>Pièces décrites, murs, portes, niveaux et mobilier inspectables à l’échelle. Volumes réservés, raccord au seed, butin, rencontres et services de campagne restent à terminer.</x:v>
      </x:c>
    </x:row>
    <x:row r="1883" ht="96" customHeight="1">
      <x:c r="A1883" s="115" t="str">
        <x:v>EXT-MONDE-T038-V28</x:v>
      </x:c>
      <x:c r="B1883" s="115" t="str">
        <x:v>EXT-MONDE-T038</x:v>
      </x:c>
      <x:c r="C1883" s="115" t="str">
        <x:v>Égouts</x:v>
      </x:c>
      <x:c r="D1883" s="115" t="str">
        <x:v>Réseau unitaire ancien</x:v>
      </x:c>
      <x:c r="E1883" s="115" t="n">
        <x:v>28</x:v>
      </x:c>
      <x:c r="F1883" s="115" t="str">
        <x:v>Inspection physique</x:v>
      </x:c>
      <x:c r="G1883" s="115" t="str">
        <x:v>3 niveaux ; 24 pièces ; 207 segments de mur ; 4 transitions. Inspection physique ; architecture complète encore ouverte.</x:v>
      </x:c>
      <x:c r="H1883" s="115" t="str">
        <x:v>L 214 ; l 228,9 ; hauteur 3 m ; choix de composition auteur ; dimensions réelles à documenter</x:v>
      </x:c>
      <x:c r="I1883" s="115" t="str">
        <x:v>À équilibrer</x:v>
      </x:c>
      <x:c r="J1883" s="115" t="str">
        <x:v>Non</x:v>
      </x:c>
      <x:c r="K1883" s="115" t="str">
        <x:v>Pièces décrites, murs, portes, niveaux et mobilier inspectables à l’échelle. Volumes réservés, raccord au seed, butin, rencontres et services de campagne restent à terminer.</x:v>
      </x:c>
    </x:row>
    <x:row r="1884" ht="96" customHeight="1">
      <x:c r="A1884" s="115" t="str">
        <x:v>EXT-MONDE-T038-V29</x:v>
      </x:c>
      <x:c r="B1884" s="115" t="str">
        <x:v>EXT-MONDE-T038</x:v>
      </x:c>
      <x:c r="C1884" s="115" t="str">
        <x:v>Égouts</x:v>
      </x:c>
      <x:c r="D1884" s="115" t="str">
        <x:v>Réseau unitaire ancien</x:v>
      </x:c>
      <x:c r="E1884" s="115" t="n">
        <x:v>29</x:v>
      </x:c>
      <x:c r="F1884" s="115" t="str">
        <x:v>Inspection physique</x:v>
      </x:c>
      <x:c r="G1884" s="115" t="str">
        <x:v>3 niveaux ; 24 pièces ; 207 segments de mur ; 4 transitions. Inspection physique ; architecture complète encore ouverte.</x:v>
      </x:c>
      <x:c r="H1884" s="115" t="str">
        <x:v>L 216 ; l 229,6 ; hauteur 3 m ; choix de composition auteur ; dimensions réelles à documenter</x:v>
      </x:c>
      <x:c r="I1884" s="115" t="str">
        <x:v>À équilibrer</x:v>
      </x:c>
      <x:c r="J1884" s="115" t="str">
        <x:v>Non</x:v>
      </x:c>
      <x:c r="K1884" s="115" t="str">
        <x:v>Pièces décrites, murs, portes, niveaux et mobilier inspectables à l’échelle. Volumes réservés, raccord au seed, butin, rencontres et services de campagne restent à terminer.</x:v>
      </x:c>
    </x:row>
    <x:row r="1885" ht="96" customHeight="1">
      <x:c r="A1885" s="115" t="str">
        <x:v>EXT-MONDE-T038-V30</x:v>
      </x:c>
      <x:c r="B1885" s="115" t="str">
        <x:v>EXT-MONDE-T038</x:v>
      </x:c>
      <x:c r="C1885" s="115" t="str">
        <x:v>Égouts</x:v>
      </x:c>
      <x:c r="D1885" s="115" t="str">
        <x:v>Réseau unitaire ancien</x:v>
      </x:c>
      <x:c r="E1885" s="115" t="n">
        <x:v>30</x:v>
      </x:c>
      <x:c r="F1885" s="115" t="str">
        <x:v>Inspection physique</x:v>
      </x:c>
      <x:c r="G1885" s="115" t="str">
        <x:v>3 niveaux ; 24 pièces ; 207 segments de mur ; 4 transitions. Inspection physique ; architecture complète encore ouverte.</x:v>
      </x:c>
      <x:c r="H1885" s="115" t="str">
        <x:v>L 218 ; l 230,3 ; hauteur 3 m ; choix de composition auteur ; dimensions réelles à documenter</x:v>
      </x:c>
      <x:c r="I1885" s="115" t="str">
        <x:v>À équilibrer</x:v>
      </x:c>
      <x:c r="J1885" s="115" t="str">
        <x:v>Non</x:v>
      </x:c>
      <x:c r="K1885" s="115" t="str">
        <x:v>Pièces décrites, murs, portes, niveaux et mobilier inspectables à l’échelle. Volumes réservés, raccord au seed, butin, rencontres et services de campagne restent à terminer.</x:v>
      </x:c>
    </x:row>
    <x:row r="1886" ht="96" customHeight="1">
      <x:c r="A1886" s="115" t="str">
        <x:v>EXT-MONDE-T038-V31</x:v>
      </x:c>
      <x:c r="B1886" s="115" t="str">
        <x:v>EXT-MONDE-T038</x:v>
      </x:c>
      <x:c r="C1886" s="115" t="str">
        <x:v>Égouts</x:v>
      </x:c>
      <x:c r="D1886" s="115" t="str">
        <x:v>Réseau unitaire ancien</x:v>
      </x:c>
      <x:c r="E1886" s="115" t="n">
        <x:v>31</x:v>
      </x:c>
      <x:c r="F1886" s="115" t="str">
        <x:v>Inspection physique</x:v>
      </x:c>
      <x:c r="G1886" s="115" t="str">
        <x:v>3 niveaux ; 24 pièces ; 207 segments de mur ; 4 transitions. Inspection physique ; architecture complète encore ouverte.</x:v>
      </x:c>
      <x:c r="H1886" s="115" t="str">
        <x:v>L 210 ; l 236 ; hauteur 3 m ; choix de composition auteur ; dimensions réelles à documenter</x:v>
      </x:c>
      <x:c r="I1886" s="115" t="str">
        <x:v>À équilibrer</x:v>
      </x:c>
      <x:c r="J1886" s="115" t="str">
        <x:v>Non</x:v>
      </x:c>
      <x:c r="K1886" s="115" t="str">
        <x:v>Pièces décrites, murs, portes, niveaux et mobilier inspectables à l’échelle. Volumes réservés, raccord au seed, butin, rencontres et services de campagne restent à terminer.</x:v>
      </x:c>
    </x:row>
    <x:row r="1887" ht="96" customHeight="1">
      <x:c r="A1887" s="115" t="str">
        <x:v>EXT-MONDE-T038-V32</x:v>
      </x:c>
      <x:c r="B1887" s="115" t="str">
        <x:v>EXT-MONDE-T038</x:v>
      </x:c>
      <x:c r="C1887" s="115" t="str">
        <x:v>Égouts</x:v>
      </x:c>
      <x:c r="D1887" s="115" t="str">
        <x:v>Réseau unitaire ancien</x:v>
      </x:c>
      <x:c r="E1887" s="115" t="n">
        <x:v>32</x:v>
      </x:c>
      <x:c r="F1887" s="115" t="str">
        <x:v>Inspection physique</x:v>
      </x:c>
      <x:c r="G1887" s="115" t="str">
        <x:v>3 niveaux ; 24 pièces ; 207 segments de mur ; 4 transitions. Inspection physique ; architecture complète encore ouverte.</x:v>
      </x:c>
      <x:c r="H1887" s="115" t="str">
        <x:v>L 212 ; l 236,7 ; hauteur 3 m ; choix de composition auteur ; dimensions réelles à documenter</x:v>
      </x:c>
      <x:c r="I1887" s="115" t="str">
        <x:v>À équilibrer</x:v>
      </x:c>
      <x:c r="J1887" s="115" t="str">
        <x:v>Non</x:v>
      </x:c>
      <x:c r="K1887" s="115" t="str">
        <x:v>Pièces décrites, murs, portes, niveaux et mobilier inspectables à l’échelle. Volumes réservés, raccord au seed, butin, rencontres et services de campagne restent à terminer.</x:v>
      </x:c>
    </x:row>
    <x:row r="1888" ht="96" customHeight="1">
      <x:c r="A1888" s="115" t="str">
        <x:v>EXT-MONDE-T038-V33</x:v>
      </x:c>
      <x:c r="B1888" s="115" t="str">
        <x:v>EXT-MONDE-T038</x:v>
      </x:c>
      <x:c r="C1888" s="115" t="str">
        <x:v>Égouts</x:v>
      </x:c>
      <x:c r="D1888" s="115" t="str">
        <x:v>Réseau unitaire ancien</x:v>
      </x:c>
      <x:c r="E1888" s="115" t="n">
        <x:v>33</x:v>
      </x:c>
      <x:c r="F1888" s="115" t="str">
        <x:v>Inspection physique</x:v>
      </x:c>
      <x:c r="G1888" s="115" t="str">
        <x:v>3 niveaux ; 24 pièces ; 207 segments de mur ; 4 transitions. Inspection physique ; architecture complète encore ouverte.</x:v>
      </x:c>
      <x:c r="H1888" s="115" t="str">
        <x:v>L 214 ; l 237,4 ; hauteur 3 m ; choix de composition auteur ; dimensions réelles à documenter</x:v>
      </x:c>
      <x:c r="I1888" s="115" t="str">
        <x:v>À équilibrer</x:v>
      </x:c>
      <x:c r="J1888" s="115" t="str">
        <x:v>Non</x:v>
      </x:c>
      <x:c r="K1888" s="115" t="str">
        <x:v>Pièces décrites, murs, portes, niveaux et mobilier inspectables à l’échelle. Volumes réservés, raccord au seed, butin, rencontres et services de campagne restent à terminer.</x:v>
      </x:c>
    </x:row>
    <x:row r="1889" ht="96" customHeight="1">
      <x:c r="A1889" s="115" t="str">
        <x:v>EXT-MONDE-T038-V34</x:v>
      </x:c>
      <x:c r="B1889" s="115" t="str">
        <x:v>EXT-MONDE-T038</x:v>
      </x:c>
      <x:c r="C1889" s="115" t="str">
        <x:v>Égouts</x:v>
      </x:c>
      <x:c r="D1889" s="115" t="str">
        <x:v>Réseau unitaire ancien</x:v>
      </x:c>
      <x:c r="E1889" s="115" t="n">
        <x:v>34</x:v>
      </x:c>
      <x:c r="F1889" s="115" t="str">
        <x:v>Inspection physique</x:v>
      </x:c>
      <x:c r="G1889" s="115" t="str">
        <x:v>3 niveaux ; 24 pièces ; 207 segments de mur ; 4 transitions. Inspection physique ; architecture complète encore ouverte.</x:v>
      </x:c>
      <x:c r="H1889" s="115" t="str">
        <x:v>L 216 ; l 238,1 ; hauteur 3 m ; choix de composition auteur ; dimensions réelles à documenter</x:v>
      </x:c>
      <x:c r="I1889" s="115" t="str">
        <x:v>À équilibrer</x:v>
      </x:c>
      <x:c r="J1889" s="115" t="str">
        <x:v>Non</x:v>
      </x:c>
      <x:c r="K1889" s="115" t="str">
        <x:v>Pièces décrites, murs, portes, niveaux et mobilier inspectables à l’échelle. Volumes réservés, raccord au seed, butin, rencontres et services de campagne restent à terminer.</x:v>
      </x:c>
    </x:row>
    <x:row r="1890" ht="96" customHeight="1">
      <x:c r="A1890" s="115" t="str">
        <x:v>EXT-MONDE-T038-V35</x:v>
      </x:c>
      <x:c r="B1890" s="115" t="str">
        <x:v>EXT-MONDE-T038</x:v>
      </x:c>
      <x:c r="C1890" s="115" t="str">
        <x:v>Égouts</x:v>
      </x:c>
      <x:c r="D1890" s="115" t="str">
        <x:v>Réseau unitaire ancien</x:v>
      </x:c>
      <x:c r="E1890" s="115" t="n">
        <x:v>35</x:v>
      </x:c>
      <x:c r="F1890" s="115" t="str">
        <x:v>Inspection physique</x:v>
      </x:c>
      <x:c r="G1890" s="115" t="str">
        <x:v>3 niveaux ; 24 pièces ; 207 segments de mur ; 4 transitions. Inspection physique ; architecture complète encore ouverte.</x:v>
      </x:c>
      <x:c r="H1890" s="115" t="str">
        <x:v>L 218 ; l 238,8 ; hauteur 3 m ; choix de composition auteur ; dimensions réelles à documenter</x:v>
      </x:c>
      <x:c r="I1890" s="115" t="str">
        <x:v>À équilibrer</x:v>
      </x:c>
      <x:c r="J1890" s="115" t="str">
        <x:v>Non</x:v>
      </x:c>
      <x:c r="K1890" s="115" t="str">
        <x:v>Pièces décrites, murs, portes, niveaux et mobilier inspectables à l’échelle. Volumes réservés, raccord au seed, butin, rencontres et services de campagne restent à terminer.</x:v>
      </x:c>
    </x:row>
    <x:row r="1891" ht="96" customHeight="1">
      <x:c r="A1891" s="115" t="str">
        <x:v>EXT-MONDE-T038-V36</x:v>
      </x:c>
      <x:c r="B1891" s="115" t="str">
        <x:v>EXT-MONDE-T038</x:v>
      </x:c>
      <x:c r="C1891" s="115" t="str">
        <x:v>Égouts</x:v>
      </x:c>
      <x:c r="D1891" s="115" t="str">
        <x:v>Réseau unitaire ancien</x:v>
      </x:c>
      <x:c r="E1891" s="115" t="n">
        <x:v>36</x:v>
      </x:c>
      <x:c r="F1891" s="115" t="str">
        <x:v>Inspection physique</x:v>
      </x:c>
      <x:c r="G1891" s="115" t="str">
        <x:v>3 niveaux ; 24 pièces ; 207 segments de mur ; 4 transitions. Inspection physique ; architecture complète encore ouverte.</x:v>
      </x:c>
      <x:c r="H1891" s="115" t="str">
        <x:v>L 220 ; l 239,5 ; hauteur 3 m ; choix de composition auteur ; dimensions réelles à documenter</x:v>
      </x:c>
      <x:c r="I1891" s="115" t="str">
        <x:v>À équilibrer</x:v>
      </x:c>
      <x:c r="J1891" s="115" t="str">
        <x:v>Non</x:v>
      </x:c>
      <x:c r="K1891" s="115" t="str">
        <x:v>Pièces décrites, murs, portes, niveaux et mobilier inspectables à l’échelle. Volumes réservés, raccord au seed, butin, rencontres et services de campagne restent à terminer.</x:v>
      </x:c>
    </x:row>
    <x:row r="1892" ht="96" customHeight="1">
      <x:c r="A1892" s="115" t="str">
        <x:v>EXT-MONDE-T038-V37</x:v>
      </x:c>
      <x:c r="B1892" s="115" t="str">
        <x:v>EXT-MONDE-T038</x:v>
      </x:c>
      <x:c r="C1892" s="115" t="str">
        <x:v>Égouts</x:v>
      </x:c>
      <x:c r="D1892" s="115" t="str">
        <x:v>Réseau unitaire ancien</x:v>
      </x:c>
      <x:c r="E1892" s="115" t="n">
        <x:v>37</x:v>
      </x:c>
      <x:c r="F1892" s="115" t="str">
        <x:v>Inspection physique</x:v>
      </x:c>
      <x:c r="G1892" s="115" t="str">
        <x:v>3 niveaux ; 24 pièces ; 207 segments de mur ; 4 transitions. Inspection physique ; architecture complète encore ouverte.</x:v>
      </x:c>
      <x:c r="H1892" s="115" t="str">
        <x:v>L 222 ; l 240,2 ; hauteur 3 m ; choix de composition auteur ; dimensions réelles à documenter</x:v>
      </x:c>
      <x:c r="I1892" s="115" t="str">
        <x:v>À équilibrer</x:v>
      </x:c>
      <x:c r="J1892" s="115" t="str">
        <x:v>Non</x:v>
      </x:c>
      <x:c r="K1892" s="115" t="str">
        <x:v>Pièces décrites, murs, portes, niveaux et mobilier inspectables à l’échelle. Volumes réservés, raccord au seed, butin, rencontres et services de campagne restent à terminer.</x:v>
      </x:c>
    </x:row>
    <x:row r="1893" ht="96" customHeight="1">
      <x:c r="A1893" s="115" t="str">
        <x:v>EXT-MONDE-T038-V38</x:v>
      </x:c>
      <x:c r="B1893" s="115" t="str">
        <x:v>EXT-MONDE-T038</x:v>
      </x:c>
      <x:c r="C1893" s="115" t="str">
        <x:v>Égouts</x:v>
      </x:c>
      <x:c r="D1893" s="115" t="str">
        <x:v>Réseau unitaire ancien</x:v>
      </x:c>
      <x:c r="E1893" s="115" t="n">
        <x:v>38</x:v>
      </x:c>
      <x:c r="F1893" s="115" t="str">
        <x:v>Inspection physique</x:v>
      </x:c>
      <x:c r="G1893" s="115" t="str">
        <x:v>3 niveaux ; 24 pièces ; 207 segments de mur ; 4 transitions. Inspection physique ; architecture complète encore ouverte.</x:v>
      </x:c>
      <x:c r="H1893" s="115" t="str">
        <x:v>L 224 ; l 240,9 ; hauteur 3 m ; choix de composition auteur ; dimensions réelles à documenter</x:v>
      </x:c>
      <x:c r="I1893" s="115" t="str">
        <x:v>À équilibrer</x:v>
      </x:c>
      <x:c r="J1893" s="115" t="str">
        <x:v>Non</x:v>
      </x:c>
      <x:c r="K1893" s="115" t="str">
        <x:v>Pièces décrites, murs, portes, niveaux et mobilier inspectables à l’échelle. Volumes réservés, raccord au seed, butin, rencontres et services de campagne restent à terminer.</x:v>
      </x:c>
    </x:row>
    <x:row r="1894" ht="96" customHeight="1">
      <x:c r="A1894" s="115" t="str">
        <x:v>EXT-MONDE-T038-V39</x:v>
      </x:c>
      <x:c r="B1894" s="115" t="str">
        <x:v>EXT-MONDE-T038</x:v>
      </x:c>
      <x:c r="C1894" s="115" t="str">
        <x:v>Égouts</x:v>
      </x:c>
      <x:c r="D1894" s="115" t="str">
        <x:v>Réseau unitaire ancien</x:v>
      </x:c>
      <x:c r="E1894" s="115" t="n">
        <x:v>39</x:v>
      </x:c>
      <x:c r="F1894" s="115" t="str">
        <x:v>Inspection physique</x:v>
      </x:c>
      <x:c r="G1894" s="115" t="str">
        <x:v>3 niveaux ; 24 pièces ; 207 segments de mur ; 4 transitions. Inspection physique ; architecture complète encore ouverte.</x:v>
      </x:c>
      <x:c r="H1894" s="115" t="str">
        <x:v>L 226 ; l 241,6 ; hauteur 3 m ; choix de composition auteur ; dimensions réelles à documenter</x:v>
      </x:c>
      <x:c r="I1894" s="115" t="str">
        <x:v>À équilibrer</x:v>
      </x:c>
      <x:c r="J1894" s="115" t="str">
        <x:v>Non</x:v>
      </x:c>
      <x:c r="K1894" s="115" t="str">
        <x:v>Pièces décrites, murs, portes, niveaux et mobilier inspectables à l’échelle. Volumes réservés, raccord au seed, butin, rencontres et services de campagne restent à terminer.</x:v>
      </x:c>
    </x:row>
    <x:row r="1895" ht="96" customHeight="1">
      <x:c r="A1895" s="115" t="str">
        <x:v>EXT-MONDE-T038-V40</x:v>
      </x:c>
      <x:c r="B1895" s="115" t="str">
        <x:v>EXT-MONDE-T038</x:v>
      </x:c>
      <x:c r="C1895" s="115" t="str">
        <x:v>Égouts</x:v>
      </x:c>
      <x:c r="D1895" s="115" t="str">
        <x:v>Réseau unitaire ancien</x:v>
      </x:c>
      <x:c r="E1895" s="115" t="n">
        <x:v>40</x:v>
      </x:c>
      <x:c r="F1895" s="115" t="str">
        <x:v>Inspection physique</x:v>
      </x:c>
      <x:c r="G1895" s="115" t="str">
        <x:v>3 niveaux ; 24 pièces ; 207 segments de mur ; 4 transitions. Inspection physique ; architecture complète encore ouverte.</x:v>
      </x:c>
      <x:c r="H1895" s="115" t="str">
        <x:v>L 228 ; l 242,3 ; hauteur 3 m ; choix de composition auteur ; dimensions réelles à documenter</x:v>
      </x:c>
      <x:c r="I1895" s="115" t="str">
        <x:v>À équilibrer</x:v>
      </x:c>
      <x:c r="J1895" s="115" t="str">
        <x:v>Non</x:v>
      </x:c>
      <x:c r="K1895" s="115" t="str">
        <x:v>Pièces décrites, murs, portes, niveaux et mobilier inspectables à l’échelle. Volumes réservés, raccord au seed, butin, rencontres et services de campagne restent à terminer.</x:v>
      </x:c>
    </x:row>
    <x:row r="1896" ht="96" customHeight="1">
      <x:c r="A1896" s="115" t="str">
        <x:v>EXT-MONDE-T038-V41</x:v>
      </x:c>
      <x:c r="B1896" s="115" t="str">
        <x:v>EXT-MONDE-T038</x:v>
      </x:c>
      <x:c r="C1896" s="115" t="str">
        <x:v>Égouts</x:v>
      </x:c>
      <x:c r="D1896" s="115" t="str">
        <x:v>Réseau unitaire ancien</x:v>
      </x:c>
      <x:c r="E1896" s="115" t="n">
        <x:v>41</x:v>
      </x:c>
      <x:c r="F1896" s="115" t="str">
        <x:v>Inspection physique</x:v>
      </x:c>
      <x:c r="G1896" s="115" t="str">
        <x:v>3 niveaux ; 24 pièces ; 207 segments de mur ; 4 transitions. Inspection physique ; architecture complète encore ouverte.</x:v>
      </x:c>
      <x:c r="H1896" s="115" t="str">
        <x:v>L 220 ; l 248 ; hauteur 3 m ; choix de composition auteur ; dimensions réelles à documenter</x:v>
      </x:c>
      <x:c r="I1896" s="115" t="str">
        <x:v>À équilibrer</x:v>
      </x:c>
      <x:c r="J1896" s="115" t="str">
        <x:v>Non</x:v>
      </x:c>
      <x:c r="K1896" s="115" t="str">
        <x:v>Pièces décrites, murs, portes, niveaux et mobilier inspectables à l’échelle. Volumes réservés, raccord au seed, butin, rencontres et services de campagne restent à terminer.</x:v>
      </x:c>
    </x:row>
    <x:row r="1897" ht="96" customHeight="1">
      <x:c r="A1897" s="115" t="str">
        <x:v>EXT-MONDE-T038-V42</x:v>
      </x:c>
      <x:c r="B1897" s="115" t="str">
        <x:v>EXT-MONDE-T038</x:v>
      </x:c>
      <x:c r="C1897" s="115" t="str">
        <x:v>Égouts</x:v>
      </x:c>
      <x:c r="D1897" s="115" t="str">
        <x:v>Réseau unitaire ancien</x:v>
      </x:c>
      <x:c r="E1897" s="115" t="n">
        <x:v>42</x:v>
      </x:c>
      <x:c r="F1897" s="115" t="str">
        <x:v>Inspection physique</x:v>
      </x:c>
      <x:c r="G1897" s="115" t="str">
        <x:v>3 niveaux ; 24 pièces ; 207 segments de mur ; 4 transitions. Inspection physique ; architecture complète encore ouverte.</x:v>
      </x:c>
      <x:c r="H1897" s="115" t="str">
        <x:v>L 222 ; l 248,7 ; hauteur 3 m ; choix de composition auteur ; dimensions réelles à documenter</x:v>
      </x:c>
      <x:c r="I1897" s="115" t="str">
        <x:v>À équilibrer</x:v>
      </x:c>
      <x:c r="J1897" s="115" t="str">
        <x:v>Non</x:v>
      </x:c>
      <x:c r="K1897" s="115" t="str">
        <x:v>Pièces décrites, murs, portes, niveaux et mobilier inspectables à l’échelle. Volumes réservés, raccord au seed, butin, rencontres et services de campagne restent à terminer.</x:v>
      </x:c>
    </x:row>
    <x:row r="1898" ht="96" customHeight="1">
      <x:c r="A1898" s="115" t="str">
        <x:v>EXT-MONDE-T038-V43</x:v>
      </x:c>
      <x:c r="B1898" s="115" t="str">
        <x:v>EXT-MONDE-T038</x:v>
      </x:c>
      <x:c r="C1898" s="115" t="str">
        <x:v>Égouts</x:v>
      </x:c>
      <x:c r="D1898" s="115" t="str">
        <x:v>Réseau unitaire ancien</x:v>
      </x:c>
      <x:c r="E1898" s="115" t="n">
        <x:v>43</x:v>
      </x:c>
      <x:c r="F1898" s="115" t="str">
        <x:v>Inspection physique</x:v>
      </x:c>
      <x:c r="G1898" s="115" t="str">
        <x:v>3 niveaux ; 24 pièces ; 207 segments de mur ; 4 transitions. Inspection physique ; architecture complète encore ouverte.</x:v>
      </x:c>
      <x:c r="H1898" s="115" t="str">
        <x:v>L 224 ; l 249,4 ; hauteur 3 m ; choix de composition auteur ; dimensions réelles à documenter</x:v>
      </x:c>
      <x:c r="I1898" s="115" t="str">
        <x:v>À équilibrer</x:v>
      </x:c>
      <x:c r="J1898" s="115" t="str">
        <x:v>Non</x:v>
      </x:c>
      <x:c r="K1898" s="115" t="str">
        <x:v>Pièces décrites, murs, portes, niveaux et mobilier inspectables à l’échelle. Volumes réservés, raccord au seed, butin, rencontres et services de campagne restent à terminer.</x:v>
      </x:c>
    </x:row>
    <x:row r="1899" ht="96" customHeight="1">
      <x:c r="A1899" s="115" t="str">
        <x:v>EXT-MONDE-T038-V44</x:v>
      </x:c>
      <x:c r="B1899" s="115" t="str">
        <x:v>EXT-MONDE-T038</x:v>
      </x:c>
      <x:c r="C1899" s="115" t="str">
        <x:v>Égouts</x:v>
      </x:c>
      <x:c r="D1899" s="115" t="str">
        <x:v>Réseau unitaire ancien</x:v>
      </x:c>
      <x:c r="E1899" s="115" t="n">
        <x:v>44</x:v>
      </x:c>
      <x:c r="F1899" s="115" t="str">
        <x:v>Inspection physique</x:v>
      </x:c>
      <x:c r="G1899" s="115" t="str">
        <x:v>3 niveaux ; 24 pièces ; 207 segments de mur ; 4 transitions. Inspection physique ; architecture complète encore ouverte.</x:v>
      </x:c>
      <x:c r="H1899" s="115" t="str">
        <x:v>L 226 ; l 250,1 ; hauteur 3 m ; choix de composition auteur ; dimensions réelles à documenter</x:v>
      </x:c>
      <x:c r="I1899" s="115" t="str">
        <x:v>À équilibrer</x:v>
      </x:c>
      <x:c r="J1899" s="115" t="str">
        <x:v>Non</x:v>
      </x:c>
      <x:c r="K1899" s="115" t="str">
        <x:v>Pièces décrites, murs, portes, niveaux et mobilier inspectables à l’échelle. Volumes réservés, raccord au seed, butin, rencontres et services de campagne restent à terminer.</x:v>
      </x:c>
    </x:row>
    <x:row r="1900" ht="96" customHeight="1">
      <x:c r="A1900" s="115" t="str">
        <x:v>EXT-MONDE-T038-V45</x:v>
      </x:c>
      <x:c r="B1900" s="115" t="str">
        <x:v>EXT-MONDE-T038</x:v>
      </x:c>
      <x:c r="C1900" s="115" t="str">
        <x:v>Égouts</x:v>
      </x:c>
      <x:c r="D1900" s="115" t="str">
        <x:v>Réseau unitaire ancien</x:v>
      </x:c>
      <x:c r="E1900" s="115" t="n">
        <x:v>45</x:v>
      </x:c>
      <x:c r="F1900" s="115" t="str">
        <x:v>Inspection physique</x:v>
      </x:c>
      <x:c r="G1900" s="115" t="str">
        <x:v>3 niveaux ; 24 pièces ; 207 segments de mur ; 4 transitions. Inspection physique ; architecture complète encore ouverte.</x:v>
      </x:c>
      <x:c r="H1900" s="115" t="str">
        <x:v>L 228 ; l 250,8 ; hauteur 3 m ; choix de composition auteur ; dimensions réelles à documenter</x:v>
      </x:c>
      <x:c r="I1900" s="115" t="str">
        <x:v>À équilibrer</x:v>
      </x:c>
      <x:c r="J1900" s="115" t="str">
        <x:v>Non</x:v>
      </x:c>
      <x:c r="K1900" s="115" t="str">
        <x:v>Pièces décrites, murs, portes, niveaux et mobilier inspectables à l’échelle. Volumes réservés, raccord au seed, butin, rencontres et services de campagne restent à terminer.</x:v>
      </x:c>
    </x:row>
    <x:row r="1901" ht="96" customHeight="1">
      <x:c r="A1901" s="115" t="str">
        <x:v>EXT-MONDE-T038-V46</x:v>
      </x:c>
      <x:c r="B1901" s="115" t="str">
        <x:v>EXT-MONDE-T038</x:v>
      </x:c>
      <x:c r="C1901" s="115" t="str">
        <x:v>Égouts</x:v>
      </x:c>
      <x:c r="D1901" s="115" t="str">
        <x:v>Réseau unitaire ancien</x:v>
      </x:c>
      <x:c r="E1901" s="115" t="n">
        <x:v>46</x:v>
      </x:c>
      <x:c r="F1901" s="115" t="str">
        <x:v>Inspection physique</x:v>
      </x:c>
      <x:c r="G1901" s="115" t="str">
        <x:v>3 niveaux ; 24 pièces ; 207 segments de mur ; 4 transitions. Inspection physique ; architecture complète encore ouverte.</x:v>
      </x:c>
      <x:c r="H1901" s="115" t="str">
        <x:v>L 230 ; l 251,5 ; hauteur 3 m ; choix de composition auteur ; dimensions réelles à documenter</x:v>
      </x:c>
      <x:c r="I1901" s="115" t="str">
        <x:v>À équilibrer</x:v>
      </x:c>
      <x:c r="J1901" s="115" t="str">
        <x:v>Non</x:v>
      </x:c>
      <x:c r="K1901" s="115" t="str">
        <x:v>Pièces décrites, murs, portes, niveaux et mobilier inspectables à l’échelle. Volumes réservés, raccord au seed, butin, rencontres et services de campagne restent à terminer.</x:v>
      </x:c>
    </x:row>
    <x:row r="1902" ht="96" customHeight="1">
      <x:c r="A1902" s="115" t="str">
        <x:v>EXT-MONDE-T038-V47</x:v>
      </x:c>
      <x:c r="B1902" s="115" t="str">
        <x:v>EXT-MONDE-T038</x:v>
      </x:c>
      <x:c r="C1902" s="115" t="str">
        <x:v>Égouts</x:v>
      </x:c>
      <x:c r="D1902" s="115" t="str">
        <x:v>Réseau unitaire ancien</x:v>
      </x:c>
      <x:c r="E1902" s="115" t="n">
        <x:v>47</x:v>
      </x:c>
      <x:c r="F1902" s="115" t="str">
        <x:v>Inspection physique</x:v>
      </x:c>
      <x:c r="G1902" s="115" t="str">
        <x:v>3 niveaux ; 24 pièces ; 207 segments de mur ; 4 transitions. Inspection physique ; architecture complète encore ouverte.</x:v>
      </x:c>
      <x:c r="H1902" s="115" t="str">
        <x:v>L 232 ; l 252,2 ; hauteur 3 m ; choix de composition auteur ; dimensions réelles à documenter</x:v>
      </x:c>
      <x:c r="I1902" s="115" t="str">
        <x:v>À équilibrer</x:v>
      </x:c>
      <x:c r="J1902" s="115" t="str">
        <x:v>Non</x:v>
      </x:c>
      <x:c r="K1902" s="115" t="str">
        <x:v>Pièces décrites, murs, portes, niveaux et mobilier inspectables à l’échelle. Volumes réservés, raccord au seed, butin, rencontres et services de campagne restent à terminer.</x:v>
      </x:c>
    </x:row>
    <x:row r="1903" ht="96" customHeight="1">
      <x:c r="A1903" s="115" t="str">
        <x:v>EXT-MONDE-T038-V48</x:v>
      </x:c>
      <x:c r="B1903" s="115" t="str">
        <x:v>EXT-MONDE-T038</x:v>
      </x:c>
      <x:c r="C1903" s="115" t="str">
        <x:v>Égouts</x:v>
      </x:c>
      <x:c r="D1903" s="115" t="str">
        <x:v>Réseau unitaire ancien</x:v>
      </x:c>
      <x:c r="E1903" s="115" t="n">
        <x:v>48</x:v>
      </x:c>
      <x:c r="F1903" s="115" t="str">
        <x:v>Inspection physique</x:v>
      </x:c>
      <x:c r="G1903" s="115" t="str">
        <x:v>3 niveaux ; 24 pièces ; 207 segments de mur ; 4 transitions. Inspection physique ; architecture complète encore ouverte.</x:v>
      </x:c>
      <x:c r="H1903" s="115" t="str">
        <x:v>L 234 ; l 252,9 ; hauteur 3 m ; choix de composition auteur ; dimensions réelles à documenter</x:v>
      </x:c>
      <x:c r="I1903" s="115" t="str">
        <x:v>À équilibrer</x:v>
      </x:c>
      <x:c r="J1903" s="115" t="str">
        <x:v>Non</x:v>
      </x:c>
      <x:c r="K1903" s="115" t="str">
        <x:v>Pièces décrites, murs, portes, niveaux et mobilier inspectables à l’échelle. Volumes réservés, raccord au seed, butin, rencontres et services de campagne restent à terminer.</x:v>
      </x:c>
    </x:row>
    <x:row r="1904" ht="96" customHeight="1">
      <x:c r="A1904" s="115" t="str">
        <x:v>EXT-MONDE-T038-V49</x:v>
      </x:c>
      <x:c r="B1904" s="115" t="str">
        <x:v>EXT-MONDE-T038</x:v>
      </x:c>
      <x:c r="C1904" s="115" t="str">
        <x:v>Égouts</x:v>
      </x:c>
      <x:c r="D1904" s="115" t="str">
        <x:v>Réseau unitaire ancien</x:v>
      </x:c>
      <x:c r="E1904" s="115" t="n">
        <x:v>49</x:v>
      </x:c>
      <x:c r="F1904" s="115" t="str">
        <x:v>Inspection physique</x:v>
      </x:c>
      <x:c r="G1904" s="115" t="str">
        <x:v>3 niveaux ; 24 pièces ; 207 segments de mur ; 4 transitions. Inspection physique ; architecture complète encore ouverte.</x:v>
      </x:c>
      <x:c r="H1904" s="115" t="str">
        <x:v>L 236 ; l 253,6 ; hauteur 3 m ; choix de composition auteur ; dimensions réelles à documenter</x:v>
      </x:c>
      <x:c r="I1904" s="115" t="str">
        <x:v>À équilibrer</x:v>
      </x:c>
      <x:c r="J1904" s="115" t="str">
        <x:v>Non</x:v>
      </x:c>
      <x:c r="K1904" s="115" t="str">
        <x:v>Pièces décrites, murs, portes, niveaux et mobilier inspectables à l’échelle. Volumes réservés, raccord au seed, butin, rencontres et services de campagne restent à terminer.</x:v>
      </x:c>
    </x:row>
    <x:row r="1905" ht="96" customHeight="1">
      <x:c r="A1905" s="115" t="str">
        <x:v>EXT-MONDE-T038-V50</x:v>
      </x:c>
      <x:c r="B1905" s="115" t="str">
        <x:v>EXT-MONDE-T038</x:v>
      </x:c>
      <x:c r="C1905" s="115" t="str">
        <x:v>Égouts</x:v>
      </x:c>
      <x:c r="D1905" s="115" t="str">
        <x:v>Réseau unitaire ancien</x:v>
      </x:c>
      <x:c r="E1905" s="115" t="n">
        <x:v>50</x:v>
      </x:c>
      <x:c r="F1905" s="115" t="str">
        <x:v>Inspection physique</x:v>
      </x:c>
      <x:c r="G1905" s="115" t="str">
        <x:v>3 niveaux ; 24 pièces ; 207 segments de mur ; 4 transitions. Inspection physique ; architecture complète encore ouverte.</x:v>
      </x:c>
      <x:c r="H1905" s="115" t="str">
        <x:v>L 238 ; l 254,3 ; hauteur 3 m ; choix de composition auteur ; dimensions réelles à documenter</x:v>
      </x:c>
      <x:c r="I1905" s="115" t="str">
        <x:v>À équilibrer</x:v>
      </x:c>
      <x:c r="J1905" s="115" t="str">
        <x:v>Non</x:v>
      </x:c>
      <x:c r="K1905" s="115" t="str">
        <x:v>Pièces décrites, murs, portes, niveaux et mobilier inspectables à l’échelle. Volumes réservés, raccord au seed, butin, rencontres et services de campagne restent à terminer.</x:v>
      </x:c>
    </x:row>
    <x:row r="1906" ht="96" customHeight="1">
      <x:c r="A1906" s="115" t="str">
        <x:v>EXT-MONDE-T039-V01</x:v>
      </x:c>
      <x:c r="B1906" s="115" t="str">
        <x:v>EXT-MONDE-T039</x:v>
      </x:c>
      <x:c r="C1906" s="115" t="str">
        <x:v>Égouts</x:v>
      </x:c>
      <x:c r="D1906" s="115" t="str">
        <x:v>Galerie pluviale</x:v>
      </x:c>
      <x:c r="E1906" s="115" t="n">
        <x:v>1</x:v>
      </x:c>
      <x:c r="F1906" s="115" t="str">
        <x:v>Inspection physique</x:v>
      </x:c>
      <x:c r="G1906" s="115" t="str">
        <x:v>2 niveaux ; 12 pièces ; 114 segments de mur ; 2 transitions. Inspection physique ; architecture complète encore ouverte.</x:v>
      </x:c>
      <x:c r="H1906" s="115" t="str">
        <x:v>L 180 ; l 200 ; hauteur 3 m ; choix de composition auteur ; dimensions réelles à documenter</x:v>
      </x:c>
      <x:c r="I1906" s="115" t="str">
        <x:v>À équilibrer</x:v>
      </x:c>
      <x:c r="J1906" s="115" t="str">
        <x:v>Non</x:v>
      </x:c>
      <x:c r="K1906" s="115" t="str">
        <x:v>Pièces décrites, murs, portes, niveaux et mobilier inspectables à l’échelle. Volumes réservés, raccord au seed, butin, rencontres et services de campagne restent à terminer.</x:v>
      </x:c>
    </x:row>
    <x:row r="1907" ht="96" customHeight="1">
      <x:c r="A1907" s="115" t="str">
        <x:v>EXT-MONDE-T039-V02</x:v>
      </x:c>
      <x:c r="B1907" s="115" t="str">
        <x:v>EXT-MONDE-T039</x:v>
      </x:c>
      <x:c r="C1907" s="115" t="str">
        <x:v>Égouts</x:v>
      </x:c>
      <x:c r="D1907" s="115" t="str">
        <x:v>Galerie pluviale</x:v>
      </x:c>
      <x:c r="E1907" s="115" t="n">
        <x:v>2</x:v>
      </x:c>
      <x:c r="F1907" s="115" t="str">
        <x:v>Inspection physique</x:v>
      </x:c>
      <x:c r="G1907" s="115" t="str">
        <x:v>2 niveaux ; 12 pièces ; 114 segments de mur ; 2 transitions. Inspection physique ; architecture complète encore ouverte.</x:v>
      </x:c>
      <x:c r="H1907" s="115" t="str">
        <x:v>L 182 ; l 200,7 ; hauteur 3 m ; choix de composition auteur ; dimensions réelles à documenter</x:v>
      </x:c>
      <x:c r="I1907" s="115" t="str">
        <x:v>À équilibrer</x:v>
      </x:c>
      <x:c r="J1907" s="115" t="str">
        <x:v>Non</x:v>
      </x:c>
      <x:c r="K1907" s="115" t="str">
        <x:v>Pièces décrites, murs, portes, niveaux et mobilier inspectables à l’échelle. Volumes réservés, raccord au seed, butin, rencontres et services de campagne restent à terminer.</x:v>
      </x:c>
    </x:row>
    <x:row r="1908" ht="96" customHeight="1">
      <x:c r="A1908" s="115" t="str">
        <x:v>EXT-MONDE-T039-V03</x:v>
      </x:c>
      <x:c r="B1908" s="115" t="str">
        <x:v>EXT-MONDE-T039</x:v>
      </x:c>
      <x:c r="C1908" s="115" t="str">
        <x:v>Égouts</x:v>
      </x:c>
      <x:c r="D1908" s="115" t="str">
        <x:v>Galerie pluviale</x:v>
      </x:c>
      <x:c r="E1908" s="115" t="n">
        <x:v>3</x:v>
      </x:c>
      <x:c r="F1908" s="115" t="str">
        <x:v>Inspection physique</x:v>
      </x:c>
      <x:c r="G1908" s="115" t="str">
        <x:v>2 niveaux ; 12 pièces ; 114 segments de mur ; 2 transitions. Inspection physique ; architecture complète encore ouverte.</x:v>
      </x:c>
      <x:c r="H1908" s="115" t="str">
        <x:v>L 184 ; l 201,4 ; hauteur 3 m ; choix de composition auteur ; dimensions réelles à documenter</x:v>
      </x:c>
      <x:c r="I1908" s="115" t="str">
        <x:v>À équilibrer</x:v>
      </x:c>
      <x:c r="J1908" s="115" t="str">
        <x:v>Non</x:v>
      </x:c>
      <x:c r="K1908" s="115" t="str">
        <x:v>Pièces décrites, murs, portes, niveaux et mobilier inspectables à l’échelle. Volumes réservés, raccord au seed, butin, rencontres et services de campagne restent à terminer.</x:v>
      </x:c>
    </x:row>
    <x:row r="1909" ht="96" customHeight="1">
      <x:c r="A1909" s="115" t="str">
        <x:v>EXT-MONDE-T039-V04</x:v>
      </x:c>
      <x:c r="B1909" s="115" t="str">
        <x:v>EXT-MONDE-T039</x:v>
      </x:c>
      <x:c r="C1909" s="115" t="str">
        <x:v>Égouts</x:v>
      </x:c>
      <x:c r="D1909" s="115" t="str">
        <x:v>Galerie pluviale</x:v>
      </x:c>
      <x:c r="E1909" s="115" t="n">
        <x:v>4</x:v>
      </x:c>
      <x:c r="F1909" s="115" t="str">
        <x:v>Inspection physique</x:v>
      </x:c>
      <x:c r="G1909" s="115" t="str">
        <x:v>2 niveaux ; 12 pièces ; 114 segments de mur ; 2 transitions. Inspection physique ; architecture complète encore ouverte.</x:v>
      </x:c>
      <x:c r="H1909" s="115" t="str">
        <x:v>L 186 ; l 202,1 ; hauteur 3 m ; choix de composition auteur ; dimensions réelles à documenter</x:v>
      </x:c>
      <x:c r="I1909" s="115" t="str">
        <x:v>À équilibrer</x:v>
      </x:c>
      <x:c r="J1909" s="115" t="str">
        <x:v>Non</x:v>
      </x:c>
      <x:c r="K1909" s="115" t="str">
        <x:v>Pièces décrites, murs, portes, niveaux et mobilier inspectables à l’échelle. Volumes réservés, raccord au seed, butin, rencontres et services de campagne restent à terminer.</x:v>
      </x:c>
    </x:row>
    <x:row r="1910" ht="96" customHeight="1">
      <x:c r="A1910" s="115" t="str">
        <x:v>EXT-MONDE-T039-V05</x:v>
      </x:c>
      <x:c r="B1910" s="115" t="str">
        <x:v>EXT-MONDE-T039</x:v>
      </x:c>
      <x:c r="C1910" s="115" t="str">
        <x:v>Égouts</x:v>
      </x:c>
      <x:c r="D1910" s="115" t="str">
        <x:v>Galerie pluviale</x:v>
      </x:c>
      <x:c r="E1910" s="115" t="n">
        <x:v>5</x:v>
      </x:c>
      <x:c r="F1910" s="115" t="str">
        <x:v>Inspection physique</x:v>
      </x:c>
      <x:c r="G1910" s="115" t="str">
        <x:v>2 niveaux ; 12 pièces ; 114 segments de mur ; 2 transitions. Inspection physique ; architecture complète encore ouverte.</x:v>
      </x:c>
      <x:c r="H1910" s="115" t="str">
        <x:v>L 188 ; l 202,8 ; hauteur 3 m ; choix de composition auteur ; dimensions réelles à documenter</x:v>
      </x:c>
      <x:c r="I1910" s="115" t="str">
        <x:v>À équilibrer</x:v>
      </x:c>
      <x:c r="J1910" s="115" t="str">
        <x:v>Non</x:v>
      </x:c>
      <x:c r="K1910" s="115" t="str">
        <x:v>Pièces décrites, murs, portes, niveaux et mobilier inspectables à l’échelle. Volumes réservés, raccord au seed, butin, rencontres et services de campagne restent à terminer.</x:v>
      </x:c>
    </x:row>
    <x:row r="1911" ht="96" customHeight="1">
      <x:c r="A1911" s="115" t="str">
        <x:v>EXT-MONDE-T039-V06</x:v>
      </x:c>
      <x:c r="B1911" s="115" t="str">
        <x:v>EXT-MONDE-T039</x:v>
      </x:c>
      <x:c r="C1911" s="115" t="str">
        <x:v>Égouts</x:v>
      </x:c>
      <x:c r="D1911" s="115" t="str">
        <x:v>Galerie pluviale</x:v>
      </x:c>
      <x:c r="E1911" s="115" t="n">
        <x:v>6</x:v>
      </x:c>
      <x:c r="F1911" s="115" t="str">
        <x:v>Inspection physique</x:v>
      </x:c>
      <x:c r="G1911" s="115" t="str">
        <x:v>2 niveaux ; 12 pièces ; 114 segments de mur ; 2 transitions. Inspection physique ; architecture complète encore ouverte.</x:v>
      </x:c>
      <x:c r="H1911" s="115" t="str">
        <x:v>L 190 ; l 203,5 ; hauteur 3 m ; choix de composition auteur ; dimensions réelles à documenter</x:v>
      </x:c>
      <x:c r="I1911" s="115" t="str">
        <x:v>À équilibrer</x:v>
      </x:c>
      <x:c r="J1911" s="115" t="str">
        <x:v>Non</x:v>
      </x:c>
      <x:c r="K1911" s="115" t="str">
        <x:v>Pièces décrites, murs, portes, niveaux et mobilier inspectables à l’échelle. Volumes réservés, raccord au seed, butin, rencontres et services de campagne restent à terminer.</x:v>
      </x:c>
    </x:row>
    <x:row r="1912" ht="96" customHeight="1">
      <x:c r="A1912" s="115" t="str">
        <x:v>EXT-MONDE-T039-V07</x:v>
      </x:c>
      <x:c r="B1912" s="115" t="str">
        <x:v>EXT-MONDE-T039</x:v>
      </x:c>
      <x:c r="C1912" s="115" t="str">
        <x:v>Égouts</x:v>
      </x:c>
      <x:c r="D1912" s="115" t="str">
        <x:v>Galerie pluviale</x:v>
      </x:c>
      <x:c r="E1912" s="115" t="n">
        <x:v>7</x:v>
      </x:c>
      <x:c r="F1912" s="115" t="str">
        <x:v>Inspection physique</x:v>
      </x:c>
      <x:c r="G1912" s="115" t="str">
        <x:v>2 niveaux ; 12 pièces ; 114 segments de mur ; 2 transitions. Inspection physique ; architecture complète encore ouverte.</x:v>
      </x:c>
      <x:c r="H1912" s="115" t="str">
        <x:v>L 192 ; l 204,2 ; hauteur 3 m ; choix de composition auteur ; dimensions réelles à documenter</x:v>
      </x:c>
      <x:c r="I1912" s="115" t="str">
        <x:v>À équilibrer</x:v>
      </x:c>
      <x:c r="J1912" s="115" t="str">
        <x:v>Non</x:v>
      </x:c>
      <x:c r="K1912" s="115" t="str">
        <x:v>Pièces décrites, murs, portes, niveaux et mobilier inspectables à l’échelle. Volumes réservés, raccord au seed, butin, rencontres et services de campagne restent à terminer.</x:v>
      </x:c>
    </x:row>
    <x:row r="1913" ht="96" customHeight="1">
      <x:c r="A1913" s="115" t="str">
        <x:v>EXT-MONDE-T039-V08</x:v>
      </x:c>
      <x:c r="B1913" s="115" t="str">
        <x:v>EXT-MONDE-T039</x:v>
      </x:c>
      <x:c r="C1913" s="115" t="str">
        <x:v>Égouts</x:v>
      </x:c>
      <x:c r="D1913" s="115" t="str">
        <x:v>Galerie pluviale</x:v>
      </x:c>
      <x:c r="E1913" s="115" t="n">
        <x:v>8</x:v>
      </x:c>
      <x:c r="F1913" s="115" t="str">
        <x:v>Inspection physique</x:v>
      </x:c>
      <x:c r="G1913" s="115" t="str">
        <x:v>2 niveaux ; 12 pièces ; 114 segments de mur ; 2 transitions. Inspection physique ; architecture complète encore ouverte.</x:v>
      </x:c>
      <x:c r="H1913" s="115" t="str">
        <x:v>L 194 ; l 204,9 ; hauteur 3 m ; choix de composition auteur ; dimensions réelles à documenter</x:v>
      </x:c>
      <x:c r="I1913" s="115" t="str">
        <x:v>À équilibrer</x:v>
      </x:c>
      <x:c r="J1913" s="115" t="str">
        <x:v>Non</x:v>
      </x:c>
      <x:c r="K1913" s="115" t="str">
        <x:v>Pièces décrites, murs, portes, niveaux et mobilier inspectables à l’échelle. Volumes réservés, raccord au seed, butin, rencontres et services de campagne restent à terminer.</x:v>
      </x:c>
    </x:row>
    <x:row r="1914" ht="96" customHeight="1">
      <x:c r="A1914" s="115" t="str">
        <x:v>EXT-MONDE-T039-V09</x:v>
      </x:c>
      <x:c r="B1914" s="115" t="str">
        <x:v>EXT-MONDE-T039</x:v>
      </x:c>
      <x:c r="C1914" s="115" t="str">
        <x:v>Égouts</x:v>
      </x:c>
      <x:c r="D1914" s="115" t="str">
        <x:v>Galerie pluviale</x:v>
      </x:c>
      <x:c r="E1914" s="115" t="n">
        <x:v>9</x:v>
      </x:c>
      <x:c r="F1914" s="115" t="str">
        <x:v>Inspection physique</x:v>
      </x:c>
      <x:c r="G1914" s="115" t="str">
        <x:v>2 niveaux ; 12 pièces ; 114 segments de mur ; 2 transitions. Inspection physique ; architecture complète encore ouverte.</x:v>
      </x:c>
      <x:c r="H1914" s="115" t="str">
        <x:v>L 196 ; l 205,6 ; hauteur 3 m ; choix de composition auteur ; dimensions réelles à documenter</x:v>
      </x:c>
      <x:c r="I1914" s="115" t="str">
        <x:v>À équilibrer</x:v>
      </x:c>
      <x:c r="J1914" s="115" t="str">
        <x:v>Non</x:v>
      </x:c>
      <x:c r="K1914" s="115" t="str">
        <x:v>Pièces décrites, murs, portes, niveaux et mobilier inspectables à l’échelle. Volumes réservés, raccord au seed, butin, rencontres et services de campagne restent à terminer.</x:v>
      </x:c>
    </x:row>
    <x:row r="1915" ht="96" customHeight="1">
      <x:c r="A1915" s="115" t="str">
        <x:v>EXT-MONDE-T039-V10</x:v>
      </x:c>
      <x:c r="B1915" s="115" t="str">
        <x:v>EXT-MONDE-T039</x:v>
      </x:c>
      <x:c r="C1915" s="115" t="str">
        <x:v>Égouts</x:v>
      </x:c>
      <x:c r="D1915" s="115" t="str">
        <x:v>Galerie pluviale</x:v>
      </x:c>
      <x:c r="E1915" s="115" t="n">
        <x:v>10</x:v>
      </x:c>
      <x:c r="F1915" s="115" t="str">
        <x:v>Inspection physique</x:v>
      </x:c>
      <x:c r="G1915" s="115" t="str">
        <x:v>2 niveaux ; 12 pièces ; 114 segments de mur ; 2 transitions. Inspection physique ; architecture complète encore ouverte.</x:v>
      </x:c>
      <x:c r="H1915" s="115" t="str">
        <x:v>L 198 ; l 206,3 ; hauteur 3 m ; choix de composition auteur ; dimensions réelles à documenter</x:v>
      </x:c>
      <x:c r="I1915" s="115" t="str">
        <x:v>À équilibrer</x:v>
      </x:c>
      <x:c r="J1915" s="115" t="str">
        <x:v>Non</x:v>
      </x:c>
      <x:c r="K1915" s="115" t="str">
        <x:v>Pièces décrites, murs, portes, niveaux et mobilier inspectables à l’échelle. Volumes réservés, raccord au seed, butin, rencontres et services de campagne restent à terminer.</x:v>
      </x:c>
    </x:row>
    <x:row r="1916" ht="96" customHeight="1">
      <x:c r="A1916" s="115" t="str">
        <x:v>EXT-MONDE-T039-V11</x:v>
      </x:c>
      <x:c r="B1916" s="115" t="str">
        <x:v>EXT-MONDE-T039</x:v>
      </x:c>
      <x:c r="C1916" s="115" t="str">
        <x:v>Égouts</x:v>
      </x:c>
      <x:c r="D1916" s="115" t="str">
        <x:v>Galerie pluviale</x:v>
      </x:c>
      <x:c r="E1916" s="115" t="n">
        <x:v>11</x:v>
      </x:c>
      <x:c r="F1916" s="115" t="str">
        <x:v>Inspection physique</x:v>
      </x:c>
      <x:c r="G1916" s="115" t="str">
        <x:v>2 niveaux ; 12 pièces ; 114 segments de mur ; 2 transitions. Inspection physique ; architecture complète encore ouverte.</x:v>
      </x:c>
      <x:c r="H1916" s="115" t="str">
        <x:v>L 190 ; l 212 ; hauteur 3 m ; choix de composition auteur ; dimensions réelles à documenter</x:v>
      </x:c>
      <x:c r="I1916" s="115" t="str">
        <x:v>À équilibrer</x:v>
      </x:c>
      <x:c r="J1916" s="115" t="str">
        <x:v>Non</x:v>
      </x:c>
      <x:c r="K1916" s="115" t="str">
        <x:v>Pièces décrites, murs, portes, niveaux et mobilier inspectables à l’échelle. Volumes réservés, raccord au seed, butin, rencontres et services de campagne restent à terminer.</x:v>
      </x:c>
    </x:row>
    <x:row r="1917" ht="96" customHeight="1">
      <x:c r="A1917" s="115" t="str">
        <x:v>EXT-MONDE-T039-V12</x:v>
      </x:c>
      <x:c r="B1917" s="115" t="str">
        <x:v>EXT-MONDE-T039</x:v>
      </x:c>
      <x:c r="C1917" s="115" t="str">
        <x:v>Égouts</x:v>
      </x:c>
      <x:c r="D1917" s="115" t="str">
        <x:v>Galerie pluviale</x:v>
      </x:c>
      <x:c r="E1917" s="115" t="n">
        <x:v>12</x:v>
      </x:c>
      <x:c r="F1917" s="115" t="str">
        <x:v>Inspection physique</x:v>
      </x:c>
      <x:c r="G1917" s="115" t="str">
        <x:v>2 niveaux ; 12 pièces ; 114 segments de mur ; 2 transitions. Inspection physique ; architecture complète encore ouverte.</x:v>
      </x:c>
      <x:c r="H1917" s="115" t="str">
        <x:v>L 192 ; l 212,7 ; hauteur 3 m ; choix de composition auteur ; dimensions réelles à documenter</x:v>
      </x:c>
      <x:c r="I1917" s="115" t="str">
        <x:v>À équilibrer</x:v>
      </x:c>
      <x:c r="J1917" s="115" t="str">
        <x:v>Non</x:v>
      </x:c>
      <x:c r="K1917" s="115" t="str">
        <x:v>Pièces décrites, murs, portes, niveaux et mobilier inspectables à l’échelle. Volumes réservés, raccord au seed, butin, rencontres et services de campagne restent à terminer.</x:v>
      </x:c>
    </x:row>
    <x:row r="1918" ht="96" customHeight="1">
      <x:c r="A1918" s="115" t="str">
        <x:v>EXT-MONDE-T039-V13</x:v>
      </x:c>
      <x:c r="B1918" s="115" t="str">
        <x:v>EXT-MONDE-T039</x:v>
      </x:c>
      <x:c r="C1918" s="115" t="str">
        <x:v>Égouts</x:v>
      </x:c>
      <x:c r="D1918" s="115" t="str">
        <x:v>Galerie pluviale</x:v>
      </x:c>
      <x:c r="E1918" s="115" t="n">
        <x:v>13</x:v>
      </x:c>
      <x:c r="F1918" s="115" t="str">
        <x:v>Inspection physique</x:v>
      </x:c>
      <x:c r="G1918" s="115" t="str">
        <x:v>2 niveaux ; 12 pièces ; 114 segments de mur ; 2 transitions. Inspection physique ; architecture complète encore ouverte.</x:v>
      </x:c>
      <x:c r="H1918" s="115" t="str">
        <x:v>L 194 ; l 213,4 ; hauteur 3 m ; choix de composition auteur ; dimensions réelles à documenter</x:v>
      </x:c>
      <x:c r="I1918" s="115" t="str">
        <x:v>À équilibrer</x:v>
      </x:c>
      <x:c r="J1918" s="115" t="str">
        <x:v>Non</x:v>
      </x:c>
      <x:c r="K1918" s="115" t="str">
        <x:v>Pièces décrites, murs, portes, niveaux et mobilier inspectables à l’échelle. Volumes réservés, raccord au seed, butin, rencontres et services de campagne restent à terminer.</x:v>
      </x:c>
    </x:row>
    <x:row r="1919" ht="96" customHeight="1">
      <x:c r="A1919" s="115" t="str">
        <x:v>EXT-MONDE-T039-V14</x:v>
      </x:c>
      <x:c r="B1919" s="115" t="str">
        <x:v>EXT-MONDE-T039</x:v>
      </x:c>
      <x:c r="C1919" s="115" t="str">
        <x:v>Égouts</x:v>
      </x:c>
      <x:c r="D1919" s="115" t="str">
        <x:v>Galerie pluviale</x:v>
      </x:c>
      <x:c r="E1919" s="115" t="n">
        <x:v>14</x:v>
      </x:c>
      <x:c r="F1919" s="115" t="str">
        <x:v>Inspection physique</x:v>
      </x:c>
      <x:c r="G1919" s="115" t="str">
        <x:v>2 niveaux ; 12 pièces ; 114 segments de mur ; 2 transitions. Inspection physique ; architecture complète encore ouverte.</x:v>
      </x:c>
      <x:c r="H1919" s="115" t="str">
        <x:v>L 196 ; l 214,1 ; hauteur 3 m ; choix de composition auteur ; dimensions réelles à documenter</x:v>
      </x:c>
      <x:c r="I1919" s="115" t="str">
        <x:v>À équilibrer</x:v>
      </x:c>
      <x:c r="J1919" s="115" t="str">
        <x:v>Non</x:v>
      </x:c>
      <x:c r="K1919" s="115" t="str">
        <x:v>Pièces décrites, murs, portes, niveaux et mobilier inspectables à l’échelle. Volumes réservés, raccord au seed, butin, rencontres et services de campagne restent à terminer.</x:v>
      </x:c>
    </x:row>
    <x:row r="1920" ht="96" customHeight="1">
      <x:c r="A1920" s="115" t="str">
        <x:v>EXT-MONDE-T039-V15</x:v>
      </x:c>
      <x:c r="B1920" s="115" t="str">
        <x:v>EXT-MONDE-T039</x:v>
      </x:c>
      <x:c r="C1920" s="115" t="str">
        <x:v>Égouts</x:v>
      </x:c>
      <x:c r="D1920" s="115" t="str">
        <x:v>Galerie pluviale</x:v>
      </x:c>
      <x:c r="E1920" s="115" t="n">
        <x:v>15</x:v>
      </x:c>
      <x:c r="F1920" s="115" t="str">
        <x:v>Inspection physique</x:v>
      </x:c>
      <x:c r="G1920" s="115" t="str">
        <x:v>2 niveaux ; 12 pièces ; 114 segments de mur ; 2 transitions. Inspection physique ; architecture complète encore ouverte.</x:v>
      </x:c>
      <x:c r="H1920" s="115" t="str">
        <x:v>L 198 ; l 214,8 ; hauteur 3 m ; choix de composition auteur ; dimensions réelles à documenter</x:v>
      </x:c>
      <x:c r="I1920" s="115" t="str">
        <x:v>À équilibrer</x:v>
      </x:c>
      <x:c r="J1920" s="115" t="str">
        <x:v>Non</x:v>
      </x:c>
      <x:c r="K1920" s="115" t="str">
        <x:v>Pièces décrites, murs, portes, niveaux et mobilier inspectables à l’échelle. Volumes réservés, raccord au seed, butin, rencontres et services de campagne restent à terminer.</x:v>
      </x:c>
    </x:row>
    <x:row r="1921" ht="96" customHeight="1">
      <x:c r="A1921" s="115" t="str">
        <x:v>EXT-MONDE-T039-V16</x:v>
      </x:c>
      <x:c r="B1921" s="115" t="str">
        <x:v>EXT-MONDE-T039</x:v>
      </x:c>
      <x:c r="C1921" s="115" t="str">
        <x:v>Égouts</x:v>
      </x:c>
      <x:c r="D1921" s="115" t="str">
        <x:v>Galerie pluviale</x:v>
      </x:c>
      <x:c r="E1921" s="115" t="n">
        <x:v>16</x:v>
      </x:c>
      <x:c r="F1921" s="115" t="str">
        <x:v>Inspection physique</x:v>
      </x:c>
      <x:c r="G1921" s="115" t="str">
        <x:v>2 niveaux ; 12 pièces ; 114 segments de mur ; 2 transitions. Inspection physique ; architecture complète encore ouverte.</x:v>
      </x:c>
      <x:c r="H1921" s="115" t="str">
        <x:v>L 200 ; l 215,5 ; hauteur 3 m ; choix de composition auteur ; dimensions réelles à documenter</x:v>
      </x:c>
      <x:c r="I1921" s="115" t="str">
        <x:v>À équilibrer</x:v>
      </x:c>
      <x:c r="J1921" s="115" t="str">
        <x:v>Non</x:v>
      </x:c>
      <x:c r="K1921" s="115" t="str">
        <x:v>Pièces décrites, murs, portes, niveaux et mobilier inspectables à l’échelle. Volumes réservés, raccord au seed, butin, rencontres et services de campagne restent à terminer.</x:v>
      </x:c>
    </x:row>
    <x:row r="1922" ht="96" customHeight="1">
      <x:c r="A1922" s="115" t="str">
        <x:v>EXT-MONDE-T039-V17</x:v>
      </x:c>
      <x:c r="B1922" s="115" t="str">
        <x:v>EXT-MONDE-T039</x:v>
      </x:c>
      <x:c r="C1922" s="115" t="str">
        <x:v>Égouts</x:v>
      </x:c>
      <x:c r="D1922" s="115" t="str">
        <x:v>Galerie pluviale</x:v>
      </x:c>
      <x:c r="E1922" s="115" t="n">
        <x:v>17</x:v>
      </x:c>
      <x:c r="F1922" s="115" t="str">
        <x:v>Inspection physique</x:v>
      </x:c>
      <x:c r="G1922" s="115" t="str">
        <x:v>2 niveaux ; 12 pièces ; 114 segments de mur ; 2 transitions. Inspection physique ; architecture complète encore ouverte.</x:v>
      </x:c>
      <x:c r="H1922" s="115" t="str">
        <x:v>L 202 ; l 216,2 ; hauteur 3 m ; choix de composition auteur ; dimensions réelles à documenter</x:v>
      </x:c>
      <x:c r="I1922" s="115" t="str">
        <x:v>À équilibrer</x:v>
      </x:c>
      <x:c r="J1922" s="115" t="str">
        <x:v>Non</x:v>
      </x:c>
      <x:c r="K1922" s="115" t="str">
        <x:v>Pièces décrites, murs, portes, niveaux et mobilier inspectables à l’échelle. Volumes réservés, raccord au seed, butin, rencontres et services de campagne restent à terminer.</x:v>
      </x:c>
    </x:row>
    <x:row r="1923" ht="96" customHeight="1">
      <x:c r="A1923" s="115" t="str">
        <x:v>EXT-MONDE-T039-V18</x:v>
      </x:c>
      <x:c r="B1923" s="115" t="str">
        <x:v>EXT-MONDE-T039</x:v>
      </x:c>
      <x:c r="C1923" s="115" t="str">
        <x:v>Égouts</x:v>
      </x:c>
      <x:c r="D1923" s="115" t="str">
        <x:v>Galerie pluviale</x:v>
      </x:c>
      <x:c r="E1923" s="115" t="n">
        <x:v>18</x:v>
      </x:c>
      <x:c r="F1923" s="115" t="str">
        <x:v>Inspection physique</x:v>
      </x:c>
      <x:c r="G1923" s="115" t="str">
        <x:v>2 niveaux ; 12 pièces ; 114 segments de mur ; 2 transitions. Inspection physique ; architecture complète encore ouverte.</x:v>
      </x:c>
      <x:c r="H1923" s="115" t="str">
        <x:v>L 204 ; l 216,9 ; hauteur 3 m ; choix de composition auteur ; dimensions réelles à documenter</x:v>
      </x:c>
      <x:c r="I1923" s="115" t="str">
        <x:v>À équilibrer</x:v>
      </x:c>
      <x:c r="J1923" s="115" t="str">
        <x:v>Non</x:v>
      </x:c>
      <x:c r="K1923" s="115" t="str">
        <x:v>Pièces décrites, murs, portes, niveaux et mobilier inspectables à l’échelle. Volumes réservés, raccord au seed, butin, rencontres et services de campagne restent à terminer.</x:v>
      </x:c>
    </x:row>
    <x:row r="1924" ht="96" customHeight="1">
      <x:c r="A1924" s="115" t="str">
        <x:v>EXT-MONDE-T039-V19</x:v>
      </x:c>
      <x:c r="B1924" s="115" t="str">
        <x:v>EXT-MONDE-T039</x:v>
      </x:c>
      <x:c r="C1924" s="115" t="str">
        <x:v>Égouts</x:v>
      </x:c>
      <x:c r="D1924" s="115" t="str">
        <x:v>Galerie pluviale</x:v>
      </x:c>
      <x:c r="E1924" s="115" t="n">
        <x:v>19</x:v>
      </x:c>
      <x:c r="F1924" s="115" t="str">
        <x:v>Inspection physique</x:v>
      </x:c>
      <x:c r="G1924" s="115" t="str">
        <x:v>2 niveaux ; 12 pièces ; 114 segments de mur ; 2 transitions. Inspection physique ; architecture complète encore ouverte.</x:v>
      </x:c>
      <x:c r="H1924" s="115" t="str">
        <x:v>L 206 ; l 217,6 ; hauteur 3 m ; choix de composition auteur ; dimensions réelles à documenter</x:v>
      </x:c>
      <x:c r="I1924" s="115" t="str">
        <x:v>À équilibrer</x:v>
      </x:c>
      <x:c r="J1924" s="115" t="str">
        <x:v>Non</x:v>
      </x:c>
      <x:c r="K1924" s="115" t="str">
        <x:v>Pièces décrites, murs, portes, niveaux et mobilier inspectables à l’échelle. Volumes réservés, raccord au seed, butin, rencontres et services de campagne restent à terminer.</x:v>
      </x:c>
    </x:row>
    <x:row r="1925" ht="96" customHeight="1">
      <x:c r="A1925" s="115" t="str">
        <x:v>EXT-MONDE-T039-V20</x:v>
      </x:c>
      <x:c r="B1925" s="115" t="str">
        <x:v>EXT-MONDE-T039</x:v>
      </x:c>
      <x:c r="C1925" s="115" t="str">
        <x:v>Égouts</x:v>
      </x:c>
      <x:c r="D1925" s="115" t="str">
        <x:v>Galerie pluviale</x:v>
      </x:c>
      <x:c r="E1925" s="115" t="n">
        <x:v>20</x:v>
      </x:c>
      <x:c r="F1925" s="115" t="str">
        <x:v>Inspection physique</x:v>
      </x:c>
      <x:c r="G1925" s="115" t="str">
        <x:v>2 niveaux ; 12 pièces ; 114 segments de mur ; 2 transitions. Inspection physique ; architecture complète encore ouverte.</x:v>
      </x:c>
      <x:c r="H1925" s="115" t="str">
        <x:v>L 208 ; l 218,3 ; hauteur 3 m ; choix de composition auteur ; dimensions réelles à documenter</x:v>
      </x:c>
      <x:c r="I1925" s="115" t="str">
        <x:v>À équilibrer</x:v>
      </x:c>
      <x:c r="J1925" s="115" t="str">
        <x:v>Non</x:v>
      </x:c>
      <x:c r="K1925" s="115" t="str">
        <x:v>Pièces décrites, murs, portes, niveaux et mobilier inspectables à l’échelle. Volumes réservés, raccord au seed, butin, rencontres et services de campagne restent à terminer.</x:v>
      </x:c>
    </x:row>
    <x:row r="1926" ht="96" customHeight="1">
      <x:c r="A1926" s="115" t="str">
        <x:v>EXT-MONDE-T039-V21</x:v>
      </x:c>
      <x:c r="B1926" s="115" t="str">
        <x:v>EXT-MONDE-T039</x:v>
      </x:c>
      <x:c r="C1926" s="115" t="str">
        <x:v>Égouts</x:v>
      </x:c>
      <x:c r="D1926" s="115" t="str">
        <x:v>Galerie pluviale</x:v>
      </x:c>
      <x:c r="E1926" s="115" t="n">
        <x:v>21</x:v>
      </x:c>
      <x:c r="F1926" s="115" t="str">
        <x:v>Inspection physique</x:v>
      </x:c>
      <x:c r="G1926" s="115" t="str">
        <x:v>2 niveaux ; 12 pièces ; 114 segments de mur ; 2 transitions. Inspection physique ; architecture complète encore ouverte.</x:v>
      </x:c>
      <x:c r="H1926" s="115" t="str">
        <x:v>L 200 ; l 224 ; hauteur 3 m ; choix de composition auteur ; dimensions réelles à documenter</x:v>
      </x:c>
      <x:c r="I1926" s="115" t="str">
        <x:v>À équilibrer</x:v>
      </x:c>
      <x:c r="J1926" s="115" t="str">
        <x:v>Non</x:v>
      </x:c>
      <x:c r="K1926" s="115" t="str">
        <x:v>Pièces décrites, murs, portes, niveaux et mobilier inspectables à l’échelle. Volumes réservés, raccord au seed, butin, rencontres et services de campagne restent à terminer.</x:v>
      </x:c>
    </x:row>
    <x:row r="1927" ht="96" customHeight="1">
      <x:c r="A1927" s="115" t="str">
        <x:v>EXT-MONDE-T039-V22</x:v>
      </x:c>
      <x:c r="B1927" s="115" t="str">
        <x:v>EXT-MONDE-T039</x:v>
      </x:c>
      <x:c r="C1927" s="115" t="str">
        <x:v>Égouts</x:v>
      </x:c>
      <x:c r="D1927" s="115" t="str">
        <x:v>Galerie pluviale</x:v>
      </x:c>
      <x:c r="E1927" s="115" t="n">
        <x:v>22</x:v>
      </x:c>
      <x:c r="F1927" s="115" t="str">
        <x:v>Inspection physique</x:v>
      </x:c>
      <x:c r="G1927" s="115" t="str">
        <x:v>2 niveaux ; 12 pièces ; 114 segments de mur ; 2 transitions. Inspection physique ; architecture complète encore ouverte.</x:v>
      </x:c>
      <x:c r="H1927" s="115" t="str">
        <x:v>L 202 ; l 224,7 ; hauteur 3 m ; choix de composition auteur ; dimensions réelles à documenter</x:v>
      </x:c>
      <x:c r="I1927" s="115" t="str">
        <x:v>À équilibrer</x:v>
      </x:c>
      <x:c r="J1927" s="115" t="str">
        <x:v>Non</x:v>
      </x:c>
      <x:c r="K1927" s="115" t="str">
        <x:v>Pièces décrites, murs, portes, niveaux et mobilier inspectables à l’échelle. Volumes réservés, raccord au seed, butin, rencontres et services de campagne restent à terminer.</x:v>
      </x:c>
    </x:row>
    <x:row r="1928" ht="96" customHeight="1">
      <x:c r="A1928" s="115" t="str">
        <x:v>EXT-MONDE-T039-V23</x:v>
      </x:c>
      <x:c r="B1928" s="115" t="str">
        <x:v>EXT-MONDE-T039</x:v>
      </x:c>
      <x:c r="C1928" s="115" t="str">
        <x:v>Égouts</x:v>
      </x:c>
      <x:c r="D1928" s="115" t="str">
        <x:v>Galerie pluviale</x:v>
      </x:c>
      <x:c r="E1928" s="115" t="n">
        <x:v>23</x:v>
      </x:c>
      <x:c r="F1928" s="115" t="str">
        <x:v>Inspection physique</x:v>
      </x:c>
      <x:c r="G1928" s="115" t="str">
        <x:v>2 niveaux ; 12 pièces ; 114 segments de mur ; 2 transitions. Inspection physique ; architecture complète encore ouverte.</x:v>
      </x:c>
      <x:c r="H1928" s="115" t="str">
        <x:v>L 204 ; l 225,4 ; hauteur 3 m ; choix de composition auteur ; dimensions réelles à documenter</x:v>
      </x:c>
      <x:c r="I1928" s="115" t="str">
        <x:v>À équilibrer</x:v>
      </x:c>
      <x:c r="J1928" s="115" t="str">
        <x:v>Non</x:v>
      </x:c>
      <x:c r="K1928" s="115" t="str">
        <x:v>Pièces décrites, murs, portes, niveaux et mobilier inspectables à l’échelle. Volumes réservés, raccord au seed, butin, rencontres et services de campagne restent à terminer.</x:v>
      </x:c>
    </x:row>
    <x:row r="1929" ht="96" customHeight="1">
      <x:c r="A1929" s="115" t="str">
        <x:v>EXT-MONDE-T039-V24</x:v>
      </x:c>
      <x:c r="B1929" s="115" t="str">
        <x:v>EXT-MONDE-T039</x:v>
      </x:c>
      <x:c r="C1929" s="115" t="str">
        <x:v>Égouts</x:v>
      </x:c>
      <x:c r="D1929" s="115" t="str">
        <x:v>Galerie pluviale</x:v>
      </x:c>
      <x:c r="E1929" s="115" t="n">
        <x:v>24</x:v>
      </x:c>
      <x:c r="F1929" s="115" t="str">
        <x:v>Inspection physique</x:v>
      </x:c>
      <x:c r="G1929" s="115" t="str">
        <x:v>2 niveaux ; 12 pièces ; 114 segments de mur ; 2 transitions. Inspection physique ; architecture complète encore ouverte.</x:v>
      </x:c>
      <x:c r="H1929" s="115" t="str">
        <x:v>L 206 ; l 226,1 ; hauteur 3 m ; choix de composition auteur ; dimensions réelles à documenter</x:v>
      </x:c>
      <x:c r="I1929" s="115" t="str">
        <x:v>À équilibrer</x:v>
      </x:c>
      <x:c r="J1929" s="115" t="str">
        <x:v>Non</x:v>
      </x:c>
      <x:c r="K1929" s="115" t="str">
        <x:v>Pièces décrites, murs, portes, niveaux et mobilier inspectables à l’échelle. Volumes réservés, raccord au seed, butin, rencontres et services de campagne restent à terminer.</x:v>
      </x:c>
    </x:row>
    <x:row r="1930" ht="96" customHeight="1">
      <x:c r="A1930" s="115" t="str">
        <x:v>EXT-MONDE-T039-V25</x:v>
      </x:c>
      <x:c r="B1930" s="115" t="str">
        <x:v>EXT-MONDE-T039</x:v>
      </x:c>
      <x:c r="C1930" s="115" t="str">
        <x:v>Égouts</x:v>
      </x:c>
      <x:c r="D1930" s="115" t="str">
        <x:v>Galerie pluviale</x:v>
      </x:c>
      <x:c r="E1930" s="115" t="n">
        <x:v>25</x:v>
      </x:c>
      <x:c r="F1930" s="115" t="str">
        <x:v>Inspection physique</x:v>
      </x:c>
      <x:c r="G1930" s="115" t="str">
        <x:v>2 niveaux ; 12 pièces ; 114 segments de mur ; 2 transitions. Inspection physique ; architecture complète encore ouverte.</x:v>
      </x:c>
      <x:c r="H1930" s="115" t="str">
        <x:v>L 208 ; l 226,8 ; hauteur 3 m ; choix de composition auteur ; dimensions réelles à documenter</x:v>
      </x:c>
      <x:c r="I1930" s="115" t="str">
        <x:v>À équilibrer</x:v>
      </x:c>
      <x:c r="J1930" s="115" t="str">
        <x:v>Non</x:v>
      </x:c>
      <x:c r="K1930" s="115" t="str">
        <x:v>Pièces décrites, murs, portes, niveaux et mobilier inspectables à l’échelle. Volumes réservés, raccord au seed, butin, rencontres et services de campagne restent à terminer.</x:v>
      </x:c>
    </x:row>
    <x:row r="1931" ht="96" customHeight="1">
      <x:c r="A1931" s="115" t="str">
        <x:v>EXT-MONDE-T039-V26</x:v>
      </x:c>
      <x:c r="B1931" s="115" t="str">
        <x:v>EXT-MONDE-T039</x:v>
      </x:c>
      <x:c r="C1931" s="115" t="str">
        <x:v>Égouts</x:v>
      </x:c>
      <x:c r="D1931" s="115" t="str">
        <x:v>Galerie pluviale</x:v>
      </x:c>
      <x:c r="E1931" s="115" t="n">
        <x:v>26</x:v>
      </x:c>
      <x:c r="F1931" s="115" t="str">
        <x:v>Inspection physique</x:v>
      </x:c>
      <x:c r="G1931" s="115" t="str">
        <x:v>2 niveaux ; 12 pièces ; 114 segments de mur ; 2 transitions. Inspection physique ; architecture complète encore ouverte.</x:v>
      </x:c>
      <x:c r="H1931" s="115" t="str">
        <x:v>L 210 ; l 227,5 ; hauteur 3 m ; choix de composition auteur ; dimensions réelles à documenter</x:v>
      </x:c>
      <x:c r="I1931" s="115" t="str">
        <x:v>À équilibrer</x:v>
      </x:c>
      <x:c r="J1931" s="115" t="str">
        <x:v>Non</x:v>
      </x:c>
      <x:c r="K1931" s="115" t="str">
        <x:v>Pièces décrites, murs, portes, niveaux et mobilier inspectables à l’échelle. Volumes réservés, raccord au seed, butin, rencontres et services de campagne restent à terminer.</x:v>
      </x:c>
    </x:row>
    <x:row r="1932" ht="96" customHeight="1">
      <x:c r="A1932" s="115" t="str">
        <x:v>EXT-MONDE-T039-V27</x:v>
      </x:c>
      <x:c r="B1932" s="115" t="str">
        <x:v>EXT-MONDE-T039</x:v>
      </x:c>
      <x:c r="C1932" s="115" t="str">
        <x:v>Égouts</x:v>
      </x:c>
      <x:c r="D1932" s="115" t="str">
        <x:v>Galerie pluviale</x:v>
      </x:c>
      <x:c r="E1932" s="115" t="n">
        <x:v>27</x:v>
      </x:c>
      <x:c r="F1932" s="115" t="str">
        <x:v>Inspection physique</x:v>
      </x:c>
      <x:c r="G1932" s="115" t="str">
        <x:v>2 niveaux ; 12 pièces ; 114 segments de mur ; 2 transitions. Inspection physique ; architecture complète encore ouverte.</x:v>
      </x:c>
      <x:c r="H1932" s="115" t="str">
        <x:v>L 212 ; l 228,2 ; hauteur 3 m ; choix de composition auteur ; dimensions réelles à documenter</x:v>
      </x:c>
      <x:c r="I1932" s="115" t="str">
        <x:v>À équilibrer</x:v>
      </x:c>
      <x:c r="J1932" s="115" t="str">
        <x:v>Non</x:v>
      </x:c>
      <x:c r="K1932" s="115" t="str">
        <x:v>Pièces décrites, murs, portes, niveaux et mobilier inspectables à l’échelle. Volumes réservés, raccord au seed, butin, rencontres et services de campagne restent à terminer.</x:v>
      </x:c>
    </x:row>
    <x:row r="1933" ht="96" customHeight="1">
      <x:c r="A1933" s="115" t="str">
        <x:v>EXT-MONDE-T039-V28</x:v>
      </x:c>
      <x:c r="B1933" s="115" t="str">
        <x:v>EXT-MONDE-T039</x:v>
      </x:c>
      <x:c r="C1933" s="115" t="str">
        <x:v>Égouts</x:v>
      </x:c>
      <x:c r="D1933" s="115" t="str">
        <x:v>Galerie pluviale</x:v>
      </x:c>
      <x:c r="E1933" s="115" t="n">
        <x:v>28</x:v>
      </x:c>
      <x:c r="F1933" s="115" t="str">
        <x:v>Inspection physique</x:v>
      </x:c>
      <x:c r="G1933" s="115" t="str">
        <x:v>2 niveaux ; 12 pièces ; 114 segments de mur ; 2 transitions. Inspection physique ; architecture complète encore ouverte.</x:v>
      </x:c>
      <x:c r="H1933" s="115" t="str">
        <x:v>L 214 ; l 228,9 ; hauteur 3 m ; choix de composition auteur ; dimensions réelles à documenter</x:v>
      </x:c>
      <x:c r="I1933" s="115" t="str">
        <x:v>À équilibrer</x:v>
      </x:c>
      <x:c r="J1933" s="115" t="str">
        <x:v>Non</x:v>
      </x:c>
      <x:c r="K1933" s="115" t="str">
        <x:v>Pièces décrites, murs, portes, niveaux et mobilier inspectables à l’échelle. Volumes réservés, raccord au seed, butin, rencontres et services de campagne restent à terminer.</x:v>
      </x:c>
    </x:row>
    <x:row r="1934" ht="96" customHeight="1">
      <x:c r="A1934" s="115" t="str">
        <x:v>EXT-MONDE-T039-V29</x:v>
      </x:c>
      <x:c r="B1934" s="115" t="str">
        <x:v>EXT-MONDE-T039</x:v>
      </x:c>
      <x:c r="C1934" s="115" t="str">
        <x:v>Égouts</x:v>
      </x:c>
      <x:c r="D1934" s="115" t="str">
        <x:v>Galerie pluviale</x:v>
      </x:c>
      <x:c r="E1934" s="115" t="n">
        <x:v>29</x:v>
      </x:c>
      <x:c r="F1934" s="115" t="str">
        <x:v>Inspection physique</x:v>
      </x:c>
      <x:c r="G1934" s="115" t="str">
        <x:v>2 niveaux ; 12 pièces ; 114 segments de mur ; 2 transitions. Inspection physique ; architecture complète encore ouverte.</x:v>
      </x:c>
      <x:c r="H1934" s="115" t="str">
        <x:v>L 216 ; l 229,6 ; hauteur 3 m ; choix de composition auteur ; dimensions réelles à documenter</x:v>
      </x:c>
      <x:c r="I1934" s="115" t="str">
        <x:v>À équilibrer</x:v>
      </x:c>
      <x:c r="J1934" s="115" t="str">
        <x:v>Non</x:v>
      </x:c>
      <x:c r="K1934" s="115" t="str">
        <x:v>Pièces décrites, murs, portes, niveaux et mobilier inspectables à l’échelle. Volumes réservés, raccord au seed, butin, rencontres et services de campagne restent à terminer.</x:v>
      </x:c>
    </x:row>
    <x:row r="1935" ht="96" customHeight="1">
      <x:c r="A1935" s="115" t="str">
        <x:v>EXT-MONDE-T039-V30</x:v>
      </x:c>
      <x:c r="B1935" s="115" t="str">
        <x:v>EXT-MONDE-T039</x:v>
      </x:c>
      <x:c r="C1935" s="115" t="str">
        <x:v>Égouts</x:v>
      </x:c>
      <x:c r="D1935" s="115" t="str">
        <x:v>Galerie pluviale</x:v>
      </x:c>
      <x:c r="E1935" s="115" t="n">
        <x:v>30</x:v>
      </x:c>
      <x:c r="F1935" s="115" t="str">
        <x:v>Inspection physique</x:v>
      </x:c>
      <x:c r="G1935" s="115" t="str">
        <x:v>2 niveaux ; 12 pièces ; 114 segments de mur ; 2 transitions. Inspection physique ; architecture complète encore ouverte.</x:v>
      </x:c>
      <x:c r="H1935" s="115" t="str">
        <x:v>L 218 ; l 230,3 ; hauteur 3 m ; choix de composition auteur ; dimensions réelles à documenter</x:v>
      </x:c>
      <x:c r="I1935" s="115" t="str">
        <x:v>À équilibrer</x:v>
      </x:c>
      <x:c r="J1935" s="115" t="str">
        <x:v>Non</x:v>
      </x:c>
      <x:c r="K1935" s="115" t="str">
        <x:v>Pièces décrites, murs, portes, niveaux et mobilier inspectables à l’échelle. Volumes réservés, raccord au seed, butin, rencontres et services de campagne restent à terminer.</x:v>
      </x:c>
    </x:row>
    <x:row r="1936" ht="96" customHeight="1">
      <x:c r="A1936" s="115" t="str">
        <x:v>EXT-MONDE-T039-V31</x:v>
      </x:c>
      <x:c r="B1936" s="115" t="str">
        <x:v>EXT-MONDE-T039</x:v>
      </x:c>
      <x:c r="C1936" s="115" t="str">
        <x:v>Égouts</x:v>
      </x:c>
      <x:c r="D1936" s="115" t="str">
        <x:v>Galerie pluviale</x:v>
      </x:c>
      <x:c r="E1936" s="115" t="n">
        <x:v>31</x:v>
      </x:c>
      <x:c r="F1936" s="115" t="str">
        <x:v>Inspection physique</x:v>
      </x:c>
      <x:c r="G1936" s="115" t="str">
        <x:v>2 niveaux ; 12 pièces ; 114 segments de mur ; 2 transitions. Inspection physique ; architecture complète encore ouverte.</x:v>
      </x:c>
      <x:c r="H1936" s="115" t="str">
        <x:v>L 210 ; l 236 ; hauteur 3 m ; choix de composition auteur ; dimensions réelles à documenter</x:v>
      </x:c>
      <x:c r="I1936" s="115" t="str">
        <x:v>À équilibrer</x:v>
      </x:c>
      <x:c r="J1936" s="115" t="str">
        <x:v>Non</x:v>
      </x:c>
      <x:c r="K1936" s="115" t="str">
        <x:v>Pièces décrites, murs, portes, niveaux et mobilier inspectables à l’échelle. Volumes réservés, raccord au seed, butin, rencontres et services de campagne restent à terminer.</x:v>
      </x:c>
    </x:row>
    <x:row r="1937" ht="96" customHeight="1">
      <x:c r="A1937" s="115" t="str">
        <x:v>EXT-MONDE-T039-V32</x:v>
      </x:c>
      <x:c r="B1937" s="115" t="str">
        <x:v>EXT-MONDE-T039</x:v>
      </x:c>
      <x:c r="C1937" s="115" t="str">
        <x:v>Égouts</x:v>
      </x:c>
      <x:c r="D1937" s="115" t="str">
        <x:v>Galerie pluviale</x:v>
      </x:c>
      <x:c r="E1937" s="115" t="n">
        <x:v>32</x:v>
      </x:c>
      <x:c r="F1937" s="115" t="str">
        <x:v>Inspection physique</x:v>
      </x:c>
      <x:c r="G1937" s="115" t="str">
        <x:v>2 niveaux ; 12 pièces ; 114 segments de mur ; 2 transitions. Inspection physique ; architecture complète encore ouverte.</x:v>
      </x:c>
      <x:c r="H1937" s="115" t="str">
        <x:v>L 212 ; l 236,7 ; hauteur 3 m ; choix de composition auteur ; dimensions réelles à documenter</x:v>
      </x:c>
      <x:c r="I1937" s="115" t="str">
        <x:v>À équilibrer</x:v>
      </x:c>
      <x:c r="J1937" s="115" t="str">
        <x:v>Non</x:v>
      </x:c>
      <x:c r="K1937" s="115" t="str">
        <x:v>Pièces décrites, murs, portes, niveaux et mobilier inspectables à l’échelle. Volumes réservés, raccord au seed, butin, rencontres et services de campagne restent à terminer.</x:v>
      </x:c>
    </x:row>
    <x:row r="1938" ht="96" customHeight="1">
      <x:c r="A1938" s="115" t="str">
        <x:v>EXT-MONDE-T039-V33</x:v>
      </x:c>
      <x:c r="B1938" s="115" t="str">
        <x:v>EXT-MONDE-T039</x:v>
      </x:c>
      <x:c r="C1938" s="115" t="str">
        <x:v>Égouts</x:v>
      </x:c>
      <x:c r="D1938" s="115" t="str">
        <x:v>Galerie pluviale</x:v>
      </x:c>
      <x:c r="E1938" s="115" t="n">
        <x:v>33</x:v>
      </x:c>
      <x:c r="F1938" s="115" t="str">
        <x:v>Inspection physique</x:v>
      </x:c>
      <x:c r="G1938" s="115" t="str">
        <x:v>2 niveaux ; 12 pièces ; 114 segments de mur ; 2 transitions. Inspection physique ; architecture complète encore ouverte.</x:v>
      </x:c>
      <x:c r="H1938" s="115" t="str">
        <x:v>L 214 ; l 237,4 ; hauteur 3 m ; choix de composition auteur ; dimensions réelles à documenter</x:v>
      </x:c>
      <x:c r="I1938" s="115" t="str">
        <x:v>À équilibrer</x:v>
      </x:c>
      <x:c r="J1938" s="115" t="str">
        <x:v>Non</x:v>
      </x:c>
      <x:c r="K1938" s="115" t="str">
        <x:v>Pièces décrites, murs, portes, niveaux et mobilier inspectables à l’échelle. Volumes réservés, raccord au seed, butin, rencontres et services de campagne restent à terminer.</x:v>
      </x:c>
    </x:row>
    <x:row r="1939" ht="96" customHeight="1">
      <x:c r="A1939" s="115" t="str">
        <x:v>EXT-MONDE-T039-V34</x:v>
      </x:c>
      <x:c r="B1939" s="115" t="str">
        <x:v>EXT-MONDE-T039</x:v>
      </x:c>
      <x:c r="C1939" s="115" t="str">
        <x:v>Égouts</x:v>
      </x:c>
      <x:c r="D1939" s="115" t="str">
        <x:v>Galerie pluviale</x:v>
      </x:c>
      <x:c r="E1939" s="115" t="n">
        <x:v>34</x:v>
      </x:c>
      <x:c r="F1939" s="115" t="str">
        <x:v>Inspection physique</x:v>
      </x:c>
      <x:c r="G1939" s="115" t="str">
        <x:v>2 niveaux ; 12 pièces ; 114 segments de mur ; 2 transitions. Inspection physique ; architecture complète encore ouverte.</x:v>
      </x:c>
      <x:c r="H1939" s="115" t="str">
        <x:v>L 216 ; l 238,1 ; hauteur 3 m ; choix de composition auteur ; dimensions réelles à documenter</x:v>
      </x:c>
      <x:c r="I1939" s="115" t="str">
        <x:v>À équilibrer</x:v>
      </x:c>
      <x:c r="J1939" s="115" t="str">
        <x:v>Non</x:v>
      </x:c>
      <x:c r="K1939" s="115" t="str">
        <x:v>Pièces décrites, murs, portes, niveaux et mobilier inspectables à l’échelle. Volumes réservés, raccord au seed, butin, rencontres et services de campagne restent à terminer.</x:v>
      </x:c>
    </x:row>
    <x:row r="1940" ht="96" customHeight="1">
      <x:c r="A1940" s="115" t="str">
        <x:v>EXT-MONDE-T039-V35</x:v>
      </x:c>
      <x:c r="B1940" s="115" t="str">
        <x:v>EXT-MONDE-T039</x:v>
      </x:c>
      <x:c r="C1940" s="115" t="str">
        <x:v>Égouts</x:v>
      </x:c>
      <x:c r="D1940" s="115" t="str">
        <x:v>Galerie pluviale</x:v>
      </x:c>
      <x:c r="E1940" s="115" t="n">
        <x:v>35</x:v>
      </x:c>
      <x:c r="F1940" s="115" t="str">
        <x:v>Inspection physique</x:v>
      </x:c>
      <x:c r="G1940" s="115" t="str">
        <x:v>2 niveaux ; 12 pièces ; 114 segments de mur ; 2 transitions. Inspection physique ; architecture complète encore ouverte.</x:v>
      </x:c>
      <x:c r="H1940" s="115" t="str">
        <x:v>L 218 ; l 238,8 ; hauteur 3 m ; choix de composition auteur ; dimensions réelles à documenter</x:v>
      </x:c>
      <x:c r="I1940" s="115" t="str">
        <x:v>À équilibrer</x:v>
      </x:c>
      <x:c r="J1940" s="115" t="str">
        <x:v>Non</x:v>
      </x:c>
      <x:c r="K1940" s="115" t="str">
        <x:v>Pièces décrites, murs, portes, niveaux et mobilier inspectables à l’échelle. Volumes réservés, raccord au seed, butin, rencontres et services de campagne restent à terminer.</x:v>
      </x:c>
    </x:row>
    <x:row r="1941" ht="96" customHeight="1">
      <x:c r="A1941" s="115" t="str">
        <x:v>EXT-MONDE-T039-V36</x:v>
      </x:c>
      <x:c r="B1941" s="115" t="str">
        <x:v>EXT-MONDE-T039</x:v>
      </x:c>
      <x:c r="C1941" s="115" t="str">
        <x:v>Égouts</x:v>
      </x:c>
      <x:c r="D1941" s="115" t="str">
        <x:v>Galerie pluviale</x:v>
      </x:c>
      <x:c r="E1941" s="115" t="n">
        <x:v>36</x:v>
      </x:c>
      <x:c r="F1941" s="115" t="str">
        <x:v>Inspection physique</x:v>
      </x:c>
      <x:c r="G1941" s="115" t="str">
        <x:v>2 niveaux ; 12 pièces ; 114 segments de mur ; 2 transitions. Inspection physique ; architecture complète encore ouverte.</x:v>
      </x:c>
      <x:c r="H1941" s="115" t="str">
        <x:v>L 220 ; l 239,5 ; hauteur 3 m ; choix de composition auteur ; dimensions réelles à documenter</x:v>
      </x:c>
      <x:c r="I1941" s="115" t="str">
        <x:v>À équilibrer</x:v>
      </x:c>
      <x:c r="J1941" s="115" t="str">
        <x:v>Non</x:v>
      </x:c>
      <x:c r="K1941" s="115" t="str">
        <x:v>Pièces décrites, murs, portes, niveaux et mobilier inspectables à l’échelle. Volumes réservés, raccord au seed, butin, rencontres et services de campagne restent à terminer.</x:v>
      </x:c>
    </x:row>
    <x:row r="1942" ht="96" customHeight="1">
      <x:c r="A1942" s="115" t="str">
        <x:v>EXT-MONDE-T039-V37</x:v>
      </x:c>
      <x:c r="B1942" s="115" t="str">
        <x:v>EXT-MONDE-T039</x:v>
      </x:c>
      <x:c r="C1942" s="115" t="str">
        <x:v>Égouts</x:v>
      </x:c>
      <x:c r="D1942" s="115" t="str">
        <x:v>Galerie pluviale</x:v>
      </x:c>
      <x:c r="E1942" s="115" t="n">
        <x:v>37</x:v>
      </x:c>
      <x:c r="F1942" s="115" t="str">
        <x:v>Inspection physique</x:v>
      </x:c>
      <x:c r="G1942" s="115" t="str">
        <x:v>2 niveaux ; 12 pièces ; 114 segments de mur ; 2 transitions. Inspection physique ; architecture complète encore ouverte.</x:v>
      </x:c>
      <x:c r="H1942" s="115" t="str">
        <x:v>L 222 ; l 240,2 ; hauteur 3 m ; choix de composition auteur ; dimensions réelles à documenter</x:v>
      </x:c>
      <x:c r="I1942" s="115" t="str">
        <x:v>À équilibrer</x:v>
      </x:c>
      <x:c r="J1942" s="115" t="str">
        <x:v>Non</x:v>
      </x:c>
      <x:c r="K1942" s="115" t="str">
        <x:v>Pièces décrites, murs, portes, niveaux et mobilier inspectables à l’échelle. Volumes réservés, raccord au seed, butin, rencontres et services de campagne restent à terminer.</x:v>
      </x:c>
    </x:row>
    <x:row r="1943" ht="96" customHeight="1">
      <x:c r="A1943" s="115" t="str">
        <x:v>EXT-MONDE-T039-V38</x:v>
      </x:c>
      <x:c r="B1943" s="115" t="str">
        <x:v>EXT-MONDE-T039</x:v>
      </x:c>
      <x:c r="C1943" s="115" t="str">
        <x:v>Égouts</x:v>
      </x:c>
      <x:c r="D1943" s="115" t="str">
        <x:v>Galerie pluviale</x:v>
      </x:c>
      <x:c r="E1943" s="115" t="n">
        <x:v>38</x:v>
      </x:c>
      <x:c r="F1943" s="115" t="str">
        <x:v>Inspection physique</x:v>
      </x:c>
      <x:c r="G1943" s="115" t="str">
        <x:v>2 niveaux ; 12 pièces ; 114 segments de mur ; 2 transitions. Inspection physique ; architecture complète encore ouverte.</x:v>
      </x:c>
      <x:c r="H1943" s="115" t="str">
        <x:v>L 224 ; l 240,9 ; hauteur 3 m ; choix de composition auteur ; dimensions réelles à documenter</x:v>
      </x:c>
      <x:c r="I1943" s="115" t="str">
        <x:v>À équilibrer</x:v>
      </x:c>
      <x:c r="J1943" s="115" t="str">
        <x:v>Non</x:v>
      </x:c>
      <x:c r="K1943" s="115" t="str">
        <x:v>Pièces décrites, murs, portes, niveaux et mobilier inspectables à l’échelle. Volumes réservés, raccord au seed, butin, rencontres et services de campagne restent à terminer.</x:v>
      </x:c>
    </x:row>
    <x:row r="1944" ht="96" customHeight="1">
      <x:c r="A1944" s="115" t="str">
        <x:v>EXT-MONDE-T039-V39</x:v>
      </x:c>
      <x:c r="B1944" s="115" t="str">
        <x:v>EXT-MONDE-T039</x:v>
      </x:c>
      <x:c r="C1944" s="115" t="str">
        <x:v>Égouts</x:v>
      </x:c>
      <x:c r="D1944" s="115" t="str">
        <x:v>Galerie pluviale</x:v>
      </x:c>
      <x:c r="E1944" s="115" t="n">
        <x:v>39</x:v>
      </x:c>
      <x:c r="F1944" s="115" t="str">
        <x:v>Inspection physique</x:v>
      </x:c>
      <x:c r="G1944" s="115" t="str">
        <x:v>2 niveaux ; 12 pièces ; 114 segments de mur ; 2 transitions. Inspection physique ; architecture complète encore ouverte.</x:v>
      </x:c>
      <x:c r="H1944" s="115" t="str">
        <x:v>L 226 ; l 241,6 ; hauteur 3 m ; choix de composition auteur ; dimensions réelles à documenter</x:v>
      </x:c>
      <x:c r="I1944" s="115" t="str">
        <x:v>À équilibrer</x:v>
      </x:c>
      <x:c r="J1944" s="115" t="str">
        <x:v>Non</x:v>
      </x:c>
      <x:c r="K1944" s="115" t="str">
        <x:v>Pièces décrites, murs, portes, niveaux et mobilier inspectables à l’échelle. Volumes réservés, raccord au seed, butin, rencontres et services de campagne restent à terminer.</x:v>
      </x:c>
    </x:row>
    <x:row r="1945" ht="96" customHeight="1">
      <x:c r="A1945" s="115" t="str">
        <x:v>EXT-MONDE-T039-V40</x:v>
      </x:c>
      <x:c r="B1945" s="115" t="str">
        <x:v>EXT-MONDE-T039</x:v>
      </x:c>
      <x:c r="C1945" s="115" t="str">
        <x:v>Égouts</x:v>
      </x:c>
      <x:c r="D1945" s="115" t="str">
        <x:v>Galerie pluviale</x:v>
      </x:c>
      <x:c r="E1945" s="115" t="n">
        <x:v>40</x:v>
      </x:c>
      <x:c r="F1945" s="115" t="str">
        <x:v>Inspection physique</x:v>
      </x:c>
      <x:c r="G1945" s="115" t="str">
        <x:v>2 niveaux ; 12 pièces ; 114 segments de mur ; 2 transitions. Inspection physique ; architecture complète encore ouverte.</x:v>
      </x:c>
      <x:c r="H1945" s="115" t="str">
        <x:v>L 228 ; l 242,3 ; hauteur 3 m ; choix de composition auteur ; dimensions réelles à documenter</x:v>
      </x:c>
      <x:c r="I1945" s="115" t="str">
        <x:v>À équilibrer</x:v>
      </x:c>
      <x:c r="J1945" s="115" t="str">
        <x:v>Non</x:v>
      </x:c>
      <x:c r="K1945" s="115" t="str">
        <x:v>Pièces décrites, murs, portes, niveaux et mobilier inspectables à l’échelle. Volumes réservés, raccord au seed, butin, rencontres et services de campagne restent à terminer.</x:v>
      </x:c>
    </x:row>
    <x:row r="1946" ht="96" customHeight="1">
      <x:c r="A1946" s="115" t="str">
        <x:v>EXT-MONDE-T039-V41</x:v>
      </x:c>
      <x:c r="B1946" s="115" t="str">
        <x:v>EXT-MONDE-T039</x:v>
      </x:c>
      <x:c r="C1946" s="115" t="str">
        <x:v>Égouts</x:v>
      </x:c>
      <x:c r="D1946" s="115" t="str">
        <x:v>Galerie pluviale</x:v>
      </x:c>
      <x:c r="E1946" s="115" t="n">
        <x:v>41</x:v>
      </x:c>
      <x:c r="F1946" s="115" t="str">
        <x:v>Inspection physique</x:v>
      </x:c>
      <x:c r="G1946" s="115" t="str">
        <x:v>2 niveaux ; 12 pièces ; 114 segments de mur ; 2 transitions. Inspection physique ; architecture complète encore ouverte.</x:v>
      </x:c>
      <x:c r="H1946" s="115" t="str">
        <x:v>L 220 ; l 248 ; hauteur 3 m ; choix de composition auteur ; dimensions réelles à documenter</x:v>
      </x:c>
      <x:c r="I1946" s="115" t="str">
        <x:v>À équilibrer</x:v>
      </x:c>
      <x:c r="J1946" s="115" t="str">
        <x:v>Non</x:v>
      </x:c>
      <x:c r="K1946" s="115" t="str">
        <x:v>Pièces décrites, murs, portes, niveaux et mobilier inspectables à l’échelle. Volumes réservés, raccord au seed, butin, rencontres et services de campagne restent à terminer.</x:v>
      </x:c>
    </x:row>
    <x:row r="1947" ht="96" customHeight="1">
      <x:c r="A1947" s="115" t="str">
        <x:v>EXT-MONDE-T039-V42</x:v>
      </x:c>
      <x:c r="B1947" s="115" t="str">
        <x:v>EXT-MONDE-T039</x:v>
      </x:c>
      <x:c r="C1947" s="115" t="str">
        <x:v>Égouts</x:v>
      </x:c>
      <x:c r="D1947" s="115" t="str">
        <x:v>Galerie pluviale</x:v>
      </x:c>
      <x:c r="E1947" s="115" t="n">
        <x:v>42</x:v>
      </x:c>
      <x:c r="F1947" s="115" t="str">
        <x:v>Inspection physique</x:v>
      </x:c>
      <x:c r="G1947" s="115" t="str">
        <x:v>2 niveaux ; 12 pièces ; 114 segments de mur ; 2 transitions. Inspection physique ; architecture complète encore ouverte.</x:v>
      </x:c>
      <x:c r="H1947" s="115" t="str">
        <x:v>L 222 ; l 248,7 ; hauteur 3 m ; choix de composition auteur ; dimensions réelles à documenter</x:v>
      </x:c>
      <x:c r="I1947" s="115" t="str">
        <x:v>À équilibrer</x:v>
      </x:c>
      <x:c r="J1947" s="115" t="str">
        <x:v>Non</x:v>
      </x:c>
      <x:c r="K1947" s="115" t="str">
        <x:v>Pièces décrites, murs, portes, niveaux et mobilier inspectables à l’échelle. Volumes réservés, raccord au seed, butin, rencontres et services de campagne restent à terminer.</x:v>
      </x:c>
    </x:row>
    <x:row r="1948" ht="96" customHeight="1">
      <x:c r="A1948" s="115" t="str">
        <x:v>EXT-MONDE-T039-V43</x:v>
      </x:c>
      <x:c r="B1948" s="115" t="str">
        <x:v>EXT-MONDE-T039</x:v>
      </x:c>
      <x:c r="C1948" s="115" t="str">
        <x:v>Égouts</x:v>
      </x:c>
      <x:c r="D1948" s="115" t="str">
        <x:v>Galerie pluviale</x:v>
      </x:c>
      <x:c r="E1948" s="115" t="n">
        <x:v>43</x:v>
      </x:c>
      <x:c r="F1948" s="115" t="str">
        <x:v>Inspection physique</x:v>
      </x:c>
      <x:c r="G1948" s="115" t="str">
        <x:v>2 niveaux ; 12 pièces ; 114 segments de mur ; 2 transitions. Inspection physique ; architecture complète encore ouverte.</x:v>
      </x:c>
      <x:c r="H1948" s="115" t="str">
        <x:v>L 224 ; l 249,4 ; hauteur 3 m ; choix de composition auteur ; dimensions réelles à documenter</x:v>
      </x:c>
      <x:c r="I1948" s="115" t="str">
        <x:v>À équilibrer</x:v>
      </x:c>
      <x:c r="J1948" s="115" t="str">
        <x:v>Non</x:v>
      </x:c>
      <x:c r="K1948" s="115" t="str">
        <x:v>Pièces décrites, murs, portes, niveaux et mobilier inspectables à l’échelle. Volumes réservés, raccord au seed, butin, rencontres et services de campagne restent à terminer.</x:v>
      </x:c>
    </x:row>
    <x:row r="1949" ht="96" customHeight="1">
      <x:c r="A1949" s="115" t="str">
        <x:v>EXT-MONDE-T039-V44</x:v>
      </x:c>
      <x:c r="B1949" s="115" t="str">
        <x:v>EXT-MONDE-T039</x:v>
      </x:c>
      <x:c r="C1949" s="115" t="str">
        <x:v>Égouts</x:v>
      </x:c>
      <x:c r="D1949" s="115" t="str">
        <x:v>Galerie pluviale</x:v>
      </x:c>
      <x:c r="E1949" s="115" t="n">
        <x:v>44</x:v>
      </x:c>
      <x:c r="F1949" s="115" t="str">
        <x:v>Inspection physique</x:v>
      </x:c>
      <x:c r="G1949" s="115" t="str">
        <x:v>2 niveaux ; 12 pièces ; 114 segments de mur ; 2 transitions. Inspection physique ; architecture complète encore ouverte.</x:v>
      </x:c>
      <x:c r="H1949" s="115" t="str">
        <x:v>L 226 ; l 250,1 ; hauteur 3 m ; choix de composition auteur ; dimensions réelles à documenter</x:v>
      </x:c>
      <x:c r="I1949" s="115" t="str">
        <x:v>À équilibrer</x:v>
      </x:c>
      <x:c r="J1949" s="115" t="str">
        <x:v>Non</x:v>
      </x:c>
      <x:c r="K1949" s="115" t="str">
        <x:v>Pièces décrites, murs, portes, niveaux et mobilier inspectables à l’échelle. Volumes réservés, raccord au seed, butin, rencontres et services de campagne restent à terminer.</x:v>
      </x:c>
    </x:row>
    <x:row r="1950" ht="96" customHeight="1">
      <x:c r="A1950" s="115" t="str">
        <x:v>EXT-MONDE-T039-V45</x:v>
      </x:c>
      <x:c r="B1950" s="115" t="str">
        <x:v>EXT-MONDE-T039</x:v>
      </x:c>
      <x:c r="C1950" s="115" t="str">
        <x:v>Égouts</x:v>
      </x:c>
      <x:c r="D1950" s="115" t="str">
        <x:v>Galerie pluviale</x:v>
      </x:c>
      <x:c r="E1950" s="115" t="n">
        <x:v>45</x:v>
      </x:c>
      <x:c r="F1950" s="115" t="str">
        <x:v>Inspection physique</x:v>
      </x:c>
      <x:c r="G1950" s="115" t="str">
        <x:v>2 niveaux ; 12 pièces ; 114 segments de mur ; 2 transitions. Inspection physique ; architecture complète encore ouverte.</x:v>
      </x:c>
      <x:c r="H1950" s="115" t="str">
        <x:v>L 228 ; l 250,8 ; hauteur 3 m ; choix de composition auteur ; dimensions réelles à documenter</x:v>
      </x:c>
      <x:c r="I1950" s="115" t="str">
        <x:v>À équilibrer</x:v>
      </x:c>
      <x:c r="J1950" s="115" t="str">
        <x:v>Non</x:v>
      </x:c>
      <x:c r="K1950" s="115" t="str">
        <x:v>Pièces décrites, murs, portes, niveaux et mobilier inspectables à l’échelle. Volumes réservés, raccord au seed, butin, rencontres et services de campagne restent à terminer.</x:v>
      </x:c>
    </x:row>
    <x:row r="1951" ht="96" customHeight="1">
      <x:c r="A1951" s="115" t="str">
        <x:v>EXT-MONDE-T039-V46</x:v>
      </x:c>
      <x:c r="B1951" s="115" t="str">
        <x:v>EXT-MONDE-T039</x:v>
      </x:c>
      <x:c r="C1951" s="115" t="str">
        <x:v>Égouts</x:v>
      </x:c>
      <x:c r="D1951" s="115" t="str">
        <x:v>Galerie pluviale</x:v>
      </x:c>
      <x:c r="E1951" s="115" t="n">
        <x:v>46</x:v>
      </x:c>
      <x:c r="F1951" s="115" t="str">
        <x:v>Inspection physique</x:v>
      </x:c>
      <x:c r="G1951" s="115" t="str">
        <x:v>2 niveaux ; 12 pièces ; 114 segments de mur ; 2 transitions. Inspection physique ; architecture complète encore ouverte.</x:v>
      </x:c>
      <x:c r="H1951" s="115" t="str">
        <x:v>L 230 ; l 251,5 ; hauteur 3 m ; choix de composition auteur ; dimensions réelles à documenter</x:v>
      </x:c>
      <x:c r="I1951" s="115" t="str">
        <x:v>À équilibrer</x:v>
      </x:c>
      <x:c r="J1951" s="115" t="str">
        <x:v>Non</x:v>
      </x:c>
      <x:c r="K1951" s="115" t="str">
        <x:v>Pièces décrites, murs, portes, niveaux et mobilier inspectables à l’échelle. Volumes réservés, raccord au seed, butin, rencontres et services de campagne restent à terminer.</x:v>
      </x:c>
    </x:row>
    <x:row r="1952" ht="96" customHeight="1">
      <x:c r="A1952" s="115" t="str">
        <x:v>EXT-MONDE-T039-V47</x:v>
      </x:c>
      <x:c r="B1952" s="115" t="str">
        <x:v>EXT-MONDE-T039</x:v>
      </x:c>
      <x:c r="C1952" s="115" t="str">
        <x:v>Égouts</x:v>
      </x:c>
      <x:c r="D1952" s="115" t="str">
        <x:v>Galerie pluviale</x:v>
      </x:c>
      <x:c r="E1952" s="115" t="n">
        <x:v>47</x:v>
      </x:c>
      <x:c r="F1952" s="115" t="str">
        <x:v>Inspection physique</x:v>
      </x:c>
      <x:c r="G1952" s="115" t="str">
        <x:v>2 niveaux ; 12 pièces ; 114 segments de mur ; 2 transitions. Inspection physique ; architecture complète encore ouverte.</x:v>
      </x:c>
      <x:c r="H1952" s="115" t="str">
        <x:v>L 232 ; l 252,2 ; hauteur 3 m ; choix de composition auteur ; dimensions réelles à documenter</x:v>
      </x:c>
      <x:c r="I1952" s="115" t="str">
        <x:v>À équilibrer</x:v>
      </x:c>
      <x:c r="J1952" s="115" t="str">
        <x:v>Non</x:v>
      </x:c>
      <x:c r="K1952" s="115" t="str">
        <x:v>Pièces décrites, murs, portes, niveaux et mobilier inspectables à l’échelle. Volumes réservés, raccord au seed, butin, rencontres et services de campagne restent à terminer.</x:v>
      </x:c>
    </x:row>
    <x:row r="1953" ht="96" customHeight="1">
      <x:c r="A1953" s="115" t="str">
        <x:v>EXT-MONDE-T039-V48</x:v>
      </x:c>
      <x:c r="B1953" s="115" t="str">
        <x:v>EXT-MONDE-T039</x:v>
      </x:c>
      <x:c r="C1953" s="115" t="str">
        <x:v>Égouts</x:v>
      </x:c>
      <x:c r="D1953" s="115" t="str">
        <x:v>Galerie pluviale</x:v>
      </x:c>
      <x:c r="E1953" s="115" t="n">
        <x:v>48</x:v>
      </x:c>
      <x:c r="F1953" s="115" t="str">
        <x:v>Inspection physique</x:v>
      </x:c>
      <x:c r="G1953" s="115" t="str">
        <x:v>2 niveaux ; 12 pièces ; 114 segments de mur ; 2 transitions. Inspection physique ; architecture complète encore ouverte.</x:v>
      </x:c>
      <x:c r="H1953" s="115" t="str">
        <x:v>L 234 ; l 252,9 ; hauteur 3 m ; choix de composition auteur ; dimensions réelles à documenter</x:v>
      </x:c>
      <x:c r="I1953" s="115" t="str">
        <x:v>À équilibrer</x:v>
      </x:c>
      <x:c r="J1953" s="115" t="str">
        <x:v>Non</x:v>
      </x:c>
      <x:c r="K1953" s="115" t="str">
        <x:v>Pièces décrites, murs, portes, niveaux et mobilier inspectables à l’échelle. Volumes réservés, raccord au seed, butin, rencontres et services de campagne restent à terminer.</x:v>
      </x:c>
    </x:row>
    <x:row r="1954" ht="96" customHeight="1">
      <x:c r="A1954" s="115" t="str">
        <x:v>EXT-MONDE-T039-V49</x:v>
      </x:c>
      <x:c r="B1954" s="115" t="str">
        <x:v>EXT-MONDE-T039</x:v>
      </x:c>
      <x:c r="C1954" s="115" t="str">
        <x:v>Égouts</x:v>
      </x:c>
      <x:c r="D1954" s="115" t="str">
        <x:v>Galerie pluviale</x:v>
      </x:c>
      <x:c r="E1954" s="115" t="n">
        <x:v>49</x:v>
      </x:c>
      <x:c r="F1954" s="115" t="str">
        <x:v>Inspection physique</x:v>
      </x:c>
      <x:c r="G1954" s="115" t="str">
        <x:v>2 niveaux ; 12 pièces ; 114 segments de mur ; 2 transitions. Inspection physique ; architecture complète encore ouverte.</x:v>
      </x:c>
      <x:c r="H1954" s="115" t="str">
        <x:v>L 236 ; l 253,6 ; hauteur 3 m ; choix de composition auteur ; dimensions réelles à documenter</x:v>
      </x:c>
      <x:c r="I1954" s="115" t="str">
        <x:v>À équilibrer</x:v>
      </x:c>
      <x:c r="J1954" s="115" t="str">
        <x:v>Non</x:v>
      </x:c>
      <x:c r="K1954" s="115" t="str">
        <x:v>Pièces décrites, murs, portes, niveaux et mobilier inspectables à l’échelle. Volumes réservés, raccord au seed, butin, rencontres et services de campagne restent à terminer.</x:v>
      </x:c>
    </x:row>
    <x:row r="1955" ht="96" customHeight="1">
      <x:c r="A1955" s="115" t="str">
        <x:v>EXT-MONDE-T039-V50</x:v>
      </x:c>
      <x:c r="B1955" s="115" t="str">
        <x:v>EXT-MONDE-T039</x:v>
      </x:c>
      <x:c r="C1955" s="115" t="str">
        <x:v>Égouts</x:v>
      </x:c>
      <x:c r="D1955" s="115" t="str">
        <x:v>Galerie pluviale</x:v>
      </x:c>
      <x:c r="E1955" s="115" t="n">
        <x:v>50</x:v>
      </x:c>
      <x:c r="F1955" s="115" t="str">
        <x:v>Inspection physique</x:v>
      </x:c>
      <x:c r="G1955" s="115" t="str">
        <x:v>2 niveaux ; 12 pièces ; 114 segments de mur ; 2 transitions. Inspection physique ; architecture complète encore ouverte.</x:v>
      </x:c>
      <x:c r="H1955" s="115" t="str">
        <x:v>L 238 ; l 254,3 ; hauteur 3 m ; choix de composition auteur ; dimensions réelles à documenter</x:v>
      </x:c>
      <x:c r="I1955" s="115" t="str">
        <x:v>À équilibrer</x:v>
      </x:c>
      <x:c r="J1955" s="115" t="str">
        <x:v>Non</x:v>
      </x:c>
      <x:c r="K1955" s="115" t="str">
        <x:v>Pièces décrites, murs, portes, niveaux et mobilier inspectables à l’échelle. Volumes réservés, raccord au seed, butin, rencontres et services de campagne restent à terminer.</x:v>
      </x:c>
    </x:row>
    <x:row r="1956" ht="96" customHeight="1">
      <x:c r="A1956" s="115" t="str">
        <x:v>EXT-MONDE-T040-V01</x:v>
      </x:c>
      <x:c r="B1956" s="115" t="str">
        <x:v>EXT-MONDE-T040</x:v>
      </x:c>
      <x:c r="C1956" s="115" t="str">
        <x:v>Égouts</x:v>
      </x:c>
      <x:c r="D1956" s="115" t="str">
        <x:v>Station souterraine de relevage</x:v>
      </x:c>
      <x:c r="E1956" s="115" t="n">
        <x:v>1</x:v>
      </x:c>
      <x:c r="F1956" s="115" t="str">
        <x:v>Inspection physique</x:v>
      </x:c>
      <x:c r="G1956" s="115" t="str">
        <x:v>4 niveaux ; 26 pièces ; 240 segments de mur ; 6 transitions. Inspection physique ; architecture complète encore ouverte.</x:v>
      </x:c>
      <x:c r="H1956" s="115" t="str">
        <x:v>L 180 ; l 200 ; hauteur 3 m ; choix de composition auteur ; dimensions réelles à documenter</x:v>
      </x:c>
      <x:c r="I1956" s="115" t="str">
        <x:v>À équilibrer</x:v>
      </x:c>
      <x:c r="J1956" s="115" t="str">
        <x:v>Non</x:v>
      </x:c>
      <x:c r="K1956" s="115" t="str">
        <x:v>Pièces décrites, murs, portes, niveaux et mobilier inspectables à l’échelle. Volumes réservés, raccord au seed, butin, rencontres et services de campagne restent à terminer.</x:v>
      </x:c>
    </x:row>
    <x:row r="1957" ht="96" customHeight="1">
      <x:c r="A1957" s="115" t="str">
        <x:v>EXT-MONDE-T040-V02</x:v>
      </x:c>
      <x:c r="B1957" s="115" t="str">
        <x:v>EXT-MONDE-T040</x:v>
      </x:c>
      <x:c r="C1957" s="115" t="str">
        <x:v>Égouts</x:v>
      </x:c>
      <x:c r="D1957" s="115" t="str">
        <x:v>Station souterraine de relevage</x:v>
      </x:c>
      <x:c r="E1957" s="115" t="n">
        <x:v>2</x:v>
      </x:c>
      <x:c r="F1957" s="115" t="str">
        <x:v>Inspection physique</x:v>
      </x:c>
      <x:c r="G1957" s="115" t="str">
        <x:v>4 niveaux ; 26 pièces ; 240 segments de mur ; 6 transitions. Inspection physique ; architecture complète encore ouverte.</x:v>
      </x:c>
      <x:c r="H1957" s="115" t="str">
        <x:v>L 182 ; l 200,7 ; hauteur 3 m ; choix de composition auteur ; dimensions réelles à documenter</x:v>
      </x:c>
      <x:c r="I1957" s="115" t="str">
        <x:v>À équilibrer</x:v>
      </x:c>
      <x:c r="J1957" s="115" t="str">
        <x:v>Non</x:v>
      </x:c>
      <x:c r="K1957" s="115" t="str">
        <x:v>Pièces décrites, murs, portes, niveaux et mobilier inspectables à l’échelle. Volumes réservés, raccord au seed, butin, rencontres et services de campagne restent à terminer.</x:v>
      </x:c>
    </x:row>
    <x:row r="1958" ht="96" customHeight="1">
      <x:c r="A1958" s="115" t="str">
        <x:v>EXT-MONDE-T040-V03</x:v>
      </x:c>
      <x:c r="B1958" s="115" t="str">
        <x:v>EXT-MONDE-T040</x:v>
      </x:c>
      <x:c r="C1958" s="115" t="str">
        <x:v>Égouts</x:v>
      </x:c>
      <x:c r="D1958" s="115" t="str">
        <x:v>Station souterraine de relevage</x:v>
      </x:c>
      <x:c r="E1958" s="115" t="n">
        <x:v>3</x:v>
      </x:c>
      <x:c r="F1958" s="115" t="str">
        <x:v>Inspection physique</x:v>
      </x:c>
      <x:c r="G1958" s="115" t="str">
        <x:v>4 niveaux ; 26 pièces ; 240 segments de mur ; 6 transitions. Inspection physique ; architecture complète encore ouverte.</x:v>
      </x:c>
      <x:c r="H1958" s="115" t="str">
        <x:v>L 184 ; l 201,4 ; hauteur 3 m ; choix de composition auteur ; dimensions réelles à documenter</x:v>
      </x:c>
      <x:c r="I1958" s="115" t="str">
        <x:v>À équilibrer</x:v>
      </x:c>
      <x:c r="J1958" s="115" t="str">
        <x:v>Non</x:v>
      </x:c>
      <x:c r="K1958" s="115" t="str">
        <x:v>Pièces décrites, murs, portes, niveaux et mobilier inspectables à l’échelle. Volumes réservés, raccord au seed, butin, rencontres et services de campagne restent à terminer.</x:v>
      </x:c>
    </x:row>
    <x:row r="1959" ht="96" customHeight="1">
      <x:c r="A1959" s="115" t="str">
        <x:v>EXT-MONDE-T040-V04</x:v>
      </x:c>
      <x:c r="B1959" s="115" t="str">
        <x:v>EXT-MONDE-T040</x:v>
      </x:c>
      <x:c r="C1959" s="115" t="str">
        <x:v>Égouts</x:v>
      </x:c>
      <x:c r="D1959" s="115" t="str">
        <x:v>Station souterraine de relevage</x:v>
      </x:c>
      <x:c r="E1959" s="115" t="n">
        <x:v>4</x:v>
      </x:c>
      <x:c r="F1959" s="115" t="str">
        <x:v>Inspection physique</x:v>
      </x:c>
      <x:c r="G1959" s="115" t="str">
        <x:v>4 niveaux ; 26 pièces ; 240 segments de mur ; 6 transitions. Inspection physique ; architecture complète encore ouverte.</x:v>
      </x:c>
      <x:c r="H1959" s="115" t="str">
        <x:v>L 186 ; l 202,1 ; hauteur 3 m ; choix de composition auteur ; dimensions réelles à documenter</x:v>
      </x:c>
      <x:c r="I1959" s="115" t="str">
        <x:v>À équilibrer</x:v>
      </x:c>
      <x:c r="J1959" s="115" t="str">
        <x:v>Non</x:v>
      </x:c>
      <x:c r="K1959" s="115" t="str">
        <x:v>Pièces décrites, murs, portes, niveaux et mobilier inspectables à l’échelle. Volumes réservés, raccord au seed, butin, rencontres et services de campagne restent à terminer.</x:v>
      </x:c>
    </x:row>
    <x:row r="1960" ht="96" customHeight="1">
      <x:c r="A1960" s="115" t="str">
        <x:v>EXT-MONDE-T040-V05</x:v>
      </x:c>
      <x:c r="B1960" s="115" t="str">
        <x:v>EXT-MONDE-T040</x:v>
      </x:c>
      <x:c r="C1960" s="115" t="str">
        <x:v>Égouts</x:v>
      </x:c>
      <x:c r="D1960" s="115" t="str">
        <x:v>Station souterraine de relevage</x:v>
      </x:c>
      <x:c r="E1960" s="115" t="n">
        <x:v>5</x:v>
      </x:c>
      <x:c r="F1960" s="115" t="str">
        <x:v>Inspection physique</x:v>
      </x:c>
      <x:c r="G1960" s="115" t="str">
        <x:v>4 niveaux ; 26 pièces ; 240 segments de mur ; 6 transitions. Inspection physique ; architecture complète encore ouverte.</x:v>
      </x:c>
      <x:c r="H1960" s="115" t="str">
        <x:v>L 188 ; l 202,8 ; hauteur 3 m ; choix de composition auteur ; dimensions réelles à documenter</x:v>
      </x:c>
      <x:c r="I1960" s="115" t="str">
        <x:v>À équilibrer</x:v>
      </x:c>
      <x:c r="J1960" s="115" t="str">
        <x:v>Non</x:v>
      </x:c>
      <x:c r="K1960" s="115" t="str">
        <x:v>Pièces décrites, murs, portes, niveaux et mobilier inspectables à l’échelle. Volumes réservés, raccord au seed, butin, rencontres et services de campagne restent à terminer.</x:v>
      </x:c>
    </x:row>
    <x:row r="1961" ht="96" customHeight="1">
      <x:c r="A1961" s="115" t="str">
        <x:v>EXT-MONDE-T040-V06</x:v>
      </x:c>
      <x:c r="B1961" s="115" t="str">
        <x:v>EXT-MONDE-T040</x:v>
      </x:c>
      <x:c r="C1961" s="115" t="str">
        <x:v>Égouts</x:v>
      </x:c>
      <x:c r="D1961" s="115" t="str">
        <x:v>Station souterraine de relevage</x:v>
      </x:c>
      <x:c r="E1961" s="115" t="n">
        <x:v>6</x:v>
      </x:c>
      <x:c r="F1961" s="115" t="str">
        <x:v>Inspection physique</x:v>
      </x:c>
      <x:c r="G1961" s="115" t="str">
        <x:v>4 niveaux ; 26 pièces ; 240 segments de mur ; 6 transitions. Inspection physique ; architecture complète encore ouverte.</x:v>
      </x:c>
      <x:c r="H1961" s="115" t="str">
        <x:v>L 190 ; l 203,5 ; hauteur 3 m ; choix de composition auteur ; dimensions réelles à documenter</x:v>
      </x:c>
      <x:c r="I1961" s="115" t="str">
        <x:v>À équilibrer</x:v>
      </x:c>
      <x:c r="J1961" s="115" t="str">
        <x:v>Non</x:v>
      </x:c>
      <x:c r="K1961" s="115" t="str">
        <x:v>Pièces décrites, murs, portes, niveaux et mobilier inspectables à l’échelle. Volumes réservés, raccord au seed, butin, rencontres et services de campagne restent à terminer.</x:v>
      </x:c>
    </x:row>
    <x:row r="1962" ht="96" customHeight="1">
      <x:c r="A1962" s="115" t="str">
        <x:v>EXT-MONDE-T040-V07</x:v>
      </x:c>
      <x:c r="B1962" s="115" t="str">
        <x:v>EXT-MONDE-T040</x:v>
      </x:c>
      <x:c r="C1962" s="115" t="str">
        <x:v>Égouts</x:v>
      </x:c>
      <x:c r="D1962" s="115" t="str">
        <x:v>Station souterraine de relevage</x:v>
      </x:c>
      <x:c r="E1962" s="115" t="n">
        <x:v>7</x:v>
      </x:c>
      <x:c r="F1962" s="115" t="str">
        <x:v>Inspection physique</x:v>
      </x:c>
      <x:c r="G1962" s="115" t="str">
        <x:v>4 niveaux ; 26 pièces ; 240 segments de mur ; 6 transitions. Inspection physique ; architecture complète encore ouverte.</x:v>
      </x:c>
      <x:c r="H1962" s="115" t="str">
        <x:v>L 192 ; l 204,2 ; hauteur 3 m ; choix de composition auteur ; dimensions réelles à documenter</x:v>
      </x:c>
      <x:c r="I1962" s="115" t="str">
        <x:v>À équilibrer</x:v>
      </x:c>
      <x:c r="J1962" s="115" t="str">
        <x:v>Non</x:v>
      </x:c>
      <x:c r="K1962" s="115" t="str">
        <x:v>Pièces décrites, murs, portes, niveaux et mobilier inspectables à l’échelle. Volumes réservés, raccord au seed, butin, rencontres et services de campagne restent à terminer.</x:v>
      </x:c>
    </x:row>
    <x:row r="1963" ht="96" customHeight="1">
      <x:c r="A1963" s="115" t="str">
        <x:v>EXT-MONDE-T040-V08</x:v>
      </x:c>
      <x:c r="B1963" s="115" t="str">
        <x:v>EXT-MONDE-T040</x:v>
      </x:c>
      <x:c r="C1963" s="115" t="str">
        <x:v>Égouts</x:v>
      </x:c>
      <x:c r="D1963" s="115" t="str">
        <x:v>Station souterraine de relevage</x:v>
      </x:c>
      <x:c r="E1963" s="115" t="n">
        <x:v>8</x:v>
      </x:c>
      <x:c r="F1963" s="115" t="str">
        <x:v>Inspection physique</x:v>
      </x:c>
      <x:c r="G1963" s="115" t="str">
        <x:v>4 niveaux ; 26 pièces ; 240 segments de mur ; 6 transitions. Inspection physique ; architecture complète encore ouverte.</x:v>
      </x:c>
      <x:c r="H1963" s="115" t="str">
        <x:v>L 194 ; l 204,9 ; hauteur 3 m ; choix de composition auteur ; dimensions réelles à documenter</x:v>
      </x:c>
      <x:c r="I1963" s="115" t="str">
        <x:v>À équilibrer</x:v>
      </x:c>
      <x:c r="J1963" s="115" t="str">
        <x:v>Non</x:v>
      </x:c>
      <x:c r="K1963" s="115" t="str">
        <x:v>Pièces décrites, murs, portes, niveaux et mobilier inspectables à l’échelle. Volumes réservés, raccord au seed, butin, rencontres et services de campagne restent à terminer.</x:v>
      </x:c>
    </x:row>
    <x:row r="1964" ht="96" customHeight="1">
      <x:c r="A1964" s="115" t="str">
        <x:v>EXT-MONDE-T040-V09</x:v>
      </x:c>
      <x:c r="B1964" s="115" t="str">
        <x:v>EXT-MONDE-T040</x:v>
      </x:c>
      <x:c r="C1964" s="115" t="str">
        <x:v>Égouts</x:v>
      </x:c>
      <x:c r="D1964" s="115" t="str">
        <x:v>Station souterraine de relevage</x:v>
      </x:c>
      <x:c r="E1964" s="115" t="n">
        <x:v>9</x:v>
      </x:c>
      <x:c r="F1964" s="115" t="str">
        <x:v>Inspection physique</x:v>
      </x:c>
      <x:c r="G1964" s="115" t="str">
        <x:v>4 niveaux ; 26 pièces ; 240 segments de mur ; 6 transitions. Inspection physique ; architecture complète encore ouverte.</x:v>
      </x:c>
      <x:c r="H1964" s="115" t="str">
        <x:v>L 196 ; l 205,6 ; hauteur 3 m ; choix de composition auteur ; dimensions réelles à documenter</x:v>
      </x:c>
      <x:c r="I1964" s="115" t="str">
        <x:v>À équilibrer</x:v>
      </x:c>
      <x:c r="J1964" s="115" t="str">
        <x:v>Non</x:v>
      </x:c>
      <x:c r="K1964" s="115" t="str">
        <x:v>Pièces décrites, murs, portes, niveaux et mobilier inspectables à l’échelle. Volumes réservés, raccord au seed, butin, rencontres et services de campagne restent à terminer.</x:v>
      </x:c>
    </x:row>
    <x:row r="1965" ht="96" customHeight="1">
      <x:c r="A1965" s="115" t="str">
        <x:v>EXT-MONDE-T040-V10</x:v>
      </x:c>
      <x:c r="B1965" s="115" t="str">
        <x:v>EXT-MONDE-T040</x:v>
      </x:c>
      <x:c r="C1965" s="115" t="str">
        <x:v>Égouts</x:v>
      </x:c>
      <x:c r="D1965" s="115" t="str">
        <x:v>Station souterraine de relevage</x:v>
      </x:c>
      <x:c r="E1965" s="115" t="n">
        <x:v>10</x:v>
      </x:c>
      <x:c r="F1965" s="115" t="str">
        <x:v>Inspection physique</x:v>
      </x:c>
      <x:c r="G1965" s="115" t="str">
        <x:v>4 niveaux ; 26 pièces ; 240 segments de mur ; 6 transitions. Inspection physique ; architecture complète encore ouverte.</x:v>
      </x:c>
      <x:c r="H1965" s="115" t="str">
        <x:v>L 198 ; l 206,3 ; hauteur 3 m ; choix de composition auteur ; dimensions réelles à documenter</x:v>
      </x:c>
      <x:c r="I1965" s="115" t="str">
        <x:v>À équilibrer</x:v>
      </x:c>
      <x:c r="J1965" s="115" t="str">
        <x:v>Non</x:v>
      </x:c>
      <x:c r="K1965" s="115" t="str">
        <x:v>Pièces décrites, murs, portes, niveaux et mobilier inspectables à l’échelle. Volumes réservés, raccord au seed, butin, rencontres et services de campagne restent à terminer.</x:v>
      </x:c>
    </x:row>
    <x:row r="1966" ht="96" customHeight="1">
      <x:c r="A1966" s="115" t="str">
        <x:v>EXT-MONDE-T040-V11</x:v>
      </x:c>
      <x:c r="B1966" s="115" t="str">
        <x:v>EXT-MONDE-T040</x:v>
      </x:c>
      <x:c r="C1966" s="115" t="str">
        <x:v>Égouts</x:v>
      </x:c>
      <x:c r="D1966" s="115" t="str">
        <x:v>Station souterraine de relevage</x:v>
      </x:c>
      <x:c r="E1966" s="115" t="n">
        <x:v>11</x:v>
      </x:c>
      <x:c r="F1966" s="115" t="str">
        <x:v>Inspection physique</x:v>
      </x:c>
      <x:c r="G1966" s="115" t="str">
        <x:v>4 niveaux ; 26 pièces ; 240 segments de mur ; 6 transitions. Inspection physique ; architecture complète encore ouverte.</x:v>
      </x:c>
      <x:c r="H1966" s="115" t="str">
        <x:v>L 190 ; l 212 ; hauteur 3 m ; choix de composition auteur ; dimensions réelles à documenter</x:v>
      </x:c>
      <x:c r="I1966" s="115" t="str">
        <x:v>À équilibrer</x:v>
      </x:c>
      <x:c r="J1966" s="115" t="str">
        <x:v>Non</x:v>
      </x:c>
      <x:c r="K1966" s="115" t="str">
        <x:v>Pièces décrites, murs, portes, niveaux et mobilier inspectables à l’échelle. Volumes réservés, raccord au seed, butin, rencontres et services de campagne restent à terminer.</x:v>
      </x:c>
    </x:row>
    <x:row r="1967" ht="96" customHeight="1">
      <x:c r="A1967" s="115" t="str">
        <x:v>EXT-MONDE-T040-V12</x:v>
      </x:c>
      <x:c r="B1967" s="115" t="str">
        <x:v>EXT-MONDE-T040</x:v>
      </x:c>
      <x:c r="C1967" s="115" t="str">
        <x:v>Égouts</x:v>
      </x:c>
      <x:c r="D1967" s="115" t="str">
        <x:v>Station souterraine de relevage</x:v>
      </x:c>
      <x:c r="E1967" s="115" t="n">
        <x:v>12</x:v>
      </x:c>
      <x:c r="F1967" s="115" t="str">
        <x:v>Inspection physique</x:v>
      </x:c>
      <x:c r="G1967" s="115" t="str">
        <x:v>4 niveaux ; 26 pièces ; 240 segments de mur ; 6 transitions. Inspection physique ; architecture complète encore ouverte.</x:v>
      </x:c>
      <x:c r="H1967" s="115" t="str">
        <x:v>L 192 ; l 212,7 ; hauteur 3 m ; choix de composition auteur ; dimensions réelles à documenter</x:v>
      </x:c>
      <x:c r="I1967" s="115" t="str">
        <x:v>À équilibrer</x:v>
      </x:c>
      <x:c r="J1967" s="115" t="str">
        <x:v>Non</x:v>
      </x:c>
      <x:c r="K1967" s="115" t="str">
        <x:v>Pièces décrites, murs, portes, niveaux et mobilier inspectables à l’échelle. Volumes réservés, raccord au seed, butin, rencontres et services de campagne restent à terminer.</x:v>
      </x:c>
    </x:row>
    <x:row r="1968" ht="96" customHeight="1">
      <x:c r="A1968" s="115" t="str">
        <x:v>EXT-MONDE-T040-V13</x:v>
      </x:c>
      <x:c r="B1968" s="115" t="str">
        <x:v>EXT-MONDE-T040</x:v>
      </x:c>
      <x:c r="C1968" s="115" t="str">
        <x:v>Égouts</x:v>
      </x:c>
      <x:c r="D1968" s="115" t="str">
        <x:v>Station souterraine de relevage</x:v>
      </x:c>
      <x:c r="E1968" s="115" t="n">
        <x:v>13</x:v>
      </x:c>
      <x:c r="F1968" s="115" t="str">
        <x:v>Inspection physique</x:v>
      </x:c>
      <x:c r="G1968" s="115" t="str">
        <x:v>4 niveaux ; 26 pièces ; 240 segments de mur ; 6 transitions. Inspection physique ; architecture complète encore ouverte.</x:v>
      </x:c>
      <x:c r="H1968" s="115" t="str">
        <x:v>L 194 ; l 213,4 ; hauteur 3 m ; choix de composition auteur ; dimensions réelles à documenter</x:v>
      </x:c>
      <x:c r="I1968" s="115" t="str">
        <x:v>À équilibrer</x:v>
      </x:c>
      <x:c r="J1968" s="115" t="str">
        <x:v>Non</x:v>
      </x:c>
      <x:c r="K1968" s="115" t="str">
        <x:v>Pièces décrites, murs, portes, niveaux et mobilier inspectables à l’échelle. Volumes réservés, raccord au seed, butin, rencontres et services de campagne restent à terminer.</x:v>
      </x:c>
    </x:row>
    <x:row r="1969" ht="96" customHeight="1">
      <x:c r="A1969" s="115" t="str">
        <x:v>EXT-MONDE-T040-V14</x:v>
      </x:c>
      <x:c r="B1969" s="115" t="str">
        <x:v>EXT-MONDE-T040</x:v>
      </x:c>
      <x:c r="C1969" s="115" t="str">
        <x:v>Égouts</x:v>
      </x:c>
      <x:c r="D1969" s="115" t="str">
        <x:v>Station souterraine de relevage</x:v>
      </x:c>
      <x:c r="E1969" s="115" t="n">
        <x:v>14</x:v>
      </x:c>
      <x:c r="F1969" s="115" t="str">
        <x:v>Inspection physique</x:v>
      </x:c>
      <x:c r="G1969" s="115" t="str">
        <x:v>4 niveaux ; 26 pièces ; 240 segments de mur ; 6 transitions. Inspection physique ; architecture complète encore ouverte.</x:v>
      </x:c>
      <x:c r="H1969" s="115" t="str">
        <x:v>L 196 ; l 214,1 ; hauteur 3 m ; choix de composition auteur ; dimensions réelles à documenter</x:v>
      </x:c>
      <x:c r="I1969" s="115" t="str">
        <x:v>À équilibrer</x:v>
      </x:c>
      <x:c r="J1969" s="115" t="str">
        <x:v>Non</x:v>
      </x:c>
      <x:c r="K1969" s="115" t="str">
        <x:v>Pièces décrites, murs, portes, niveaux et mobilier inspectables à l’échelle. Volumes réservés, raccord au seed, butin, rencontres et services de campagne restent à terminer.</x:v>
      </x:c>
    </x:row>
    <x:row r="1970" ht="96" customHeight="1">
      <x:c r="A1970" s="115" t="str">
        <x:v>EXT-MONDE-T040-V15</x:v>
      </x:c>
      <x:c r="B1970" s="115" t="str">
        <x:v>EXT-MONDE-T040</x:v>
      </x:c>
      <x:c r="C1970" s="115" t="str">
        <x:v>Égouts</x:v>
      </x:c>
      <x:c r="D1970" s="115" t="str">
        <x:v>Station souterraine de relevage</x:v>
      </x:c>
      <x:c r="E1970" s="115" t="n">
        <x:v>15</x:v>
      </x:c>
      <x:c r="F1970" s="115" t="str">
        <x:v>Inspection physique</x:v>
      </x:c>
      <x:c r="G1970" s="115" t="str">
        <x:v>4 niveaux ; 26 pièces ; 240 segments de mur ; 6 transitions. Inspection physique ; architecture complète encore ouverte.</x:v>
      </x:c>
      <x:c r="H1970" s="115" t="str">
        <x:v>L 198 ; l 214,8 ; hauteur 3 m ; choix de composition auteur ; dimensions réelles à documenter</x:v>
      </x:c>
      <x:c r="I1970" s="115" t="str">
        <x:v>À équilibrer</x:v>
      </x:c>
      <x:c r="J1970" s="115" t="str">
        <x:v>Non</x:v>
      </x:c>
      <x:c r="K1970" s="115" t="str">
        <x:v>Pièces décrites, murs, portes, niveaux et mobilier inspectables à l’échelle. Volumes réservés, raccord au seed, butin, rencontres et services de campagne restent à terminer.</x:v>
      </x:c>
    </x:row>
    <x:row r="1971" ht="96" customHeight="1">
      <x:c r="A1971" s="115" t="str">
        <x:v>EXT-MONDE-T040-V16</x:v>
      </x:c>
      <x:c r="B1971" s="115" t="str">
        <x:v>EXT-MONDE-T040</x:v>
      </x:c>
      <x:c r="C1971" s="115" t="str">
        <x:v>Égouts</x:v>
      </x:c>
      <x:c r="D1971" s="115" t="str">
        <x:v>Station souterraine de relevage</x:v>
      </x:c>
      <x:c r="E1971" s="115" t="n">
        <x:v>16</x:v>
      </x:c>
      <x:c r="F1971" s="115" t="str">
        <x:v>Inspection physique</x:v>
      </x:c>
      <x:c r="G1971" s="115" t="str">
        <x:v>4 niveaux ; 26 pièces ; 240 segments de mur ; 6 transitions. Inspection physique ; architecture complète encore ouverte.</x:v>
      </x:c>
      <x:c r="H1971" s="115" t="str">
        <x:v>L 200 ; l 215,5 ; hauteur 3 m ; choix de composition auteur ; dimensions réelles à documenter</x:v>
      </x:c>
      <x:c r="I1971" s="115" t="str">
        <x:v>À équilibrer</x:v>
      </x:c>
      <x:c r="J1971" s="115" t="str">
        <x:v>Non</x:v>
      </x:c>
      <x:c r="K1971" s="115" t="str">
        <x:v>Pièces décrites, murs, portes, niveaux et mobilier inspectables à l’échelle. Volumes réservés, raccord au seed, butin, rencontres et services de campagne restent à terminer.</x:v>
      </x:c>
    </x:row>
    <x:row r="1972" ht="96" customHeight="1">
      <x:c r="A1972" s="115" t="str">
        <x:v>EXT-MONDE-T040-V17</x:v>
      </x:c>
      <x:c r="B1972" s="115" t="str">
        <x:v>EXT-MONDE-T040</x:v>
      </x:c>
      <x:c r="C1972" s="115" t="str">
        <x:v>Égouts</x:v>
      </x:c>
      <x:c r="D1972" s="115" t="str">
        <x:v>Station souterraine de relevage</x:v>
      </x:c>
      <x:c r="E1972" s="115" t="n">
        <x:v>17</x:v>
      </x:c>
      <x:c r="F1972" s="115" t="str">
        <x:v>Inspection physique</x:v>
      </x:c>
      <x:c r="G1972" s="115" t="str">
        <x:v>4 niveaux ; 26 pièces ; 240 segments de mur ; 6 transitions. Inspection physique ; architecture complète encore ouverte.</x:v>
      </x:c>
      <x:c r="H1972" s="115" t="str">
        <x:v>L 202 ; l 216,2 ; hauteur 3 m ; choix de composition auteur ; dimensions réelles à documenter</x:v>
      </x:c>
      <x:c r="I1972" s="115" t="str">
        <x:v>À équilibrer</x:v>
      </x:c>
      <x:c r="J1972" s="115" t="str">
        <x:v>Non</x:v>
      </x:c>
      <x:c r="K1972" s="115" t="str">
        <x:v>Pièces décrites, murs, portes, niveaux et mobilier inspectables à l’échelle. Volumes réservés, raccord au seed, butin, rencontres et services de campagne restent à terminer.</x:v>
      </x:c>
    </x:row>
    <x:row r="1973" ht="96" customHeight="1">
      <x:c r="A1973" s="115" t="str">
        <x:v>EXT-MONDE-T040-V18</x:v>
      </x:c>
      <x:c r="B1973" s="115" t="str">
        <x:v>EXT-MONDE-T040</x:v>
      </x:c>
      <x:c r="C1973" s="115" t="str">
        <x:v>Égouts</x:v>
      </x:c>
      <x:c r="D1973" s="115" t="str">
        <x:v>Station souterraine de relevage</x:v>
      </x:c>
      <x:c r="E1973" s="115" t="n">
        <x:v>18</x:v>
      </x:c>
      <x:c r="F1973" s="115" t="str">
        <x:v>Inspection physique</x:v>
      </x:c>
      <x:c r="G1973" s="115" t="str">
        <x:v>4 niveaux ; 26 pièces ; 240 segments de mur ; 6 transitions. Inspection physique ; architecture complète encore ouverte.</x:v>
      </x:c>
      <x:c r="H1973" s="115" t="str">
        <x:v>L 204 ; l 216,9 ; hauteur 3 m ; choix de composition auteur ; dimensions réelles à documenter</x:v>
      </x:c>
      <x:c r="I1973" s="115" t="str">
        <x:v>À équilibrer</x:v>
      </x:c>
      <x:c r="J1973" s="115" t="str">
        <x:v>Non</x:v>
      </x:c>
      <x:c r="K1973" s="115" t="str">
        <x:v>Pièces décrites, murs, portes, niveaux et mobilier inspectables à l’échelle. Volumes réservés, raccord au seed, butin, rencontres et services de campagne restent à terminer.</x:v>
      </x:c>
    </x:row>
    <x:row r="1974" ht="96" customHeight="1">
      <x:c r="A1974" s="115" t="str">
        <x:v>EXT-MONDE-T040-V19</x:v>
      </x:c>
      <x:c r="B1974" s="115" t="str">
        <x:v>EXT-MONDE-T040</x:v>
      </x:c>
      <x:c r="C1974" s="115" t="str">
        <x:v>Égouts</x:v>
      </x:c>
      <x:c r="D1974" s="115" t="str">
        <x:v>Station souterraine de relevage</x:v>
      </x:c>
      <x:c r="E1974" s="115" t="n">
        <x:v>19</x:v>
      </x:c>
      <x:c r="F1974" s="115" t="str">
        <x:v>Inspection physique</x:v>
      </x:c>
      <x:c r="G1974" s="115" t="str">
        <x:v>4 niveaux ; 26 pièces ; 240 segments de mur ; 6 transitions. Inspection physique ; architecture complète encore ouverte.</x:v>
      </x:c>
      <x:c r="H1974" s="115" t="str">
        <x:v>L 206 ; l 217,6 ; hauteur 3 m ; choix de composition auteur ; dimensions réelles à documenter</x:v>
      </x:c>
      <x:c r="I1974" s="115" t="str">
        <x:v>À équilibrer</x:v>
      </x:c>
      <x:c r="J1974" s="115" t="str">
        <x:v>Non</x:v>
      </x:c>
      <x:c r="K1974" s="115" t="str">
        <x:v>Pièces décrites, murs, portes, niveaux et mobilier inspectables à l’échelle. Volumes réservés, raccord au seed, butin, rencontres et services de campagne restent à terminer.</x:v>
      </x:c>
    </x:row>
    <x:row r="1975" ht="96" customHeight="1">
      <x:c r="A1975" s="115" t="str">
        <x:v>EXT-MONDE-T040-V20</x:v>
      </x:c>
      <x:c r="B1975" s="115" t="str">
        <x:v>EXT-MONDE-T040</x:v>
      </x:c>
      <x:c r="C1975" s="115" t="str">
        <x:v>Égouts</x:v>
      </x:c>
      <x:c r="D1975" s="115" t="str">
        <x:v>Station souterraine de relevage</x:v>
      </x:c>
      <x:c r="E1975" s="115" t="n">
        <x:v>20</x:v>
      </x:c>
      <x:c r="F1975" s="115" t="str">
        <x:v>Inspection physique</x:v>
      </x:c>
      <x:c r="G1975" s="115" t="str">
        <x:v>4 niveaux ; 26 pièces ; 240 segments de mur ; 6 transitions. Inspection physique ; architecture complète encore ouverte.</x:v>
      </x:c>
      <x:c r="H1975" s="115" t="str">
        <x:v>L 208 ; l 218,3 ; hauteur 3 m ; choix de composition auteur ; dimensions réelles à documenter</x:v>
      </x:c>
      <x:c r="I1975" s="115" t="str">
        <x:v>À équilibrer</x:v>
      </x:c>
      <x:c r="J1975" s="115" t="str">
        <x:v>Non</x:v>
      </x:c>
      <x:c r="K1975" s="115" t="str">
        <x:v>Pièces décrites, murs, portes, niveaux et mobilier inspectables à l’échelle. Volumes réservés, raccord au seed, butin, rencontres et services de campagne restent à terminer.</x:v>
      </x:c>
    </x:row>
    <x:row r="1976" ht="96" customHeight="1">
      <x:c r="A1976" s="115" t="str">
        <x:v>EXT-MONDE-T040-V21</x:v>
      </x:c>
      <x:c r="B1976" s="115" t="str">
        <x:v>EXT-MONDE-T040</x:v>
      </x:c>
      <x:c r="C1976" s="115" t="str">
        <x:v>Égouts</x:v>
      </x:c>
      <x:c r="D1976" s="115" t="str">
        <x:v>Station souterraine de relevage</x:v>
      </x:c>
      <x:c r="E1976" s="115" t="n">
        <x:v>21</x:v>
      </x:c>
      <x:c r="F1976" s="115" t="str">
        <x:v>Inspection physique</x:v>
      </x:c>
      <x:c r="G1976" s="115" t="str">
        <x:v>4 niveaux ; 26 pièces ; 240 segments de mur ; 6 transitions. Inspection physique ; architecture complète encore ouverte.</x:v>
      </x:c>
      <x:c r="H1976" s="115" t="str">
        <x:v>L 200 ; l 224 ; hauteur 3 m ; choix de composition auteur ; dimensions réelles à documenter</x:v>
      </x:c>
      <x:c r="I1976" s="115" t="str">
        <x:v>À équilibrer</x:v>
      </x:c>
      <x:c r="J1976" s="115" t="str">
        <x:v>Non</x:v>
      </x:c>
      <x:c r="K1976" s="115" t="str">
        <x:v>Pièces décrites, murs, portes, niveaux et mobilier inspectables à l’échelle. Volumes réservés, raccord au seed, butin, rencontres et services de campagne restent à terminer.</x:v>
      </x:c>
    </x:row>
    <x:row r="1977" ht="96" customHeight="1">
      <x:c r="A1977" s="115" t="str">
        <x:v>EXT-MONDE-T040-V22</x:v>
      </x:c>
      <x:c r="B1977" s="115" t="str">
        <x:v>EXT-MONDE-T040</x:v>
      </x:c>
      <x:c r="C1977" s="115" t="str">
        <x:v>Égouts</x:v>
      </x:c>
      <x:c r="D1977" s="115" t="str">
        <x:v>Station souterraine de relevage</x:v>
      </x:c>
      <x:c r="E1977" s="115" t="n">
        <x:v>22</x:v>
      </x:c>
      <x:c r="F1977" s="115" t="str">
        <x:v>Inspection physique</x:v>
      </x:c>
      <x:c r="G1977" s="115" t="str">
        <x:v>4 niveaux ; 26 pièces ; 240 segments de mur ; 6 transitions. Inspection physique ; architecture complète encore ouverte.</x:v>
      </x:c>
      <x:c r="H1977" s="115" t="str">
        <x:v>L 202 ; l 224,7 ; hauteur 3 m ; choix de composition auteur ; dimensions réelles à documenter</x:v>
      </x:c>
      <x:c r="I1977" s="115" t="str">
        <x:v>À équilibrer</x:v>
      </x:c>
      <x:c r="J1977" s="115" t="str">
        <x:v>Non</x:v>
      </x:c>
      <x:c r="K1977" s="115" t="str">
        <x:v>Pièces décrites, murs, portes, niveaux et mobilier inspectables à l’échelle. Volumes réservés, raccord au seed, butin, rencontres et services de campagne restent à terminer.</x:v>
      </x:c>
    </x:row>
    <x:row r="1978" ht="96" customHeight="1">
      <x:c r="A1978" s="115" t="str">
        <x:v>EXT-MONDE-T040-V23</x:v>
      </x:c>
      <x:c r="B1978" s="115" t="str">
        <x:v>EXT-MONDE-T040</x:v>
      </x:c>
      <x:c r="C1978" s="115" t="str">
        <x:v>Égouts</x:v>
      </x:c>
      <x:c r="D1978" s="115" t="str">
        <x:v>Station souterraine de relevage</x:v>
      </x:c>
      <x:c r="E1978" s="115" t="n">
        <x:v>23</x:v>
      </x:c>
      <x:c r="F1978" s="115" t="str">
        <x:v>Inspection physique</x:v>
      </x:c>
      <x:c r="G1978" s="115" t="str">
        <x:v>4 niveaux ; 26 pièces ; 240 segments de mur ; 6 transitions. Inspection physique ; architecture complète encore ouverte.</x:v>
      </x:c>
      <x:c r="H1978" s="115" t="str">
        <x:v>L 204 ; l 225,4 ; hauteur 3 m ; choix de composition auteur ; dimensions réelles à documenter</x:v>
      </x:c>
      <x:c r="I1978" s="115" t="str">
        <x:v>À équilibrer</x:v>
      </x:c>
      <x:c r="J1978" s="115" t="str">
        <x:v>Non</x:v>
      </x:c>
      <x:c r="K1978" s="115" t="str">
        <x:v>Pièces décrites, murs, portes, niveaux et mobilier inspectables à l’échelle. Volumes réservés, raccord au seed, butin, rencontres et services de campagne restent à terminer.</x:v>
      </x:c>
    </x:row>
    <x:row r="1979" ht="96" customHeight="1">
      <x:c r="A1979" s="115" t="str">
        <x:v>EXT-MONDE-T040-V24</x:v>
      </x:c>
      <x:c r="B1979" s="115" t="str">
        <x:v>EXT-MONDE-T040</x:v>
      </x:c>
      <x:c r="C1979" s="115" t="str">
        <x:v>Égouts</x:v>
      </x:c>
      <x:c r="D1979" s="115" t="str">
        <x:v>Station souterraine de relevage</x:v>
      </x:c>
      <x:c r="E1979" s="115" t="n">
        <x:v>24</x:v>
      </x:c>
      <x:c r="F1979" s="115" t="str">
        <x:v>Inspection physique</x:v>
      </x:c>
      <x:c r="G1979" s="115" t="str">
        <x:v>4 niveaux ; 26 pièces ; 240 segments de mur ; 6 transitions. Inspection physique ; architecture complète encore ouverte.</x:v>
      </x:c>
      <x:c r="H1979" s="115" t="str">
        <x:v>L 206 ; l 226,1 ; hauteur 3 m ; choix de composition auteur ; dimensions réelles à documenter</x:v>
      </x:c>
      <x:c r="I1979" s="115" t="str">
        <x:v>À équilibrer</x:v>
      </x:c>
      <x:c r="J1979" s="115" t="str">
        <x:v>Non</x:v>
      </x:c>
      <x:c r="K1979" s="115" t="str">
        <x:v>Pièces décrites, murs, portes, niveaux et mobilier inspectables à l’échelle. Volumes réservés, raccord au seed, butin, rencontres et services de campagne restent à terminer.</x:v>
      </x:c>
    </x:row>
    <x:row r="1980" ht="96" customHeight="1">
      <x:c r="A1980" s="115" t="str">
        <x:v>EXT-MONDE-T040-V25</x:v>
      </x:c>
      <x:c r="B1980" s="115" t="str">
        <x:v>EXT-MONDE-T040</x:v>
      </x:c>
      <x:c r="C1980" s="115" t="str">
        <x:v>Égouts</x:v>
      </x:c>
      <x:c r="D1980" s="115" t="str">
        <x:v>Station souterraine de relevage</x:v>
      </x:c>
      <x:c r="E1980" s="115" t="n">
        <x:v>25</x:v>
      </x:c>
      <x:c r="F1980" s="115" t="str">
        <x:v>Inspection physique</x:v>
      </x:c>
      <x:c r="G1980" s="115" t="str">
        <x:v>4 niveaux ; 26 pièces ; 240 segments de mur ; 6 transitions. Inspection physique ; architecture complète encore ouverte.</x:v>
      </x:c>
      <x:c r="H1980" s="115" t="str">
        <x:v>L 208 ; l 226,8 ; hauteur 3 m ; choix de composition auteur ; dimensions réelles à documenter</x:v>
      </x:c>
      <x:c r="I1980" s="115" t="str">
        <x:v>À équilibrer</x:v>
      </x:c>
      <x:c r="J1980" s="115" t="str">
        <x:v>Non</x:v>
      </x:c>
      <x:c r="K1980" s="115" t="str">
        <x:v>Pièces décrites, murs, portes, niveaux et mobilier inspectables à l’échelle. Volumes réservés, raccord au seed, butin, rencontres et services de campagne restent à terminer.</x:v>
      </x:c>
    </x:row>
    <x:row r="1981" ht="96" customHeight="1">
      <x:c r="A1981" s="115" t="str">
        <x:v>EXT-MONDE-T040-V26</x:v>
      </x:c>
      <x:c r="B1981" s="115" t="str">
        <x:v>EXT-MONDE-T040</x:v>
      </x:c>
      <x:c r="C1981" s="115" t="str">
        <x:v>Égouts</x:v>
      </x:c>
      <x:c r="D1981" s="115" t="str">
        <x:v>Station souterraine de relevage</x:v>
      </x:c>
      <x:c r="E1981" s="115" t="n">
        <x:v>26</x:v>
      </x:c>
      <x:c r="F1981" s="115" t="str">
        <x:v>Inspection physique</x:v>
      </x:c>
      <x:c r="G1981" s="115" t="str">
        <x:v>4 niveaux ; 26 pièces ; 240 segments de mur ; 6 transitions. Inspection physique ; architecture complète encore ouverte.</x:v>
      </x:c>
      <x:c r="H1981" s="115" t="str">
        <x:v>L 210 ; l 227,5 ; hauteur 3 m ; choix de composition auteur ; dimensions réelles à documenter</x:v>
      </x:c>
      <x:c r="I1981" s="115" t="str">
        <x:v>À équilibrer</x:v>
      </x:c>
      <x:c r="J1981" s="115" t="str">
        <x:v>Non</x:v>
      </x:c>
      <x:c r="K1981" s="115" t="str">
        <x:v>Pièces décrites, murs, portes, niveaux et mobilier inspectables à l’échelle. Volumes réservés, raccord au seed, butin, rencontres et services de campagne restent à terminer.</x:v>
      </x:c>
    </x:row>
    <x:row r="1982" ht="96" customHeight="1">
      <x:c r="A1982" s="115" t="str">
        <x:v>EXT-MONDE-T040-V27</x:v>
      </x:c>
      <x:c r="B1982" s="115" t="str">
        <x:v>EXT-MONDE-T040</x:v>
      </x:c>
      <x:c r="C1982" s="115" t="str">
        <x:v>Égouts</x:v>
      </x:c>
      <x:c r="D1982" s="115" t="str">
        <x:v>Station souterraine de relevage</x:v>
      </x:c>
      <x:c r="E1982" s="115" t="n">
        <x:v>27</x:v>
      </x:c>
      <x:c r="F1982" s="115" t="str">
        <x:v>Inspection physique</x:v>
      </x:c>
      <x:c r="G1982" s="115" t="str">
        <x:v>4 niveaux ; 26 pièces ; 240 segments de mur ; 6 transitions. Inspection physique ; architecture complète encore ouverte.</x:v>
      </x:c>
      <x:c r="H1982" s="115" t="str">
        <x:v>L 212 ; l 228,2 ; hauteur 3 m ; choix de composition auteur ; dimensions réelles à documenter</x:v>
      </x:c>
      <x:c r="I1982" s="115" t="str">
        <x:v>À équilibrer</x:v>
      </x:c>
      <x:c r="J1982" s="115" t="str">
        <x:v>Non</x:v>
      </x:c>
      <x:c r="K1982" s="115" t="str">
        <x:v>Pièces décrites, murs, portes, niveaux et mobilier inspectables à l’échelle. Volumes réservés, raccord au seed, butin, rencontres et services de campagne restent à terminer.</x:v>
      </x:c>
    </x:row>
    <x:row r="1983" ht="96" customHeight="1">
      <x:c r="A1983" s="115" t="str">
        <x:v>EXT-MONDE-T040-V28</x:v>
      </x:c>
      <x:c r="B1983" s="115" t="str">
        <x:v>EXT-MONDE-T040</x:v>
      </x:c>
      <x:c r="C1983" s="115" t="str">
        <x:v>Égouts</x:v>
      </x:c>
      <x:c r="D1983" s="115" t="str">
        <x:v>Station souterraine de relevage</x:v>
      </x:c>
      <x:c r="E1983" s="115" t="n">
        <x:v>28</x:v>
      </x:c>
      <x:c r="F1983" s="115" t="str">
        <x:v>Inspection physique</x:v>
      </x:c>
      <x:c r="G1983" s="115" t="str">
        <x:v>4 niveaux ; 26 pièces ; 240 segments de mur ; 6 transitions. Inspection physique ; architecture complète encore ouverte.</x:v>
      </x:c>
      <x:c r="H1983" s="115" t="str">
        <x:v>L 214 ; l 228,9 ; hauteur 3 m ; choix de composition auteur ; dimensions réelles à documenter</x:v>
      </x:c>
      <x:c r="I1983" s="115" t="str">
        <x:v>À équilibrer</x:v>
      </x:c>
      <x:c r="J1983" s="115" t="str">
        <x:v>Non</x:v>
      </x:c>
      <x:c r="K1983" s="115" t="str">
        <x:v>Pièces décrites, murs, portes, niveaux et mobilier inspectables à l’échelle. Volumes réservés, raccord au seed, butin, rencontres et services de campagne restent à terminer.</x:v>
      </x:c>
    </x:row>
    <x:row r="1984" ht="96" customHeight="1">
      <x:c r="A1984" s="115" t="str">
        <x:v>EXT-MONDE-T040-V29</x:v>
      </x:c>
      <x:c r="B1984" s="115" t="str">
        <x:v>EXT-MONDE-T040</x:v>
      </x:c>
      <x:c r="C1984" s="115" t="str">
        <x:v>Égouts</x:v>
      </x:c>
      <x:c r="D1984" s="115" t="str">
        <x:v>Station souterraine de relevage</x:v>
      </x:c>
      <x:c r="E1984" s="115" t="n">
        <x:v>29</x:v>
      </x:c>
      <x:c r="F1984" s="115" t="str">
        <x:v>Inspection physique</x:v>
      </x:c>
      <x:c r="G1984" s="115" t="str">
        <x:v>4 niveaux ; 26 pièces ; 240 segments de mur ; 6 transitions. Inspection physique ; architecture complète encore ouverte.</x:v>
      </x:c>
      <x:c r="H1984" s="115" t="str">
        <x:v>L 216 ; l 229,6 ; hauteur 3 m ; choix de composition auteur ; dimensions réelles à documenter</x:v>
      </x:c>
      <x:c r="I1984" s="115" t="str">
        <x:v>À équilibrer</x:v>
      </x:c>
      <x:c r="J1984" s="115" t="str">
        <x:v>Non</x:v>
      </x:c>
      <x:c r="K1984" s="115" t="str">
        <x:v>Pièces décrites, murs, portes, niveaux et mobilier inspectables à l’échelle. Volumes réservés, raccord au seed, butin, rencontres et services de campagne restent à terminer.</x:v>
      </x:c>
    </x:row>
    <x:row r="1985" ht="96" customHeight="1">
      <x:c r="A1985" s="115" t="str">
        <x:v>EXT-MONDE-T040-V30</x:v>
      </x:c>
      <x:c r="B1985" s="115" t="str">
        <x:v>EXT-MONDE-T040</x:v>
      </x:c>
      <x:c r="C1985" s="115" t="str">
        <x:v>Égouts</x:v>
      </x:c>
      <x:c r="D1985" s="115" t="str">
        <x:v>Station souterraine de relevage</x:v>
      </x:c>
      <x:c r="E1985" s="115" t="n">
        <x:v>30</x:v>
      </x:c>
      <x:c r="F1985" s="115" t="str">
        <x:v>Inspection physique</x:v>
      </x:c>
      <x:c r="G1985" s="115" t="str">
        <x:v>4 niveaux ; 26 pièces ; 240 segments de mur ; 6 transitions. Inspection physique ; architecture complète encore ouverte.</x:v>
      </x:c>
      <x:c r="H1985" s="115" t="str">
        <x:v>L 218 ; l 230,3 ; hauteur 3 m ; choix de composition auteur ; dimensions réelles à documenter</x:v>
      </x:c>
      <x:c r="I1985" s="115" t="str">
        <x:v>À équilibrer</x:v>
      </x:c>
      <x:c r="J1985" s="115" t="str">
        <x:v>Non</x:v>
      </x:c>
      <x:c r="K1985" s="115" t="str">
        <x:v>Pièces décrites, murs, portes, niveaux et mobilier inspectables à l’échelle. Volumes réservés, raccord au seed, butin, rencontres et services de campagne restent à terminer.</x:v>
      </x:c>
    </x:row>
    <x:row r="1986" ht="96" customHeight="1">
      <x:c r="A1986" s="115" t="str">
        <x:v>EXT-MONDE-T040-V31</x:v>
      </x:c>
      <x:c r="B1986" s="115" t="str">
        <x:v>EXT-MONDE-T040</x:v>
      </x:c>
      <x:c r="C1986" s="115" t="str">
        <x:v>Égouts</x:v>
      </x:c>
      <x:c r="D1986" s="115" t="str">
        <x:v>Station souterraine de relevage</x:v>
      </x:c>
      <x:c r="E1986" s="115" t="n">
        <x:v>31</x:v>
      </x:c>
      <x:c r="F1986" s="115" t="str">
        <x:v>Inspection physique</x:v>
      </x:c>
      <x:c r="G1986" s="115" t="str">
        <x:v>4 niveaux ; 26 pièces ; 240 segments de mur ; 6 transitions. Inspection physique ; architecture complète encore ouverte.</x:v>
      </x:c>
      <x:c r="H1986" s="115" t="str">
        <x:v>L 210 ; l 236 ; hauteur 3 m ; choix de composition auteur ; dimensions réelles à documenter</x:v>
      </x:c>
      <x:c r="I1986" s="115" t="str">
        <x:v>À équilibrer</x:v>
      </x:c>
      <x:c r="J1986" s="115" t="str">
        <x:v>Non</x:v>
      </x:c>
      <x:c r="K1986" s="115" t="str">
        <x:v>Pièces décrites, murs, portes, niveaux et mobilier inspectables à l’échelle. Volumes réservés, raccord au seed, butin, rencontres et services de campagne restent à terminer.</x:v>
      </x:c>
    </x:row>
    <x:row r="1987" ht="96" customHeight="1">
      <x:c r="A1987" s="115" t="str">
        <x:v>EXT-MONDE-T040-V32</x:v>
      </x:c>
      <x:c r="B1987" s="115" t="str">
        <x:v>EXT-MONDE-T040</x:v>
      </x:c>
      <x:c r="C1987" s="115" t="str">
        <x:v>Égouts</x:v>
      </x:c>
      <x:c r="D1987" s="115" t="str">
        <x:v>Station souterraine de relevage</x:v>
      </x:c>
      <x:c r="E1987" s="115" t="n">
        <x:v>32</x:v>
      </x:c>
      <x:c r="F1987" s="115" t="str">
        <x:v>Inspection physique</x:v>
      </x:c>
      <x:c r="G1987" s="115" t="str">
        <x:v>4 niveaux ; 26 pièces ; 240 segments de mur ; 6 transitions. Inspection physique ; architecture complète encore ouverte.</x:v>
      </x:c>
      <x:c r="H1987" s="115" t="str">
        <x:v>L 212 ; l 236,7 ; hauteur 3 m ; choix de composition auteur ; dimensions réelles à documenter</x:v>
      </x:c>
      <x:c r="I1987" s="115" t="str">
        <x:v>À équilibrer</x:v>
      </x:c>
      <x:c r="J1987" s="115" t="str">
        <x:v>Non</x:v>
      </x:c>
      <x:c r="K1987" s="115" t="str">
        <x:v>Pièces décrites, murs, portes, niveaux et mobilier inspectables à l’échelle. Volumes réservés, raccord au seed, butin, rencontres et services de campagne restent à terminer.</x:v>
      </x:c>
    </x:row>
    <x:row r="1988" ht="96" customHeight="1">
      <x:c r="A1988" s="115" t="str">
        <x:v>EXT-MONDE-T040-V33</x:v>
      </x:c>
      <x:c r="B1988" s="115" t="str">
        <x:v>EXT-MONDE-T040</x:v>
      </x:c>
      <x:c r="C1988" s="115" t="str">
        <x:v>Égouts</x:v>
      </x:c>
      <x:c r="D1988" s="115" t="str">
        <x:v>Station souterraine de relevage</x:v>
      </x:c>
      <x:c r="E1988" s="115" t="n">
        <x:v>33</x:v>
      </x:c>
      <x:c r="F1988" s="115" t="str">
        <x:v>Inspection physique</x:v>
      </x:c>
      <x:c r="G1988" s="115" t="str">
        <x:v>4 niveaux ; 26 pièces ; 240 segments de mur ; 6 transitions. Inspection physique ; architecture complète encore ouverte.</x:v>
      </x:c>
      <x:c r="H1988" s="115" t="str">
        <x:v>L 214 ; l 237,4 ; hauteur 3 m ; choix de composition auteur ; dimensions réelles à documenter</x:v>
      </x:c>
      <x:c r="I1988" s="115" t="str">
        <x:v>À équilibrer</x:v>
      </x:c>
      <x:c r="J1988" s="115" t="str">
        <x:v>Non</x:v>
      </x:c>
      <x:c r="K1988" s="115" t="str">
        <x:v>Pièces décrites, murs, portes, niveaux et mobilier inspectables à l’échelle. Volumes réservés, raccord au seed, butin, rencontres et services de campagne restent à terminer.</x:v>
      </x:c>
    </x:row>
    <x:row r="1989" ht="96" customHeight="1">
      <x:c r="A1989" s="115" t="str">
        <x:v>EXT-MONDE-T040-V34</x:v>
      </x:c>
      <x:c r="B1989" s="115" t="str">
        <x:v>EXT-MONDE-T040</x:v>
      </x:c>
      <x:c r="C1989" s="115" t="str">
        <x:v>Égouts</x:v>
      </x:c>
      <x:c r="D1989" s="115" t="str">
        <x:v>Station souterraine de relevage</x:v>
      </x:c>
      <x:c r="E1989" s="115" t="n">
        <x:v>34</x:v>
      </x:c>
      <x:c r="F1989" s="115" t="str">
        <x:v>Inspection physique</x:v>
      </x:c>
      <x:c r="G1989" s="115" t="str">
        <x:v>4 niveaux ; 26 pièces ; 240 segments de mur ; 6 transitions. Inspection physique ; architecture complète encore ouverte.</x:v>
      </x:c>
      <x:c r="H1989" s="115" t="str">
        <x:v>L 216 ; l 238,1 ; hauteur 3 m ; choix de composition auteur ; dimensions réelles à documenter</x:v>
      </x:c>
      <x:c r="I1989" s="115" t="str">
        <x:v>À équilibrer</x:v>
      </x:c>
      <x:c r="J1989" s="115" t="str">
        <x:v>Non</x:v>
      </x:c>
      <x:c r="K1989" s="115" t="str">
        <x:v>Pièces décrites, murs, portes, niveaux et mobilier inspectables à l’échelle. Volumes réservés, raccord au seed, butin, rencontres et services de campagne restent à terminer.</x:v>
      </x:c>
    </x:row>
    <x:row r="1990" ht="96" customHeight="1">
      <x:c r="A1990" s="115" t="str">
        <x:v>EXT-MONDE-T040-V35</x:v>
      </x:c>
      <x:c r="B1990" s="115" t="str">
        <x:v>EXT-MONDE-T040</x:v>
      </x:c>
      <x:c r="C1990" s="115" t="str">
        <x:v>Égouts</x:v>
      </x:c>
      <x:c r="D1990" s="115" t="str">
        <x:v>Station souterraine de relevage</x:v>
      </x:c>
      <x:c r="E1990" s="115" t="n">
        <x:v>35</x:v>
      </x:c>
      <x:c r="F1990" s="115" t="str">
        <x:v>Inspection physique</x:v>
      </x:c>
      <x:c r="G1990" s="115" t="str">
        <x:v>4 niveaux ; 26 pièces ; 240 segments de mur ; 6 transitions. Inspection physique ; architecture complète encore ouverte.</x:v>
      </x:c>
      <x:c r="H1990" s="115" t="str">
        <x:v>L 218 ; l 238,8 ; hauteur 3 m ; choix de composition auteur ; dimensions réelles à documenter</x:v>
      </x:c>
      <x:c r="I1990" s="115" t="str">
        <x:v>À équilibrer</x:v>
      </x:c>
      <x:c r="J1990" s="115" t="str">
        <x:v>Non</x:v>
      </x:c>
      <x:c r="K1990" s="115" t="str">
        <x:v>Pièces décrites, murs, portes, niveaux et mobilier inspectables à l’échelle. Volumes réservés, raccord au seed, butin, rencontres et services de campagne restent à terminer.</x:v>
      </x:c>
    </x:row>
    <x:row r="1991" ht="96" customHeight="1">
      <x:c r="A1991" s="115" t="str">
        <x:v>EXT-MONDE-T040-V36</x:v>
      </x:c>
      <x:c r="B1991" s="115" t="str">
        <x:v>EXT-MONDE-T040</x:v>
      </x:c>
      <x:c r="C1991" s="115" t="str">
        <x:v>Égouts</x:v>
      </x:c>
      <x:c r="D1991" s="115" t="str">
        <x:v>Station souterraine de relevage</x:v>
      </x:c>
      <x:c r="E1991" s="115" t="n">
        <x:v>36</x:v>
      </x:c>
      <x:c r="F1991" s="115" t="str">
        <x:v>Inspection physique</x:v>
      </x:c>
      <x:c r="G1991" s="115" t="str">
        <x:v>4 niveaux ; 26 pièces ; 240 segments de mur ; 6 transitions. Inspection physique ; architecture complète encore ouverte.</x:v>
      </x:c>
      <x:c r="H1991" s="115" t="str">
        <x:v>L 220 ; l 239,5 ; hauteur 3 m ; choix de composition auteur ; dimensions réelles à documenter</x:v>
      </x:c>
      <x:c r="I1991" s="115" t="str">
        <x:v>À équilibrer</x:v>
      </x:c>
      <x:c r="J1991" s="115" t="str">
        <x:v>Non</x:v>
      </x:c>
      <x:c r="K1991" s="115" t="str">
        <x:v>Pièces décrites, murs, portes, niveaux et mobilier inspectables à l’échelle. Volumes réservés, raccord au seed, butin, rencontres et services de campagne restent à terminer.</x:v>
      </x:c>
    </x:row>
    <x:row r="1992" ht="96" customHeight="1">
      <x:c r="A1992" s="115" t="str">
        <x:v>EXT-MONDE-T040-V37</x:v>
      </x:c>
      <x:c r="B1992" s="115" t="str">
        <x:v>EXT-MONDE-T040</x:v>
      </x:c>
      <x:c r="C1992" s="115" t="str">
        <x:v>Égouts</x:v>
      </x:c>
      <x:c r="D1992" s="115" t="str">
        <x:v>Station souterraine de relevage</x:v>
      </x:c>
      <x:c r="E1992" s="115" t="n">
        <x:v>37</x:v>
      </x:c>
      <x:c r="F1992" s="115" t="str">
        <x:v>Inspection physique</x:v>
      </x:c>
      <x:c r="G1992" s="115" t="str">
        <x:v>4 niveaux ; 26 pièces ; 240 segments de mur ; 6 transitions. Inspection physique ; architecture complète encore ouverte.</x:v>
      </x:c>
      <x:c r="H1992" s="115" t="str">
        <x:v>L 222 ; l 240,2 ; hauteur 3 m ; choix de composition auteur ; dimensions réelles à documenter</x:v>
      </x:c>
      <x:c r="I1992" s="115" t="str">
        <x:v>À équilibrer</x:v>
      </x:c>
      <x:c r="J1992" s="115" t="str">
        <x:v>Non</x:v>
      </x:c>
      <x:c r="K1992" s="115" t="str">
        <x:v>Pièces décrites, murs, portes, niveaux et mobilier inspectables à l’échelle. Volumes réservés, raccord au seed, butin, rencontres et services de campagne restent à terminer.</x:v>
      </x:c>
    </x:row>
    <x:row r="1993" ht="96" customHeight="1">
      <x:c r="A1993" s="115" t="str">
        <x:v>EXT-MONDE-T040-V38</x:v>
      </x:c>
      <x:c r="B1993" s="115" t="str">
        <x:v>EXT-MONDE-T040</x:v>
      </x:c>
      <x:c r="C1993" s="115" t="str">
        <x:v>Égouts</x:v>
      </x:c>
      <x:c r="D1993" s="115" t="str">
        <x:v>Station souterraine de relevage</x:v>
      </x:c>
      <x:c r="E1993" s="115" t="n">
        <x:v>38</x:v>
      </x:c>
      <x:c r="F1993" s="115" t="str">
        <x:v>Inspection physique</x:v>
      </x:c>
      <x:c r="G1993" s="115" t="str">
        <x:v>4 niveaux ; 26 pièces ; 240 segments de mur ; 6 transitions. Inspection physique ; architecture complète encore ouverte.</x:v>
      </x:c>
      <x:c r="H1993" s="115" t="str">
        <x:v>L 224 ; l 240,9 ; hauteur 3 m ; choix de composition auteur ; dimensions réelles à documenter</x:v>
      </x:c>
      <x:c r="I1993" s="115" t="str">
        <x:v>À équilibrer</x:v>
      </x:c>
      <x:c r="J1993" s="115" t="str">
        <x:v>Non</x:v>
      </x:c>
      <x:c r="K1993" s="115" t="str">
        <x:v>Pièces décrites, murs, portes, niveaux et mobilier inspectables à l’échelle. Volumes réservés, raccord au seed, butin, rencontres et services de campagne restent à terminer.</x:v>
      </x:c>
    </x:row>
    <x:row r="1994" ht="96" customHeight="1">
      <x:c r="A1994" s="115" t="str">
        <x:v>EXT-MONDE-T040-V39</x:v>
      </x:c>
      <x:c r="B1994" s="115" t="str">
        <x:v>EXT-MONDE-T040</x:v>
      </x:c>
      <x:c r="C1994" s="115" t="str">
        <x:v>Égouts</x:v>
      </x:c>
      <x:c r="D1994" s="115" t="str">
        <x:v>Station souterraine de relevage</x:v>
      </x:c>
      <x:c r="E1994" s="115" t="n">
        <x:v>39</x:v>
      </x:c>
      <x:c r="F1994" s="115" t="str">
        <x:v>Inspection physique</x:v>
      </x:c>
      <x:c r="G1994" s="115" t="str">
        <x:v>4 niveaux ; 26 pièces ; 240 segments de mur ; 6 transitions. Inspection physique ; architecture complète encore ouverte.</x:v>
      </x:c>
      <x:c r="H1994" s="115" t="str">
        <x:v>L 226 ; l 241,6 ; hauteur 3 m ; choix de composition auteur ; dimensions réelles à documenter</x:v>
      </x:c>
      <x:c r="I1994" s="115" t="str">
        <x:v>À équilibrer</x:v>
      </x:c>
      <x:c r="J1994" s="115" t="str">
        <x:v>Non</x:v>
      </x:c>
      <x:c r="K1994" s="115" t="str">
        <x:v>Pièces décrites, murs, portes, niveaux et mobilier inspectables à l’échelle. Volumes réservés, raccord au seed, butin, rencontres et services de campagne restent à terminer.</x:v>
      </x:c>
    </x:row>
    <x:row r="1995" ht="96" customHeight="1">
      <x:c r="A1995" s="115" t="str">
        <x:v>EXT-MONDE-T040-V40</x:v>
      </x:c>
      <x:c r="B1995" s="115" t="str">
        <x:v>EXT-MONDE-T040</x:v>
      </x:c>
      <x:c r="C1995" s="115" t="str">
        <x:v>Égouts</x:v>
      </x:c>
      <x:c r="D1995" s="115" t="str">
        <x:v>Station souterraine de relevage</x:v>
      </x:c>
      <x:c r="E1995" s="115" t="n">
        <x:v>40</x:v>
      </x:c>
      <x:c r="F1995" s="115" t="str">
        <x:v>Inspection physique</x:v>
      </x:c>
      <x:c r="G1995" s="115" t="str">
        <x:v>4 niveaux ; 26 pièces ; 240 segments de mur ; 6 transitions. Inspection physique ; architecture complète encore ouverte.</x:v>
      </x:c>
      <x:c r="H1995" s="115" t="str">
        <x:v>L 228 ; l 242,3 ; hauteur 3 m ; choix de composition auteur ; dimensions réelles à documenter</x:v>
      </x:c>
      <x:c r="I1995" s="115" t="str">
        <x:v>À équilibrer</x:v>
      </x:c>
      <x:c r="J1995" s="115" t="str">
        <x:v>Non</x:v>
      </x:c>
      <x:c r="K1995" s="115" t="str">
        <x:v>Pièces décrites, murs, portes, niveaux et mobilier inspectables à l’échelle. Volumes réservés, raccord au seed, butin, rencontres et services de campagne restent à terminer.</x:v>
      </x:c>
    </x:row>
    <x:row r="1996" ht="96" customHeight="1">
      <x:c r="A1996" s="115" t="str">
        <x:v>EXT-MONDE-T040-V41</x:v>
      </x:c>
      <x:c r="B1996" s="115" t="str">
        <x:v>EXT-MONDE-T040</x:v>
      </x:c>
      <x:c r="C1996" s="115" t="str">
        <x:v>Égouts</x:v>
      </x:c>
      <x:c r="D1996" s="115" t="str">
        <x:v>Station souterraine de relevage</x:v>
      </x:c>
      <x:c r="E1996" s="115" t="n">
        <x:v>41</x:v>
      </x:c>
      <x:c r="F1996" s="115" t="str">
        <x:v>Inspection physique</x:v>
      </x:c>
      <x:c r="G1996" s="115" t="str">
        <x:v>4 niveaux ; 26 pièces ; 240 segments de mur ; 6 transitions. Inspection physique ; architecture complète encore ouverte.</x:v>
      </x:c>
      <x:c r="H1996" s="115" t="str">
        <x:v>L 220 ; l 248 ; hauteur 3 m ; choix de composition auteur ; dimensions réelles à documenter</x:v>
      </x:c>
      <x:c r="I1996" s="115" t="str">
        <x:v>À équilibrer</x:v>
      </x:c>
      <x:c r="J1996" s="115" t="str">
        <x:v>Non</x:v>
      </x:c>
      <x:c r="K1996" s="115" t="str">
        <x:v>Pièces décrites, murs, portes, niveaux et mobilier inspectables à l’échelle. Volumes réservés, raccord au seed, butin, rencontres et services de campagne restent à terminer.</x:v>
      </x:c>
    </x:row>
    <x:row r="1997" ht="96" customHeight="1">
      <x:c r="A1997" s="115" t="str">
        <x:v>EXT-MONDE-T040-V42</x:v>
      </x:c>
      <x:c r="B1997" s="115" t="str">
        <x:v>EXT-MONDE-T040</x:v>
      </x:c>
      <x:c r="C1997" s="115" t="str">
        <x:v>Égouts</x:v>
      </x:c>
      <x:c r="D1997" s="115" t="str">
        <x:v>Station souterraine de relevage</x:v>
      </x:c>
      <x:c r="E1997" s="115" t="n">
        <x:v>42</x:v>
      </x:c>
      <x:c r="F1997" s="115" t="str">
        <x:v>Inspection physique</x:v>
      </x:c>
      <x:c r="G1997" s="115" t="str">
        <x:v>4 niveaux ; 26 pièces ; 240 segments de mur ; 6 transitions. Inspection physique ; architecture complète encore ouverte.</x:v>
      </x:c>
      <x:c r="H1997" s="115" t="str">
        <x:v>L 222 ; l 248,7 ; hauteur 3 m ; choix de composition auteur ; dimensions réelles à documenter</x:v>
      </x:c>
      <x:c r="I1997" s="115" t="str">
        <x:v>À équilibrer</x:v>
      </x:c>
      <x:c r="J1997" s="115" t="str">
        <x:v>Non</x:v>
      </x:c>
      <x:c r="K1997" s="115" t="str">
        <x:v>Pièces décrites, murs, portes, niveaux et mobilier inspectables à l’échelle. Volumes réservés, raccord au seed, butin, rencontres et services de campagne restent à terminer.</x:v>
      </x:c>
    </x:row>
    <x:row r="1998" ht="96" customHeight="1">
      <x:c r="A1998" s="115" t="str">
        <x:v>EXT-MONDE-T040-V43</x:v>
      </x:c>
      <x:c r="B1998" s="115" t="str">
        <x:v>EXT-MONDE-T040</x:v>
      </x:c>
      <x:c r="C1998" s="115" t="str">
        <x:v>Égouts</x:v>
      </x:c>
      <x:c r="D1998" s="115" t="str">
        <x:v>Station souterraine de relevage</x:v>
      </x:c>
      <x:c r="E1998" s="115" t="n">
        <x:v>43</x:v>
      </x:c>
      <x:c r="F1998" s="115" t="str">
        <x:v>Inspection physique</x:v>
      </x:c>
      <x:c r="G1998" s="115" t="str">
        <x:v>4 niveaux ; 26 pièces ; 240 segments de mur ; 6 transitions. Inspection physique ; architecture complète encore ouverte.</x:v>
      </x:c>
      <x:c r="H1998" s="115" t="str">
        <x:v>L 224 ; l 249,4 ; hauteur 3 m ; choix de composition auteur ; dimensions réelles à documenter</x:v>
      </x:c>
      <x:c r="I1998" s="115" t="str">
        <x:v>À équilibrer</x:v>
      </x:c>
      <x:c r="J1998" s="115" t="str">
        <x:v>Non</x:v>
      </x:c>
      <x:c r="K1998" s="115" t="str">
        <x:v>Pièces décrites, murs, portes, niveaux et mobilier inspectables à l’échelle. Volumes réservés, raccord au seed, butin, rencontres et services de campagne restent à terminer.</x:v>
      </x:c>
    </x:row>
    <x:row r="1999" ht="96" customHeight="1">
      <x:c r="A1999" s="115" t="str">
        <x:v>EXT-MONDE-T040-V44</x:v>
      </x:c>
      <x:c r="B1999" s="115" t="str">
        <x:v>EXT-MONDE-T040</x:v>
      </x:c>
      <x:c r="C1999" s="115" t="str">
        <x:v>Égouts</x:v>
      </x:c>
      <x:c r="D1999" s="115" t="str">
        <x:v>Station souterraine de relevage</x:v>
      </x:c>
      <x:c r="E1999" s="115" t="n">
        <x:v>44</x:v>
      </x:c>
      <x:c r="F1999" s="115" t="str">
        <x:v>Inspection physique</x:v>
      </x:c>
      <x:c r="G1999" s="115" t="str">
        <x:v>4 niveaux ; 26 pièces ; 240 segments de mur ; 6 transitions. Inspection physique ; architecture complète encore ouverte.</x:v>
      </x:c>
      <x:c r="H1999" s="115" t="str">
        <x:v>L 226 ; l 250,1 ; hauteur 3 m ; choix de composition auteur ; dimensions réelles à documenter</x:v>
      </x:c>
      <x:c r="I1999" s="115" t="str">
        <x:v>À équilibrer</x:v>
      </x:c>
      <x:c r="J1999" s="115" t="str">
        <x:v>Non</x:v>
      </x:c>
      <x:c r="K1999" s="115" t="str">
        <x:v>Pièces décrites, murs, portes, niveaux et mobilier inspectables à l’échelle. Volumes réservés, raccord au seed, butin, rencontres et services de campagne restent à terminer.</x:v>
      </x:c>
    </x:row>
    <x:row r="2000" ht="96" customHeight="1">
      <x:c r="A2000" s="115" t="str">
        <x:v>EXT-MONDE-T040-V45</x:v>
      </x:c>
      <x:c r="B2000" s="115" t="str">
        <x:v>EXT-MONDE-T040</x:v>
      </x:c>
      <x:c r="C2000" s="115" t="str">
        <x:v>Égouts</x:v>
      </x:c>
      <x:c r="D2000" s="115" t="str">
        <x:v>Station souterraine de relevage</x:v>
      </x:c>
      <x:c r="E2000" s="115" t="n">
        <x:v>45</x:v>
      </x:c>
      <x:c r="F2000" s="115" t="str">
        <x:v>Inspection physique</x:v>
      </x:c>
      <x:c r="G2000" s="115" t="str">
        <x:v>4 niveaux ; 26 pièces ; 240 segments de mur ; 6 transitions. Inspection physique ; architecture complète encore ouverte.</x:v>
      </x:c>
      <x:c r="H2000" s="115" t="str">
        <x:v>L 228 ; l 250,8 ; hauteur 3 m ; choix de composition auteur ; dimensions réelles à documenter</x:v>
      </x:c>
      <x:c r="I2000" s="115" t="str">
        <x:v>À équilibrer</x:v>
      </x:c>
      <x:c r="J2000" s="115" t="str">
        <x:v>Non</x:v>
      </x:c>
      <x:c r="K2000" s="115" t="str">
        <x:v>Pièces décrites, murs, portes, niveaux et mobilier inspectables à l’échelle. Volumes réservés, raccord au seed, butin, rencontres et services de campagne restent à terminer.</x:v>
      </x:c>
    </x:row>
    <x:row r="2001" ht="96" customHeight="1">
      <x:c r="A2001" s="115" t="str">
        <x:v>EXT-MONDE-T040-V46</x:v>
      </x:c>
      <x:c r="B2001" s="115" t="str">
        <x:v>EXT-MONDE-T040</x:v>
      </x:c>
      <x:c r="C2001" s="115" t="str">
        <x:v>Égouts</x:v>
      </x:c>
      <x:c r="D2001" s="115" t="str">
        <x:v>Station souterraine de relevage</x:v>
      </x:c>
      <x:c r="E2001" s="115" t="n">
        <x:v>46</x:v>
      </x:c>
      <x:c r="F2001" s="115" t="str">
        <x:v>Inspection physique</x:v>
      </x:c>
      <x:c r="G2001" s="115" t="str">
        <x:v>4 niveaux ; 26 pièces ; 240 segments de mur ; 6 transitions. Inspection physique ; architecture complète encore ouverte.</x:v>
      </x:c>
      <x:c r="H2001" s="115" t="str">
        <x:v>L 230 ; l 251,5 ; hauteur 3 m ; choix de composition auteur ; dimensions réelles à documenter</x:v>
      </x:c>
      <x:c r="I2001" s="115" t="str">
        <x:v>À équilibrer</x:v>
      </x:c>
      <x:c r="J2001" s="115" t="str">
        <x:v>Non</x:v>
      </x:c>
      <x:c r="K2001" s="115" t="str">
        <x:v>Pièces décrites, murs, portes, niveaux et mobilier inspectables à l’échelle. Volumes réservés, raccord au seed, butin, rencontres et services de campagne restent à terminer.</x:v>
      </x:c>
    </x:row>
    <x:row r="2002" ht="96" customHeight="1">
      <x:c r="A2002" s="115" t="str">
        <x:v>EXT-MONDE-T040-V47</x:v>
      </x:c>
      <x:c r="B2002" s="115" t="str">
        <x:v>EXT-MONDE-T040</x:v>
      </x:c>
      <x:c r="C2002" s="115" t="str">
        <x:v>Égouts</x:v>
      </x:c>
      <x:c r="D2002" s="115" t="str">
        <x:v>Station souterraine de relevage</x:v>
      </x:c>
      <x:c r="E2002" s="115" t="n">
        <x:v>47</x:v>
      </x:c>
      <x:c r="F2002" s="115" t="str">
        <x:v>Inspection physique</x:v>
      </x:c>
      <x:c r="G2002" s="115" t="str">
        <x:v>4 niveaux ; 26 pièces ; 240 segments de mur ; 6 transitions. Inspection physique ; architecture complète encore ouverte.</x:v>
      </x:c>
      <x:c r="H2002" s="115" t="str">
        <x:v>L 232 ; l 252,2 ; hauteur 3 m ; choix de composition auteur ; dimensions réelles à documenter</x:v>
      </x:c>
      <x:c r="I2002" s="115" t="str">
        <x:v>À équilibrer</x:v>
      </x:c>
      <x:c r="J2002" s="115" t="str">
        <x:v>Non</x:v>
      </x:c>
      <x:c r="K2002" s="115" t="str">
        <x:v>Pièces décrites, murs, portes, niveaux et mobilier inspectables à l’échelle. Volumes réservés, raccord au seed, butin, rencontres et services de campagne restent à terminer.</x:v>
      </x:c>
    </x:row>
    <x:row r="2003" ht="96" customHeight="1">
      <x:c r="A2003" s="115" t="str">
        <x:v>EXT-MONDE-T040-V48</x:v>
      </x:c>
      <x:c r="B2003" s="115" t="str">
        <x:v>EXT-MONDE-T040</x:v>
      </x:c>
      <x:c r="C2003" s="115" t="str">
        <x:v>Égouts</x:v>
      </x:c>
      <x:c r="D2003" s="115" t="str">
        <x:v>Station souterraine de relevage</x:v>
      </x:c>
      <x:c r="E2003" s="115" t="n">
        <x:v>48</x:v>
      </x:c>
      <x:c r="F2003" s="115" t="str">
        <x:v>Inspection physique</x:v>
      </x:c>
      <x:c r="G2003" s="115" t="str">
        <x:v>4 niveaux ; 26 pièces ; 240 segments de mur ; 6 transitions. Inspection physique ; architecture complète encore ouverte.</x:v>
      </x:c>
      <x:c r="H2003" s="115" t="str">
        <x:v>L 234 ; l 252,9 ; hauteur 3 m ; choix de composition auteur ; dimensions réelles à documenter</x:v>
      </x:c>
      <x:c r="I2003" s="115" t="str">
        <x:v>À équilibrer</x:v>
      </x:c>
      <x:c r="J2003" s="115" t="str">
        <x:v>Non</x:v>
      </x:c>
      <x:c r="K2003" s="115" t="str">
        <x:v>Pièces décrites, murs, portes, niveaux et mobilier inspectables à l’échelle. Volumes réservés, raccord au seed, butin, rencontres et services de campagne restent à terminer.</x:v>
      </x:c>
    </x:row>
    <x:row r="2004" ht="96" customHeight="1">
      <x:c r="A2004" s="115" t="str">
        <x:v>EXT-MONDE-T040-V49</x:v>
      </x:c>
      <x:c r="B2004" s="115" t="str">
        <x:v>EXT-MONDE-T040</x:v>
      </x:c>
      <x:c r="C2004" s="115" t="str">
        <x:v>Égouts</x:v>
      </x:c>
      <x:c r="D2004" s="115" t="str">
        <x:v>Station souterraine de relevage</x:v>
      </x:c>
      <x:c r="E2004" s="115" t="n">
        <x:v>49</x:v>
      </x:c>
      <x:c r="F2004" s="115" t="str">
        <x:v>Inspection physique</x:v>
      </x:c>
      <x:c r="G2004" s="115" t="str">
        <x:v>4 niveaux ; 26 pièces ; 240 segments de mur ; 6 transitions. Inspection physique ; architecture complète encore ouverte.</x:v>
      </x:c>
      <x:c r="H2004" s="115" t="str">
        <x:v>L 236 ; l 253,6 ; hauteur 3 m ; choix de composition auteur ; dimensions réelles à documenter</x:v>
      </x:c>
      <x:c r="I2004" s="115" t="str">
        <x:v>À équilibrer</x:v>
      </x:c>
      <x:c r="J2004" s="115" t="str">
        <x:v>Non</x:v>
      </x:c>
      <x:c r="K2004" s="115" t="str">
        <x:v>Pièces décrites, murs, portes, niveaux et mobilier inspectables à l’échelle. Volumes réservés, raccord au seed, butin, rencontres et services de campagne restent à terminer.</x:v>
      </x:c>
    </x:row>
    <x:row r="2005" ht="96" customHeight="1">
      <x:c r="A2005" s="115" t="str">
        <x:v>EXT-MONDE-T040-V50</x:v>
      </x:c>
      <x:c r="B2005" s="115" t="str">
        <x:v>EXT-MONDE-T040</x:v>
      </x:c>
      <x:c r="C2005" s="115" t="str">
        <x:v>Égouts</x:v>
      </x:c>
      <x:c r="D2005" s="115" t="str">
        <x:v>Station souterraine de relevage</x:v>
      </x:c>
      <x:c r="E2005" s="115" t="n">
        <x:v>50</x:v>
      </x:c>
      <x:c r="F2005" s="115" t="str">
        <x:v>Inspection physique</x:v>
      </x:c>
      <x:c r="G2005" s="115" t="str">
        <x:v>4 niveaux ; 26 pièces ; 240 segments de mur ; 6 transitions. Inspection physique ; architecture complète encore ouverte.</x:v>
      </x:c>
      <x:c r="H2005" s="115" t="str">
        <x:v>L 238 ; l 254,3 ; hauteur 3 m ; choix de composition auteur ; dimensions réelles à documenter</x:v>
      </x:c>
      <x:c r="I2005" s="115" t="str">
        <x:v>À équilibrer</x:v>
      </x:c>
      <x:c r="J2005" s="115" t="str">
        <x:v>Non</x:v>
      </x:c>
      <x:c r="K2005" s="115" t="str">
        <x:v>Pièces décrites, murs, portes, niveaux et mobilier inspectables à l’échelle. Volumes réservés, raccord au seed, butin, rencontres et services de campagne restent à terminer.</x:v>
      </x:c>
    </x:row>
    <x:row r="2006" ht="96" customHeight="1">
      <x:c r="A2006" s="115" t="str">
        <x:v>EXT-MONDE-T041-V01</x:v>
      </x:c>
      <x:c r="B2006" s="115" t="str">
        <x:v>EXT-MONDE-T041</x:v>
      </x:c>
      <x:c r="C2006" s="115" t="str">
        <x:v>HLM visitables</x:v>
      </x:c>
      <x:c r="D2006" s="115" t="str">
        <x:v>Barre HLM</x:v>
      </x:c>
      <x:c r="E2006" s="115" t="n">
        <x:v>1</x:v>
      </x:c>
      <x:c r="F2006" s="115" t="str">
        <x:v>Inspection physique</x:v>
      </x:c>
      <x:c r="G2006" s="115" t="str">
        <x:v>4 niveaux ; 74 pièces ; 563 segments de mur ; 3 transitions. Inspection physique ; architecture complète encore ouverte.</x:v>
      </x:c>
      <x:c r="H2006" s="115" t="str">
        <x:v>L 77 ; l 84,8 ; hauteur 9,35 m ; choix de composition auteur ; dimensions réelles à documenter</x:v>
      </x:c>
      <x:c r="I2006" s="115" t="str">
        <x:v>À équilibrer</x:v>
      </x:c>
      <x:c r="J2006" s="115" t="str">
        <x:v>Non</x:v>
      </x:c>
      <x:c r="K2006" s="115" t="str">
        <x:v>Pièces décrites, murs, portes, niveaux et mobilier inspectables à l’échelle. Volumes réservés, raccord au seed, butin, rencontres et services de campagne restent à terminer.</x:v>
      </x:c>
    </x:row>
    <x:row r="2007" ht="96" customHeight="1">
      <x:c r="A2007" s="115" t="str">
        <x:v>EXT-MONDE-T041-V02</x:v>
      </x:c>
      <x:c r="B2007" s="115" t="str">
        <x:v>EXT-MONDE-T041</x:v>
      </x:c>
      <x:c r="C2007" s="115" t="str">
        <x:v>HLM visitables</x:v>
      </x:c>
      <x:c r="D2007" s="115" t="str">
        <x:v>Barre HLM</x:v>
      </x:c>
      <x:c r="E2007" s="115" t="n">
        <x:v>2</x:v>
      </x:c>
      <x:c r="F2007" s="115" t="str">
        <x:v>Inspection physique</x:v>
      </x:c>
      <x:c r="G2007" s="115" t="str">
        <x:v>4 niveaux ; 110 pièces ; 821 segments de mur ; 3 transitions. Inspection physique ; architecture complète encore ouverte.</x:v>
      </x:c>
      <x:c r="H2007" s="115" t="str">
        <x:v>L 77,4 ; l 96,62 ; hauteur 9,45 m ; choix de composition auteur ; dimensions réelles à documenter</x:v>
      </x:c>
      <x:c r="I2007" s="115" t="str">
        <x:v>À équilibrer</x:v>
      </x:c>
      <x:c r="J2007" s="115" t="str">
        <x:v>Non</x:v>
      </x:c>
      <x:c r="K2007" s="115" t="str">
        <x:v>Pièces décrites, murs, portes, niveaux et mobilier inspectables à l’échelle. Volumes réservés, raccord au seed, butin, rencontres et services de campagne restent à terminer.</x:v>
      </x:c>
    </x:row>
    <x:row r="2008" ht="96" customHeight="1">
      <x:c r="A2008" s="115" t="str">
        <x:v>EXT-MONDE-T041-V03</x:v>
      </x:c>
      <x:c r="B2008" s="115" t="str">
        <x:v>EXT-MONDE-T041</x:v>
      </x:c>
      <x:c r="C2008" s="115" t="str">
        <x:v>HLM visitables</x:v>
      </x:c>
      <x:c r="D2008" s="115" t="str">
        <x:v>Barre HLM</x:v>
      </x:c>
      <x:c r="E2008" s="115" t="n">
        <x:v>3</x:v>
      </x:c>
      <x:c r="F2008" s="115" t="str">
        <x:v>Inspection physique</x:v>
      </x:c>
      <x:c r="G2008" s="115" t="str">
        <x:v>4 niveaux ; 74 pièces ; 563 segments de mur ; 3 transitions. Inspection physique ; architecture complète encore ouverte.</x:v>
      </x:c>
      <x:c r="H2008" s="115" t="str">
        <x:v>L 77,8 ; l 85,56 ; hauteur 9,55 m ; choix de composition auteur ; dimensions réelles à documenter</x:v>
      </x:c>
      <x:c r="I2008" s="115" t="str">
        <x:v>À équilibrer</x:v>
      </x:c>
      <x:c r="J2008" s="115" t="str">
        <x:v>Non</x:v>
      </x:c>
      <x:c r="K2008" s="115" t="str">
        <x:v>Pièces décrites, murs, portes, niveaux et mobilier inspectables à l’échelle. Volumes réservés, raccord au seed, butin, rencontres et services de campagne restent à terminer.</x:v>
      </x:c>
    </x:row>
    <x:row r="2009" ht="96" customHeight="1">
      <x:c r="A2009" s="115" t="str">
        <x:v>EXT-MONDE-T041-V04</x:v>
      </x:c>
      <x:c r="B2009" s="115" t="str">
        <x:v>EXT-MONDE-T041</x:v>
      </x:c>
      <x:c r="C2009" s="115" t="str">
        <x:v>HLM visitables</x:v>
      </x:c>
      <x:c r="D2009" s="115" t="str">
        <x:v>Barre HLM</x:v>
      </x:c>
      <x:c r="E2009" s="115" t="n">
        <x:v>4</x:v>
      </x:c>
      <x:c r="F2009" s="115" t="str">
        <x:v>Inspection physique</x:v>
      </x:c>
      <x:c r="G2009" s="115" t="str">
        <x:v>4 niveaux ; 110 pièces ; 821 segments de mur ; 3 transitions. Inspection physique ; architecture complète encore ouverte.</x:v>
      </x:c>
      <x:c r="H2009" s="115" t="str">
        <x:v>L 78,2 ; l 97,46 ; hauteur 9,35 m ; choix de composition auteur ; dimensions réelles à documenter</x:v>
      </x:c>
      <x:c r="I2009" s="115" t="str">
        <x:v>À équilibrer</x:v>
      </x:c>
      <x:c r="J2009" s="115" t="str">
        <x:v>Non</x:v>
      </x:c>
      <x:c r="K2009" s="115" t="str">
        <x:v>Pièces décrites, murs, portes, niveaux et mobilier inspectables à l’échelle. Volumes réservés, raccord au seed, butin, rencontres et services de campagne restent à terminer.</x:v>
      </x:c>
    </x:row>
    <x:row r="2010" ht="96" customHeight="1">
      <x:c r="A2010" s="115" t="str">
        <x:v>EXT-MONDE-T041-V05</x:v>
      </x:c>
      <x:c r="B2010" s="115" t="str">
        <x:v>EXT-MONDE-T041</x:v>
      </x:c>
      <x:c r="C2010" s="115" t="str">
        <x:v>HLM visitables</x:v>
      </x:c>
      <x:c r="D2010" s="115" t="str">
        <x:v>Barre HLM</x:v>
      </x:c>
      <x:c r="E2010" s="115" t="n">
        <x:v>5</x:v>
      </x:c>
      <x:c r="F2010" s="115" t="str">
        <x:v>Inspection physique</x:v>
      </x:c>
      <x:c r="G2010" s="115" t="str">
        <x:v>4 niveaux ; 74 pièces ; 563 segments de mur ; 3 transitions. Inspection physique ; architecture complète encore ouverte.</x:v>
      </x:c>
      <x:c r="H2010" s="115" t="str">
        <x:v>L 78,6 ; l 86,32 ; hauteur 9,45 m ; choix de composition auteur ; dimensions réelles à documenter</x:v>
      </x:c>
      <x:c r="I2010" s="115" t="str">
        <x:v>À équilibrer</x:v>
      </x:c>
      <x:c r="J2010" s="115" t="str">
        <x:v>Non</x:v>
      </x:c>
      <x:c r="K2010" s="115" t="str">
        <x:v>Pièces décrites, murs, portes, niveaux et mobilier inspectables à l’échelle. Volumes réservés, raccord au seed, butin, rencontres et services de campagne restent à terminer.</x:v>
      </x:c>
    </x:row>
    <x:row r="2011" ht="96" customHeight="1">
      <x:c r="A2011" s="115" t="str">
        <x:v>EXT-MONDE-T041-V06</x:v>
      </x:c>
      <x:c r="B2011" s="115" t="str">
        <x:v>EXT-MONDE-T041</x:v>
      </x:c>
      <x:c r="C2011" s="115" t="str">
        <x:v>HLM visitables</x:v>
      </x:c>
      <x:c r="D2011" s="115" t="str">
        <x:v>Barre HLM</x:v>
      </x:c>
      <x:c r="E2011" s="115" t="n">
        <x:v>6</x:v>
      </x:c>
      <x:c r="F2011" s="115" t="str">
        <x:v>Inspection physique</x:v>
      </x:c>
      <x:c r="G2011" s="115" t="str">
        <x:v>4 niveaux ; 110 pièces ; 821 segments de mur ; 3 transitions. Inspection physique ; architecture complète encore ouverte.</x:v>
      </x:c>
      <x:c r="H2011" s="115" t="str">
        <x:v>L 78,65 ; l 97,7 ; hauteur 9,55 m ; choix de composition auteur ; dimensions réelles à documenter</x:v>
      </x:c>
      <x:c r="I2011" s="115" t="str">
        <x:v>À équilibrer</x:v>
      </x:c>
      <x:c r="J2011" s="115" t="str">
        <x:v>Non</x:v>
      </x:c>
      <x:c r="K2011" s="115" t="str">
        <x:v>Pièces décrites, murs, portes, niveaux et mobilier inspectables à l’échelle. Volumes réservés, raccord au seed, butin, rencontres et services de campagne restent à terminer.</x:v>
      </x:c>
    </x:row>
    <x:row r="2012" ht="96" customHeight="1">
      <x:c r="A2012" s="115" t="str">
        <x:v>EXT-MONDE-T041-V07</x:v>
      </x:c>
      <x:c r="B2012" s="115" t="str">
        <x:v>EXT-MONDE-T041</x:v>
      </x:c>
      <x:c r="C2012" s="115" t="str">
        <x:v>HLM visitables</x:v>
      </x:c>
      <x:c r="D2012" s="115" t="str">
        <x:v>Barre HLM</x:v>
      </x:c>
      <x:c r="E2012" s="115" t="n">
        <x:v>7</x:v>
      </x:c>
      <x:c r="F2012" s="115" t="str">
        <x:v>Inspection physique</x:v>
      </x:c>
      <x:c r="G2012" s="115" t="str">
        <x:v>4 niveaux ; 74 pièces ; 563 segments de mur ; 3 transitions. Inspection physique ; architecture complète encore ouverte.</x:v>
      </x:c>
      <x:c r="H2012" s="115" t="str">
        <x:v>L 79,05 ; l 86,68 ; hauteur 9,35 m ; choix de composition auteur ; dimensions réelles à documenter</x:v>
      </x:c>
      <x:c r="I2012" s="115" t="str">
        <x:v>À équilibrer</x:v>
      </x:c>
      <x:c r="J2012" s="115" t="str">
        <x:v>Non</x:v>
      </x:c>
      <x:c r="K2012" s="115" t="str">
        <x:v>Pièces décrites, murs, portes, niveaux et mobilier inspectables à l’échelle. Volumes réservés, raccord au seed, butin, rencontres et services de campagne restent à terminer.</x:v>
      </x:c>
    </x:row>
    <x:row r="2013" ht="96" customHeight="1">
      <x:c r="A2013" s="115" t="str">
        <x:v>EXT-MONDE-T041-V08</x:v>
      </x:c>
      <x:c r="B2013" s="115" t="str">
        <x:v>EXT-MONDE-T041</x:v>
      </x:c>
      <x:c r="C2013" s="115" t="str">
        <x:v>HLM visitables</x:v>
      </x:c>
      <x:c r="D2013" s="115" t="str">
        <x:v>Barre HLM</x:v>
      </x:c>
      <x:c r="E2013" s="115" t="n">
        <x:v>8</x:v>
      </x:c>
      <x:c r="F2013" s="115" t="str">
        <x:v>Inspection physique</x:v>
      </x:c>
      <x:c r="G2013" s="115" t="str">
        <x:v>4 niveaux ; 110 pièces ; 821 segments de mur ; 3 transitions. Inspection physique ; architecture complète encore ouverte.</x:v>
      </x:c>
      <x:c r="H2013" s="115" t="str">
        <x:v>L 79,45 ; l 98,54 ; hauteur 9,45 m ; choix de composition auteur ; dimensions réelles à documenter</x:v>
      </x:c>
      <x:c r="I2013" s="115" t="str">
        <x:v>À équilibrer</x:v>
      </x:c>
      <x:c r="J2013" s="115" t="str">
        <x:v>Non</x:v>
      </x:c>
      <x:c r="K2013" s="115" t="str">
        <x:v>Pièces décrites, murs, portes, niveaux et mobilier inspectables à l’échelle. Volumes réservés, raccord au seed, butin, rencontres et services de campagne restent à terminer.</x:v>
      </x:c>
    </x:row>
    <x:row r="2014" ht="96" customHeight="1">
      <x:c r="A2014" s="115" t="str">
        <x:v>EXT-MONDE-T041-V09</x:v>
      </x:c>
      <x:c r="B2014" s="115" t="str">
        <x:v>EXT-MONDE-T041</x:v>
      </x:c>
      <x:c r="C2014" s="115" t="str">
        <x:v>HLM visitables</x:v>
      </x:c>
      <x:c r="D2014" s="115" t="str">
        <x:v>Barre HLM</x:v>
      </x:c>
      <x:c r="E2014" s="115" t="n">
        <x:v>9</x:v>
      </x:c>
      <x:c r="F2014" s="115" t="str">
        <x:v>Inspection physique</x:v>
      </x:c>
      <x:c r="G2014" s="115" t="str">
        <x:v>4 niveaux ; 74 pièces ; 563 segments de mur ; 3 transitions. Inspection physique ; architecture complète encore ouverte.</x:v>
      </x:c>
      <x:c r="H2014" s="115" t="str">
        <x:v>L 79,85 ; l 87,44 ; hauteur 9,55 m ; choix de composition auteur ; dimensions réelles à documenter</x:v>
      </x:c>
      <x:c r="I2014" s="115" t="str">
        <x:v>À équilibrer</x:v>
      </x:c>
      <x:c r="J2014" s="115" t="str">
        <x:v>Non</x:v>
      </x:c>
      <x:c r="K2014" s="115" t="str">
        <x:v>Pièces décrites, murs, portes, niveaux et mobilier inspectables à l’échelle. Volumes réservés, raccord au seed, butin, rencontres et services de campagne restent à terminer.</x:v>
      </x:c>
    </x:row>
    <x:row r="2015" ht="96" customHeight="1">
      <x:c r="A2015" s="115" t="str">
        <x:v>EXT-MONDE-T041-V10</x:v>
      </x:c>
      <x:c r="B2015" s="115" t="str">
        <x:v>EXT-MONDE-T041</x:v>
      </x:c>
      <x:c r="C2015" s="115" t="str">
        <x:v>HLM visitables</x:v>
      </x:c>
      <x:c r="D2015" s="115" t="str">
        <x:v>Barre HLM</x:v>
      </x:c>
      <x:c r="E2015" s="115" t="n">
        <x:v>10</x:v>
      </x:c>
      <x:c r="F2015" s="115" t="str">
        <x:v>Inspection physique</x:v>
      </x:c>
      <x:c r="G2015" s="115" t="str">
        <x:v>4 niveaux ; 110 pièces ; 821 segments de mur ; 3 transitions. Inspection physique ; architecture complète encore ouverte.</x:v>
      </x:c>
      <x:c r="H2015" s="115" t="str">
        <x:v>L 80,25 ; l 99,38 ; hauteur 9,35 m ; choix de composition auteur ; dimensions réelles à documenter</x:v>
      </x:c>
      <x:c r="I2015" s="115" t="str">
        <x:v>À équilibrer</x:v>
      </x:c>
      <x:c r="J2015" s="115" t="str">
        <x:v>Non</x:v>
      </x:c>
      <x:c r="K2015" s="115" t="str">
        <x:v>Pièces décrites, murs, portes, niveaux et mobilier inspectables à l’échelle. Volumes réservés, raccord au seed, butin, rencontres et services de campagne restent à terminer.</x:v>
      </x:c>
    </x:row>
    <x:row r="2016" ht="96" customHeight="1">
      <x:c r="A2016" s="115" t="str">
        <x:v>EXT-MONDE-T041-V11</x:v>
      </x:c>
      <x:c r="B2016" s="115" t="str">
        <x:v>EXT-MONDE-T041</x:v>
      </x:c>
      <x:c r="C2016" s="115" t="str">
        <x:v>HLM visitables</x:v>
      </x:c>
      <x:c r="D2016" s="115" t="str">
        <x:v>Barre HLM</x:v>
      </x:c>
      <x:c r="E2016" s="115" t="n">
        <x:v>11</x:v>
      </x:c>
      <x:c r="F2016" s="115" t="str">
        <x:v>Inspection physique</x:v>
      </x:c>
      <x:c r="G2016" s="115" t="str">
        <x:v>5 niveaux ; 98 pièces ; 742 segments de mur ; 4 transitions. Inspection physique ; architecture complète encore ouverte.</x:v>
      </x:c>
      <x:c r="H2016" s="115" t="str">
        <x:v>L 77,2 ; l 84,96 ; hauteur 12,35 m ; choix de composition auteur ; dimensions réelles à documenter</x:v>
      </x:c>
      <x:c r="I2016" s="115" t="str">
        <x:v>À équilibrer</x:v>
      </x:c>
      <x:c r="J2016" s="115" t="str">
        <x:v>Non</x:v>
      </x:c>
      <x:c r="K2016" s="115" t="str">
        <x:v>Pièces décrites, murs, portes, niveaux et mobilier inspectables à l’échelle. Volumes réservés, raccord au seed, butin, rencontres et services de campagne restent à terminer.</x:v>
      </x:c>
    </x:row>
    <x:row r="2017" ht="96" customHeight="1">
      <x:c r="A2017" s="115" t="str">
        <x:v>EXT-MONDE-T041-V12</x:v>
      </x:c>
      <x:c r="B2017" s="115" t="str">
        <x:v>EXT-MONDE-T041</x:v>
      </x:c>
      <x:c r="C2017" s="115" t="str">
        <x:v>HLM visitables</x:v>
      </x:c>
      <x:c r="D2017" s="115" t="str">
        <x:v>Barre HLM</x:v>
      </x:c>
      <x:c r="E2017" s="115" t="n">
        <x:v>12</x:v>
      </x:c>
      <x:c r="F2017" s="115" t="str">
        <x:v>Inspection physique</x:v>
      </x:c>
      <x:c r="G2017" s="115" t="str">
        <x:v>5 niveaux ; 146 pièces ; 1086 segments de mur ; 4 transitions. Inspection physique ; architecture complète encore ouverte.</x:v>
      </x:c>
      <x:c r="H2017" s="115" t="str">
        <x:v>L 77,6 ; l 96,86 ; hauteur 12,45 m ; choix de composition auteur ; dimensions réelles à documenter</x:v>
      </x:c>
      <x:c r="I2017" s="115" t="str">
        <x:v>À équilibrer</x:v>
      </x:c>
      <x:c r="J2017" s="115" t="str">
        <x:v>Non</x:v>
      </x:c>
      <x:c r="K2017" s="115" t="str">
        <x:v>Pièces décrites, murs, portes, niveaux et mobilier inspectables à l’échelle. Volumes réservés, raccord au seed, butin, rencontres et services de campagne restent à terminer.</x:v>
      </x:c>
    </x:row>
    <x:row r="2018" ht="96" customHeight="1">
      <x:c r="A2018" s="115" t="str">
        <x:v>EXT-MONDE-T041-V13</x:v>
      </x:c>
      <x:c r="B2018" s="115" t="str">
        <x:v>EXT-MONDE-T041</x:v>
      </x:c>
      <x:c r="C2018" s="115" t="str">
        <x:v>HLM visitables</x:v>
      </x:c>
      <x:c r="D2018" s="115" t="str">
        <x:v>Barre HLM</x:v>
      </x:c>
      <x:c r="E2018" s="115" t="n">
        <x:v>13</x:v>
      </x:c>
      <x:c r="F2018" s="115" t="str">
        <x:v>Inspection physique</x:v>
      </x:c>
      <x:c r="G2018" s="115" t="str">
        <x:v>5 niveaux ; 98 pièces ; 742 segments de mur ; 4 transitions. Inspection physique ; architecture complète encore ouverte.</x:v>
      </x:c>
      <x:c r="H2018" s="115" t="str">
        <x:v>L 78 ; l 85,72 ; hauteur 12,55 m ; choix de composition auteur ; dimensions réelles à documenter</x:v>
      </x:c>
      <x:c r="I2018" s="115" t="str">
        <x:v>À équilibrer</x:v>
      </x:c>
      <x:c r="J2018" s="115" t="str">
        <x:v>Non</x:v>
      </x:c>
      <x:c r="K2018" s="115" t="str">
        <x:v>Pièces décrites, murs, portes, niveaux et mobilier inspectables à l’échelle. Volumes réservés, raccord au seed, butin, rencontres et services de campagne restent à terminer.</x:v>
      </x:c>
    </x:row>
    <x:row r="2019" ht="96" customHeight="1">
      <x:c r="A2019" s="115" t="str">
        <x:v>EXT-MONDE-T041-V14</x:v>
      </x:c>
      <x:c r="B2019" s="115" t="str">
        <x:v>EXT-MONDE-T041</x:v>
      </x:c>
      <x:c r="C2019" s="115" t="str">
        <x:v>HLM visitables</x:v>
      </x:c>
      <x:c r="D2019" s="115" t="str">
        <x:v>Barre HLM</x:v>
      </x:c>
      <x:c r="E2019" s="115" t="n">
        <x:v>14</x:v>
      </x:c>
      <x:c r="F2019" s="115" t="str">
        <x:v>Inspection physique</x:v>
      </x:c>
      <x:c r="G2019" s="115" t="str">
        <x:v>5 niveaux ; 146 pièces ; 1086 segments de mur ; 4 transitions. Inspection physique ; architecture complète encore ouverte.</x:v>
      </x:c>
      <x:c r="H2019" s="115" t="str">
        <x:v>L 78,4 ; l 97,7 ; hauteur 12,35 m ; choix de composition auteur ; dimensions réelles à documenter</x:v>
      </x:c>
      <x:c r="I2019" s="115" t="str">
        <x:v>À équilibrer</x:v>
      </x:c>
      <x:c r="J2019" s="115" t="str">
        <x:v>Non</x:v>
      </x:c>
      <x:c r="K2019" s="115" t="str">
        <x:v>Pièces décrites, murs, portes, niveaux et mobilier inspectables à l’échelle. Volumes réservés, raccord au seed, butin, rencontres et services de campagne restent à terminer.</x:v>
      </x:c>
    </x:row>
    <x:row r="2020" ht="96" customHeight="1">
      <x:c r="A2020" s="115" t="str">
        <x:v>EXT-MONDE-T041-V15</x:v>
      </x:c>
      <x:c r="B2020" s="115" t="str">
        <x:v>EXT-MONDE-T041</x:v>
      </x:c>
      <x:c r="C2020" s="115" t="str">
        <x:v>HLM visitables</x:v>
      </x:c>
      <x:c r="D2020" s="115" t="str">
        <x:v>Barre HLM</x:v>
      </x:c>
      <x:c r="E2020" s="115" t="n">
        <x:v>15</x:v>
      </x:c>
      <x:c r="F2020" s="115" t="str">
        <x:v>Inspection physique</x:v>
      </x:c>
      <x:c r="G2020" s="115" t="str">
        <x:v>5 niveaux ; 98 pièces ; 742 segments de mur ; 4 transitions. Inspection physique ; architecture complète encore ouverte.</x:v>
      </x:c>
      <x:c r="H2020" s="115" t="str">
        <x:v>L 78,8 ; l 86,48 ; hauteur 12,45 m ; choix de composition auteur ; dimensions réelles à documenter</x:v>
      </x:c>
      <x:c r="I2020" s="115" t="str">
        <x:v>À équilibrer</x:v>
      </x:c>
      <x:c r="J2020" s="115" t="str">
        <x:v>Non</x:v>
      </x:c>
      <x:c r="K2020" s="115" t="str">
        <x:v>Pièces décrites, murs, portes, niveaux et mobilier inspectables à l’échelle. Volumes réservés, raccord au seed, butin, rencontres et services de campagne restent à terminer.</x:v>
      </x:c>
    </x:row>
    <x:row r="2021" ht="96" customHeight="1">
      <x:c r="A2021" s="115" t="str">
        <x:v>EXT-MONDE-T041-V16</x:v>
      </x:c>
      <x:c r="B2021" s="115" t="str">
        <x:v>EXT-MONDE-T041</x:v>
      </x:c>
      <x:c r="C2021" s="115" t="str">
        <x:v>HLM visitables</x:v>
      </x:c>
      <x:c r="D2021" s="115" t="str">
        <x:v>Barre HLM</x:v>
      </x:c>
      <x:c r="E2021" s="115" t="n">
        <x:v>16</x:v>
      </x:c>
      <x:c r="F2021" s="115" t="str">
        <x:v>Inspection physique</x:v>
      </x:c>
      <x:c r="G2021" s="115" t="str">
        <x:v>5 niveaux ; 146 pièces ; 1086 segments de mur ; 4 transitions. Inspection physique ; architecture complète encore ouverte.</x:v>
      </x:c>
      <x:c r="H2021" s="115" t="str">
        <x:v>L 78,85 ; l 97,94 ; hauteur 12,55 m ; choix de composition auteur ; dimensions réelles à documenter</x:v>
      </x:c>
      <x:c r="I2021" s="115" t="str">
        <x:v>À équilibrer</x:v>
      </x:c>
      <x:c r="J2021" s="115" t="str">
        <x:v>Non</x:v>
      </x:c>
      <x:c r="K2021" s="115" t="str">
        <x:v>Pièces décrites, murs, portes, niveaux et mobilier inspectables à l’échelle. Volumes réservés, raccord au seed, butin, rencontres et services de campagne restent à terminer.</x:v>
      </x:c>
    </x:row>
    <x:row r="2022" ht="96" customHeight="1">
      <x:c r="A2022" s="115" t="str">
        <x:v>EXT-MONDE-T041-V17</x:v>
      </x:c>
      <x:c r="B2022" s="115" t="str">
        <x:v>EXT-MONDE-T041</x:v>
      </x:c>
      <x:c r="C2022" s="115" t="str">
        <x:v>HLM visitables</x:v>
      </x:c>
      <x:c r="D2022" s="115" t="str">
        <x:v>Barre HLM</x:v>
      </x:c>
      <x:c r="E2022" s="115" t="n">
        <x:v>17</x:v>
      </x:c>
      <x:c r="F2022" s="115" t="str">
        <x:v>Inspection physique</x:v>
      </x:c>
      <x:c r="G2022" s="115" t="str">
        <x:v>5 niveaux ; 98 pièces ; 742 segments de mur ; 4 transitions. Inspection physique ; architecture complète encore ouverte.</x:v>
      </x:c>
      <x:c r="H2022" s="115" t="str">
        <x:v>L 79,25 ; l 86,84 ; hauteur 12,35 m ; choix de composition auteur ; dimensions réelles à documenter</x:v>
      </x:c>
      <x:c r="I2022" s="115" t="str">
        <x:v>À équilibrer</x:v>
      </x:c>
      <x:c r="J2022" s="115" t="str">
        <x:v>Non</x:v>
      </x:c>
      <x:c r="K2022" s="115" t="str">
        <x:v>Pièces décrites, murs, portes, niveaux et mobilier inspectables à l’échelle. Volumes réservés, raccord au seed, butin, rencontres et services de campagne restent à terminer.</x:v>
      </x:c>
    </x:row>
    <x:row r="2023" ht="96" customHeight="1">
      <x:c r="A2023" s="115" t="str">
        <x:v>EXT-MONDE-T041-V18</x:v>
      </x:c>
      <x:c r="B2023" s="115" t="str">
        <x:v>EXT-MONDE-T041</x:v>
      </x:c>
      <x:c r="C2023" s="115" t="str">
        <x:v>HLM visitables</x:v>
      </x:c>
      <x:c r="D2023" s="115" t="str">
        <x:v>Barre HLM</x:v>
      </x:c>
      <x:c r="E2023" s="115" t="n">
        <x:v>18</x:v>
      </x:c>
      <x:c r="F2023" s="115" t="str">
        <x:v>Inspection physique</x:v>
      </x:c>
      <x:c r="G2023" s="115" t="str">
        <x:v>5 niveaux ; 146 pièces ; 1086 segments de mur ; 4 transitions. Inspection physique ; architecture complète encore ouverte.</x:v>
      </x:c>
      <x:c r="H2023" s="115" t="str">
        <x:v>L 79,65 ; l 98,78 ; hauteur 12,45 m ; choix de composition auteur ; dimensions réelles à documenter</x:v>
      </x:c>
      <x:c r="I2023" s="115" t="str">
        <x:v>À équilibrer</x:v>
      </x:c>
      <x:c r="J2023" s="115" t="str">
        <x:v>Non</x:v>
      </x:c>
      <x:c r="K2023" s="115" t="str">
        <x:v>Pièces décrites, murs, portes, niveaux et mobilier inspectables à l’échelle. Volumes réservés, raccord au seed, butin, rencontres et services de campagne restent à terminer.</x:v>
      </x:c>
    </x:row>
    <x:row r="2024" ht="96" customHeight="1">
      <x:c r="A2024" s="115" t="str">
        <x:v>EXT-MONDE-T041-V19</x:v>
      </x:c>
      <x:c r="B2024" s="115" t="str">
        <x:v>EXT-MONDE-T041</x:v>
      </x:c>
      <x:c r="C2024" s="115" t="str">
        <x:v>HLM visitables</x:v>
      </x:c>
      <x:c r="D2024" s="115" t="str">
        <x:v>Barre HLM</x:v>
      </x:c>
      <x:c r="E2024" s="115" t="n">
        <x:v>19</x:v>
      </x:c>
      <x:c r="F2024" s="115" t="str">
        <x:v>Inspection physique</x:v>
      </x:c>
      <x:c r="G2024" s="115" t="str">
        <x:v>5 niveaux ; 98 pièces ; 742 segments de mur ; 4 transitions. Inspection physique ; architecture complète encore ouverte.</x:v>
      </x:c>
      <x:c r="H2024" s="115" t="str">
        <x:v>L 80,05 ; l 87,6 ; hauteur 12,55 m ; choix de composition auteur ; dimensions réelles à documenter</x:v>
      </x:c>
      <x:c r="I2024" s="115" t="str">
        <x:v>À équilibrer</x:v>
      </x:c>
      <x:c r="J2024" s="115" t="str">
        <x:v>Non</x:v>
      </x:c>
      <x:c r="K2024" s="115" t="str">
        <x:v>Pièces décrites, murs, portes, niveaux et mobilier inspectables à l’échelle. Volumes réservés, raccord au seed, butin, rencontres et services de campagne restent à terminer.</x:v>
      </x:c>
    </x:row>
    <x:row r="2025" ht="96" customHeight="1">
      <x:c r="A2025" s="115" t="str">
        <x:v>EXT-MONDE-T041-V20</x:v>
      </x:c>
      <x:c r="B2025" s="115" t="str">
        <x:v>EXT-MONDE-T041</x:v>
      </x:c>
      <x:c r="C2025" s="115" t="str">
        <x:v>HLM visitables</x:v>
      </x:c>
      <x:c r="D2025" s="115" t="str">
        <x:v>Barre HLM</x:v>
      </x:c>
      <x:c r="E2025" s="115" t="n">
        <x:v>20</x:v>
      </x:c>
      <x:c r="F2025" s="115" t="str">
        <x:v>Inspection physique</x:v>
      </x:c>
      <x:c r="G2025" s="115" t="str">
        <x:v>5 niveaux ; 146 pièces ; 1086 segments de mur ; 4 transitions. Inspection physique ; architecture complète encore ouverte.</x:v>
      </x:c>
      <x:c r="H2025" s="115" t="str">
        <x:v>L 80,45 ; l 99,62 ; hauteur 12,35 m ; choix de composition auteur ; dimensions réelles à documenter</x:v>
      </x:c>
      <x:c r="I2025" s="115" t="str">
        <x:v>À équilibrer</x:v>
      </x:c>
      <x:c r="J2025" s="115" t="str">
        <x:v>Non</x:v>
      </x:c>
      <x:c r="K2025" s="115" t="str">
        <x:v>Pièces décrites, murs, portes, niveaux et mobilier inspectables à l’échelle. Volumes réservés, raccord au seed, butin, rencontres et services de campagne restent à terminer.</x:v>
      </x:c>
    </x:row>
    <x:row r="2026" ht="96" customHeight="1">
      <x:c r="A2026" s="115" t="str">
        <x:v>EXT-MONDE-T041-V21</x:v>
      </x:c>
      <x:c r="B2026" s="115" t="str">
        <x:v>EXT-MONDE-T041</x:v>
      </x:c>
      <x:c r="C2026" s="115" t="str">
        <x:v>HLM visitables</x:v>
      </x:c>
      <x:c r="D2026" s="115" t="str">
        <x:v>Barre HLM</x:v>
      </x:c>
      <x:c r="E2026" s="115" t="n">
        <x:v>21</x:v>
      </x:c>
      <x:c r="F2026" s="115" t="str">
        <x:v>Inspection physique</x:v>
      </x:c>
      <x:c r="G2026" s="115" t="str">
        <x:v>6 niveaux ; 122 pièces ; 921 segments de mur ; 5 transitions. Inspection physique ; architecture complète encore ouverte.</x:v>
      </x:c>
      <x:c r="H2026" s="115" t="str">
        <x:v>L 77,4 ; l 85,12 ; hauteur 15,35 m ; choix de composition auteur ; dimensions réelles à documenter</x:v>
      </x:c>
      <x:c r="I2026" s="115" t="str">
        <x:v>À équilibrer</x:v>
      </x:c>
      <x:c r="J2026" s="115" t="str">
        <x:v>Non</x:v>
      </x:c>
      <x:c r="K2026" s="115" t="str">
        <x:v>Pièces décrites, murs, portes, niveaux et mobilier inspectables à l’échelle. Volumes réservés, raccord au seed, butin, rencontres et services de campagne restent à terminer.</x:v>
      </x:c>
    </x:row>
    <x:row r="2027" ht="96" customHeight="1">
      <x:c r="A2027" s="115" t="str">
        <x:v>EXT-MONDE-T041-V22</x:v>
      </x:c>
      <x:c r="B2027" s="115" t="str">
        <x:v>EXT-MONDE-T041</x:v>
      </x:c>
      <x:c r="C2027" s="115" t="str">
        <x:v>HLM visitables</x:v>
      </x:c>
      <x:c r="D2027" s="115" t="str">
        <x:v>Barre HLM</x:v>
      </x:c>
      <x:c r="E2027" s="115" t="n">
        <x:v>22</x:v>
      </x:c>
      <x:c r="F2027" s="115" t="str">
        <x:v>Inspection physique</x:v>
      </x:c>
      <x:c r="G2027" s="115" t="str">
        <x:v>6 niveaux ; 182 pièces ; 1351 segments de mur ; 5 transitions. Inspection physique ; architecture complète encore ouverte.</x:v>
      </x:c>
      <x:c r="H2027" s="115" t="str">
        <x:v>L 77,8 ; l 97,1 ; hauteur 15,45 m ; choix de composition auteur ; dimensions réelles à documenter</x:v>
      </x:c>
      <x:c r="I2027" s="115" t="str">
        <x:v>À équilibrer</x:v>
      </x:c>
      <x:c r="J2027" s="115" t="str">
        <x:v>Non</x:v>
      </x:c>
      <x:c r="K2027" s="115" t="str">
        <x:v>Pièces décrites, murs, portes, niveaux et mobilier inspectables à l’échelle. Volumes réservés, raccord au seed, butin, rencontres et services de campagne restent à terminer.</x:v>
      </x:c>
    </x:row>
    <x:row r="2028" ht="96" customHeight="1">
      <x:c r="A2028" s="115" t="str">
        <x:v>EXT-MONDE-T041-V23</x:v>
      </x:c>
      <x:c r="B2028" s="115" t="str">
        <x:v>EXT-MONDE-T041</x:v>
      </x:c>
      <x:c r="C2028" s="115" t="str">
        <x:v>HLM visitables</x:v>
      </x:c>
      <x:c r="D2028" s="115" t="str">
        <x:v>Barre HLM</x:v>
      </x:c>
      <x:c r="E2028" s="115" t="n">
        <x:v>23</x:v>
      </x:c>
      <x:c r="F2028" s="115" t="str">
        <x:v>Inspection physique</x:v>
      </x:c>
      <x:c r="G2028" s="115" t="str">
        <x:v>6 niveaux ; 122 pièces ; 921 segments de mur ; 5 transitions. Inspection physique ; architecture complète encore ouverte.</x:v>
      </x:c>
      <x:c r="H2028" s="115" t="str">
        <x:v>L 78,2 ; l 85,88 ; hauteur 15,55 m ; choix de composition auteur ; dimensions réelles à documenter</x:v>
      </x:c>
      <x:c r="I2028" s="115" t="str">
        <x:v>À équilibrer</x:v>
      </x:c>
      <x:c r="J2028" s="115" t="str">
        <x:v>Non</x:v>
      </x:c>
      <x:c r="K2028" s="115" t="str">
        <x:v>Pièces décrites, murs, portes, niveaux et mobilier inspectables à l’échelle. Volumes réservés, raccord au seed, butin, rencontres et services de campagne restent à terminer.</x:v>
      </x:c>
    </x:row>
    <x:row r="2029" ht="96" customHeight="1">
      <x:c r="A2029" s="115" t="str">
        <x:v>EXT-MONDE-T041-V24</x:v>
      </x:c>
      <x:c r="B2029" s="115" t="str">
        <x:v>EXT-MONDE-T041</x:v>
      </x:c>
      <x:c r="C2029" s="115" t="str">
        <x:v>HLM visitables</x:v>
      </x:c>
      <x:c r="D2029" s="115" t="str">
        <x:v>Barre HLM</x:v>
      </x:c>
      <x:c r="E2029" s="115" t="n">
        <x:v>24</x:v>
      </x:c>
      <x:c r="F2029" s="115" t="str">
        <x:v>Inspection physique</x:v>
      </x:c>
      <x:c r="G2029" s="115" t="str">
        <x:v>6 niveaux ; 182 pièces ; 1351 segments de mur ; 5 transitions. Inspection physique ; architecture complète encore ouverte.</x:v>
      </x:c>
      <x:c r="H2029" s="115" t="str">
        <x:v>L 78,6 ; l 97,94 ; hauteur 15,35 m ; choix de composition auteur ; dimensions réelles à documenter</x:v>
      </x:c>
      <x:c r="I2029" s="115" t="str">
        <x:v>À équilibrer</x:v>
      </x:c>
      <x:c r="J2029" s="115" t="str">
        <x:v>Non</x:v>
      </x:c>
      <x:c r="K2029" s="115" t="str">
        <x:v>Pièces décrites, murs, portes, niveaux et mobilier inspectables à l’échelle. Volumes réservés, raccord au seed, butin, rencontres et services de campagne restent à terminer.</x:v>
      </x:c>
    </x:row>
    <x:row r="2030" ht="96" customHeight="1">
      <x:c r="A2030" s="115" t="str">
        <x:v>EXT-MONDE-T041-V25</x:v>
      </x:c>
      <x:c r="B2030" s="115" t="str">
        <x:v>EXT-MONDE-T041</x:v>
      </x:c>
      <x:c r="C2030" s="115" t="str">
        <x:v>HLM visitables</x:v>
      </x:c>
      <x:c r="D2030" s="115" t="str">
        <x:v>Barre HLM</x:v>
      </x:c>
      <x:c r="E2030" s="115" t="n">
        <x:v>25</x:v>
      </x:c>
      <x:c r="F2030" s="115" t="str">
        <x:v>Inspection physique</x:v>
      </x:c>
      <x:c r="G2030" s="115" t="str">
        <x:v>6 niveaux ; 122 pièces ; 921 segments de mur ; 5 transitions. Inspection physique ; architecture complète encore ouverte.</x:v>
      </x:c>
      <x:c r="H2030" s="115" t="str">
        <x:v>L 79 ; l 86,64 ; hauteur 15,45 m ; choix de composition auteur ; dimensions réelles à documenter</x:v>
      </x:c>
      <x:c r="I2030" s="115" t="str">
        <x:v>À équilibrer</x:v>
      </x:c>
      <x:c r="J2030" s="115" t="str">
        <x:v>Non</x:v>
      </x:c>
      <x:c r="K2030" s="115" t="str">
        <x:v>Pièces décrites, murs, portes, niveaux et mobilier inspectables à l’échelle. Volumes réservés, raccord au seed, butin, rencontres et services de campagne restent à terminer.</x:v>
      </x:c>
    </x:row>
    <x:row r="2031" ht="96" customHeight="1">
      <x:c r="A2031" s="115" t="str">
        <x:v>EXT-MONDE-T041-V26</x:v>
      </x:c>
      <x:c r="B2031" s="115" t="str">
        <x:v>EXT-MONDE-T041</x:v>
      </x:c>
      <x:c r="C2031" s="115" t="str">
        <x:v>HLM visitables</x:v>
      </x:c>
      <x:c r="D2031" s="115" t="str">
        <x:v>Barre HLM</x:v>
      </x:c>
      <x:c r="E2031" s="115" t="n">
        <x:v>26</x:v>
      </x:c>
      <x:c r="F2031" s="115" t="str">
        <x:v>Inspection physique</x:v>
      </x:c>
      <x:c r="G2031" s="115" t="str">
        <x:v>6 niveaux ; 182 pièces ; 1351 segments de mur ; 5 transitions. Inspection physique ; architecture complète encore ouverte.</x:v>
      </x:c>
      <x:c r="H2031" s="115" t="str">
        <x:v>L 79,05 ; l 98,18 ; hauteur 15,55 m ; choix de composition auteur ; dimensions réelles à documenter</x:v>
      </x:c>
      <x:c r="I2031" s="115" t="str">
        <x:v>À équilibrer</x:v>
      </x:c>
      <x:c r="J2031" s="115" t="str">
        <x:v>Non</x:v>
      </x:c>
      <x:c r="K2031" s="115" t="str">
        <x:v>Pièces décrites, murs, portes, niveaux et mobilier inspectables à l’échelle. Volumes réservés, raccord au seed, butin, rencontres et services de campagne restent à terminer.</x:v>
      </x:c>
    </x:row>
    <x:row r="2032" ht="96" customHeight="1">
      <x:c r="A2032" s="115" t="str">
        <x:v>EXT-MONDE-T041-V27</x:v>
      </x:c>
      <x:c r="B2032" s="115" t="str">
        <x:v>EXT-MONDE-T041</x:v>
      </x:c>
      <x:c r="C2032" s="115" t="str">
        <x:v>HLM visitables</x:v>
      </x:c>
      <x:c r="D2032" s="115" t="str">
        <x:v>Barre HLM</x:v>
      </x:c>
      <x:c r="E2032" s="115" t="n">
        <x:v>27</x:v>
      </x:c>
      <x:c r="F2032" s="115" t="str">
        <x:v>Inspection physique</x:v>
      </x:c>
      <x:c r="G2032" s="115" t="str">
        <x:v>6 niveaux ; 122 pièces ; 921 segments de mur ; 5 transitions. Inspection physique ; architecture complète encore ouverte.</x:v>
      </x:c>
      <x:c r="H2032" s="115" t="str">
        <x:v>L 79,45 ; l 87 ; hauteur 15,35 m ; choix de composition auteur ; dimensions réelles à documenter</x:v>
      </x:c>
      <x:c r="I2032" s="115" t="str">
        <x:v>À équilibrer</x:v>
      </x:c>
      <x:c r="J2032" s="115" t="str">
        <x:v>Non</x:v>
      </x:c>
      <x:c r="K2032" s="115" t="str">
        <x:v>Pièces décrites, murs, portes, niveaux et mobilier inspectables à l’échelle. Volumes réservés, raccord au seed, butin, rencontres et services de campagne restent à terminer.</x:v>
      </x:c>
    </x:row>
    <x:row r="2033" ht="96" customHeight="1">
      <x:c r="A2033" s="115" t="str">
        <x:v>EXT-MONDE-T041-V28</x:v>
      </x:c>
      <x:c r="B2033" s="115" t="str">
        <x:v>EXT-MONDE-T041</x:v>
      </x:c>
      <x:c r="C2033" s="115" t="str">
        <x:v>HLM visitables</x:v>
      </x:c>
      <x:c r="D2033" s="115" t="str">
        <x:v>Barre HLM</x:v>
      </x:c>
      <x:c r="E2033" s="115" t="n">
        <x:v>28</x:v>
      </x:c>
      <x:c r="F2033" s="115" t="str">
        <x:v>Inspection physique</x:v>
      </x:c>
      <x:c r="G2033" s="115" t="str">
        <x:v>6 niveaux ; 182 pièces ; 1351 segments de mur ; 5 transitions. Inspection physique ; architecture complète encore ouverte.</x:v>
      </x:c>
      <x:c r="H2033" s="115" t="str">
        <x:v>L 79,85 ; l 99,02 ; hauteur 15,45 m ; choix de composition auteur ; dimensions réelles à documenter</x:v>
      </x:c>
      <x:c r="I2033" s="115" t="str">
        <x:v>À équilibrer</x:v>
      </x:c>
      <x:c r="J2033" s="115" t="str">
        <x:v>Non</x:v>
      </x:c>
      <x:c r="K2033" s="115" t="str">
        <x:v>Pièces décrites, murs, portes, niveaux et mobilier inspectables à l’échelle. Volumes réservés, raccord au seed, butin, rencontres et services de campagne restent à terminer.</x:v>
      </x:c>
    </x:row>
    <x:row r="2034" ht="96" customHeight="1">
      <x:c r="A2034" s="115" t="str">
        <x:v>EXT-MONDE-T041-V29</x:v>
      </x:c>
      <x:c r="B2034" s="115" t="str">
        <x:v>EXT-MONDE-T041</x:v>
      </x:c>
      <x:c r="C2034" s="115" t="str">
        <x:v>HLM visitables</x:v>
      </x:c>
      <x:c r="D2034" s="115" t="str">
        <x:v>Barre HLM</x:v>
      </x:c>
      <x:c r="E2034" s="115" t="n">
        <x:v>29</x:v>
      </x:c>
      <x:c r="F2034" s="115" t="str">
        <x:v>Inspection physique</x:v>
      </x:c>
      <x:c r="G2034" s="115" t="str">
        <x:v>6 niveaux ; 122 pièces ; 921 segments de mur ; 5 transitions. Inspection physique ; architecture complète encore ouverte.</x:v>
      </x:c>
      <x:c r="H2034" s="115" t="str">
        <x:v>L 80,25 ; l 87,76 ; hauteur 15,55 m ; choix de composition auteur ; dimensions réelles à documenter</x:v>
      </x:c>
      <x:c r="I2034" s="115" t="str">
        <x:v>À équilibrer</x:v>
      </x:c>
      <x:c r="J2034" s="115" t="str">
        <x:v>Non</x:v>
      </x:c>
      <x:c r="K2034" s="115" t="str">
        <x:v>Pièces décrites, murs, portes, niveaux et mobilier inspectables à l’échelle. Volumes réservés, raccord au seed, butin, rencontres et services de campagne restent à terminer.</x:v>
      </x:c>
    </x:row>
    <x:row r="2035" ht="96" customHeight="1">
      <x:c r="A2035" s="115" t="str">
        <x:v>EXT-MONDE-T041-V30</x:v>
      </x:c>
      <x:c r="B2035" s="115" t="str">
        <x:v>EXT-MONDE-T041</x:v>
      </x:c>
      <x:c r="C2035" s="115" t="str">
        <x:v>HLM visitables</x:v>
      </x:c>
      <x:c r="D2035" s="115" t="str">
        <x:v>Barre HLM</x:v>
      </x:c>
      <x:c r="E2035" s="115" t="n">
        <x:v>30</x:v>
      </x:c>
      <x:c r="F2035" s="115" t="str">
        <x:v>Inspection physique</x:v>
      </x:c>
      <x:c r="G2035" s="115" t="str">
        <x:v>6 niveaux ; 182 pièces ; 1351 segments de mur ; 5 transitions. Inspection physique ; architecture complète encore ouverte.</x:v>
      </x:c>
      <x:c r="H2035" s="115" t="str">
        <x:v>L 80,65 ; l 99,86 ; hauteur 15,35 m ; choix de composition auteur ; dimensions réelles à documenter</x:v>
      </x:c>
      <x:c r="I2035" s="115" t="str">
        <x:v>À équilibrer</x:v>
      </x:c>
      <x:c r="J2035" s="115" t="str">
        <x:v>Non</x:v>
      </x:c>
      <x:c r="K2035" s="115" t="str">
        <x:v>Pièces décrites, murs, portes, niveaux et mobilier inspectables à l’échelle. Volumes réservés, raccord au seed, butin, rencontres et services de campagne restent à terminer.</x:v>
      </x:c>
    </x:row>
    <x:row r="2036" ht="96" customHeight="1">
      <x:c r="A2036" s="115" t="str">
        <x:v>EXT-MONDE-T041-V31</x:v>
      </x:c>
      <x:c r="B2036" s="115" t="str">
        <x:v>EXT-MONDE-T041</x:v>
      </x:c>
      <x:c r="C2036" s="115" t="str">
        <x:v>HLM visitables</x:v>
      </x:c>
      <x:c r="D2036" s="115" t="str">
        <x:v>Barre HLM</x:v>
      </x:c>
      <x:c r="E2036" s="115" t="n">
        <x:v>31</x:v>
      </x:c>
      <x:c r="F2036" s="115" t="str">
        <x:v>Inspection physique</x:v>
      </x:c>
      <x:c r="G2036" s="115" t="str">
        <x:v>7 niveaux ; 146 pièces ; 1100 segments de mur ; 6 transitions. Inspection physique ; architecture complète encore ouverte.</x:v>
      </x:c>
      <x:c r="H2036" s="115" t="str">
        <x:v>L 77,6 ; l 85,28 ; hauteur 18,35 m ; choix de composition auteur ; dimensions réelles à documenter</x:v>
      </x:c>
      <x:c r="I2036" s="115" t="str">
        <x:v>À équilibrer</x:v>
      </x:c>
      <x:c r="J2036" s="115" t="str">
        <x:v>Non</x:v>
      </x:c>
      <x:c r="K2036" s="115" t="str">
        <x:v>Pièces décrites, murs, portes, niveaux et mobilier inspectables à l’échelle. Volumes réservés, raccord au seed, butin, rencontres et services de campagne restent à terminer.</x:v>
      </x:c>
    </x:row>
    <x:row r="2037" ht="96" customHeight="1">
      <x:c r="A2037" s="115" t="str">
        <x:v>EXT-MONDE-T041-V32</x:v>
      </x:c>
      <x:c r="B2037" s="115" t="str">
        <x:v>EXT-MONDE-T041</x:v>
      </x:c>
      <x:c r="C2037" s="115" t="str">
        <x:v>HLM visitables</x:v>
      </x:c>
      <x:c r="D2037" s="115" t="str">
        <x:v>Barre HLM</x:v>
      </x:c>
      <x:c r="E2037" s="115" t="n">
        <x:v>32</x:v>
      </x:c>
      <x:c r="F2037" s="115" t="str">
        <x:v>Inspection physique</x:v>
      </x:c>
      <x:c r="G2037" s="115" t="str">
        <x:v>7 niveaux ; 218 pièces ; 1616 segments de mur ; 6 transitions. Inspection physique ; architecture complète encore ouverte.</x:v>
      </x:c>
      <x:c r="H2037" s="115" t="str">
        <x:v>L 78 ; l 97,34 ; hauteur 18,45 m ; choix de composition auteur ; dimensions réelles à documenter</x:v>
      </x:c>
      <x:c r="I2037" s="115" t="str">
        <x:v>À équilibrer</x:v>
      </x:c>
      <x:c r="J2037" s="115" t="str">
        <x:v>Non</x:v>
      </x:c>
      <x:c r="K2037" s="115" t="str">
        <x:v>Pièces décrites, murs, portes, niveaux et mobilier inspectables à l’échelle. Volumes réservés, raccord au seed, butin, rencontres et services de campagne restent à terminer.</x:v>
      </x:c>
    </x:row>
    <x:row r="2038" ht="96" customHeight="1">
      <x:c r="A2038" s="115" t="str">
        <x:v>EXT-MONDE-T041-V33</x:v>
      </x:c>
      <x:c r="B2038" s="115" t="str">
        <x:v>EXT-MONDE-T041</x:v>
      </x:c>
      <x:c r="C2038" s="115" t="str">
        <x:v>HLM visitables</x:v>
      </x:c>
      <x:c r="D2038" s="115" t="str">
        <x:v>Barre HLM</x:v>
      </x:c>
      <x:c r="E2038" s="115" t="n">
        <x:v>33</x:v>
      </x:c>
      <x:c r="F2038" s="115" t="str">
        <x:v>Inspection physique</x:v>
      </x:c>
      <x:c r="G2038" s="115" t="str">
        <x:v>7 niveaux ; 146 pièces ; 1100 segments de mur ; 6 transitions. Inspection physique ; architecture complète encore ouverte.</x:v>
      </x:c>
      <x:c r="H2038" s="115" t="str">
        <x:v>L 78,4 ; l 86,04 ; hauteur 18,55 m ; choix de composition auteur ; dimensions réelles à documenter</x:v>
      </x:c>
      <x:c r="I2038" s="115" t="str">
        <x:v>À équilibrer</x:v>
      </x:c>
      <x:c r="J2038" s="115" t="str">
        <x:v>Non</x:v>
      </x:c>
      <x:c r="K2038" s="115" t="str">
        <x:v>Pièces décrites, murs, portes, niveaux et mobilier inspectables à l’échelle. Volumes réservés, raccord au seed, butin, rencontres et services de campagne restent à terminer.</x:v>
      </x:c>
    </x:row>
    <x:row r="2039" ht="96" customHeight="1">
      <x:c r="A2039" s="115" t="str">
        <x:v>EXT-MONDE-T041-V34</x:v>
      </x:c>
      <x:c r="B2039" s="115" t="str">
        <x:v>EXT-MONDE-T041</x:v>
      </x:c>
      <x:c r="C2039" s="115" t="str">
        <x:v>HLM visitables</x:v>
      </x:c>
      <x:c r="D2039" s="115" t="str">
        <x:v>Barre HLM</x:v>
      </x:c>
      <x:c r="E2039" s="115" t="n">
        <x:v>34</x:v>
      </x:c>
      <x:c r="F2039" s="115" t="str">
        <x:v>Inspection physique</x:v>
      </x:c>
      <x:c r="G2039" s="115" t="str">
        <x:v>7 niveaux ; 218 pièces ; 1616 segments de mur ; 6 transitions. Inspection physique ; architecture complète encore ouverte.</x:v>
      </x:c>
      <x:c r="H2039" s="115" t="str">
        <x:v>L 78,8 ; l 98,18 ; hauteur 18,35 m ; choix de composition auteur ; dimensions réelles à documenter</x:v>
      </x:c>
      <x:c r="I2039" s="115" t="str">
        <x:v>À équilibrer</x:v>
      </x:c>
      <x:c r="J2039" s="115" t="str">
        <x:v>Non</x:v>
      </x:c>
      <x:c r="K2039" s="115" t="str">
        <x:v>Pièces décrites, murs, portes, niveaux et mobilier inspectables à l’échelle. Volumes réservés, raccord au seed, butin, rencontres et services de campagne restent à terminer.</x:v>
      </x:c>
    </x:row>
    <x:row r="2040" ht="96" customHeight="1">
      <x:c r="A2040" s="115" t="str">
        <x:v>EXT-MONDE-T041-V35</x:v>
      </x:c>
      <x:c r="B2040" s="115" t="str">
        <x:v>EXT-MONDE-T041</x:v>
      </x:c>
      <x:c r="C2040" s="115" t="str">
        <x:v>HLM visitables</x:v>
      </x:c>
      <x:c r="D2040" s="115" t="str">
        <x:v>Barre HLM</x:v>
      </x:c>
      <x:c r="E2040" s="115" t="n">
        <x:v>35</x:v>
      </x:c>
      <x:c r="F2040" s="115" t="str">
        <x:v>Inspection physique</x:v>
      </x:c>
      <x:c r="G2040" s="115" t="str">
        <x:v>7 niveaux ; 146 pièces ; 1100 segments de mur ; 6 transitions. Inspection physique ; architecture complète encore ouverte.</x:v>
      </x:c>
      <x:c r="H2040" s="115" t="str">
        <x:v>L 79,2 ; l 86,8 ; hauteur 18,45 m ; choix de composition auteur ; dimensions réelles à documenter</x:v>
      </x:c>
      <x:c r="I2040" s="115" t="str">
        <x:v>À équilibrer</x:v>
      </x:c>
      <x:c r="J2040" s="115" t="str">
        <x:v>Non</x:v>
      </x:c>
      <x:c r="K2040" s="115" t="str">
        <x:v>Pièces décrites, murs, portes, niveaux et mobilier inspectables à l’échelle. Volumes réservés, raccord au seed, butin, rencontres et services de campagne restent à terminer.</x:v>
      </x:c>
    </x:row>
    <x:row r="2041" ht="96" customHeight="1">
      <x:c r="A2041" s="115" t="str">
        <x:v>EXT-MONDE-T041-V36</x:v>
      </x:c>
      <x:c r="B2041" s="115" t="str">
        <x:v>EXT-MONDE-T041</x:v>
      </x:c>
      <x:c r="C2041" s="115" t="str">
        <x:v>HLM visitables</x:v>
      </x:c>
      <x:c r="D2041" s="115" t="str">
        <x:v>Barre HLM</x:v>
      </x:c>
      <x:c r="E2041" s="115" t="n">
        <x:v>36</x:v>
      </x:c>
      <x:c r="F2041" s="115" t="str">
        <x:v>Inspection physique</x:v>
      </x:c>
      <x:c r="G2041" s="115" t="str">
        <x:v>7 niveaux ; 218 pièces ; 1616 segments de mur ; 6 transitions. Inspection physique ; architecture complète encore ouverte.</x:v>
      </x:c>
      <x:c r="H2041" s="115" t="str">
        <x:v>L 79,25 ; l 98,42 ; hauteur 18,55 m ; choix de composition auteur ; dimensions réelles à documenter</x:v>
      </x:c>
      <x:c r="I2041" s="115" t="str">
        <x:v>À équilibrer</x:v>
      </x:c>
      <x:c r="J2041" s="115" t="str">
        <x:v>Non</x:v>
      </x:c>
      <x:c r="K2041" s="115" t="str">
        <x:v>Pièces décrites, murs, portes, niveaux et mobilier inspectables à l’échelle. Volumes réservés, raccord au seed, butin, rencontres et services de campagne restent à terminer.</x:v>
      </x:c>
    </x:row>
    <x:row r="2042" ht="96" customHeight="1">
      <x:c r="A2042" s="115" t="str">
        <x:v>EXT-MONDE-T041-V37</x:v>
      </x:c>
      <x:c r="B2042" s="115" t="str">
        <x:v>EXT-MONDE-T041</x:v>
      </x:c>
      <x:c r="C2042" s="115" t="str">
        <x:v>HLM visitables</x:v>
      </x:c>
      <x:c r="D2042" s="115" t="str">
        <x:v>Barre HLM</x:v>
      </x:c>
      <x:c r="E2042" s="115" t="n">
        <x:v>37</x:v>
      </x:c>
      <x:c r="F2042" s="115" t="str">
        <x:v>Inspection physique</x:v>
      </x:c>
      <x:c r="G2042" s="115" t="str">
        <x:v>7 niveaux ; 146 pièces ; 1100 segments de mur ; 6 transitions. Inspection physique ; architecture complète encore ouverte.</x:v>
      </x:c>
      <x:c r="H2042" s="115" t="str">
        <x:v>L 79,65 ; l 87,16 ; hauteur 18,35 m ; choix de composition auteur ; dimensions réelles à documenter</x:v>
      </x:c>
      <x:c r="I2042" s="115" t="str">
        <x:v>À équilibrer</x:v>
      </x:c>
      <x:c r="J2042" s="115" t="str">
        <x:v>Non</x:v>
      </x:c>
      <x:c r="K2042" s="115" t="str">
        <x:v>Pièces décrites, murs, portes, niveaux et mobilier inspectables à l’échelle. Volumes réservés, raccord au seed, butin, rencontres et services de campagne restent à terminer.</x:v>
      </x:c>
    </x:row>
    <x:row r="2043" ht="96" customHeight="1">
      <x:c r="A2043" s="115" t="str">
        <x:v>EXT-MONDE-T041-V38</x:v>
      </x:c>
      <x:c r="B2043" s="115" t="str">
        <x:v>EXT-MONDE-T041</x:v>
      </x:c>
      <x:c r="C2043" s="115" t="str">
        <x:v>HLM visitables</x:v>
      </x:c>
      <x:c r="D2043" s="115" t="str">
        <x:v>Barre HLM</x:v>
      </x:c>
      <x:c r="E2043" s="115" t="n">
        <x:v>38</x:v>
      </x:c>
      <x:c r="F2043" s="115" t="str">
        <x:v>Inspection physique</x:v>
      </x:c>
      <x:c r="G2043" s="115" t="str">
        <x:v>7 niveaux ; 218 pièces ; 1616 segments de mur ; 6 transitions. Inspection physique ; architecture complète encore ouverte.</x:v>
      </x:c>
      <x:c r="H2043" s="115" t="str">
        <x:v>L 80,05 ; l 99,26 ; hauteur 18,45 m ; choix de composition auteur ; dimensions réelles à documenter</x:v>
      </x:c>
      <x:c r="I2043" s="115" t="str">
        <x:v>À équilibrer</x:v>
      </x:c>
      <x:c r="J2043" s="115" t="str">
        <x:v>Non</x:v>
      </x:c>
      <x:c r="K2043" s="115" t="str">
        <x:v>Pièces décrites, murs, portes, niveaux et mobilier inspectables à l’échelle. Volumes réservés, raccord au seed, butin, rencontres et services de campagne restent à terminer.</x:v>
      </x:c>
    </x:row>
    <x:row r="2044" ht="96" customHeight="1">
      <x:c r="A2044" s="115" t="str">
        <x:v>EXT-MONDE-T041-V39</x:v>
      </x:c>
      <x:c r="B2044" s="115" t="str">
        <x:v>EXT-MONDE-T041</x:v>
      </x:c>
      <x:c r="C2044" s="115" t="str">
        <x:v>HLM visitables</x:v>
      </x:c>
      <x:c r="D2044" s="115" t="str">
        <x:v>Barre HLM</x:v>
      </x:c>
      <x:c r="E2044" s="115" t="n">
        <x:v>39</x:v>
      </x:c>
      <x:c r="F2044" s="115" t="str">
        <x:v>Inspection physique</x:v>
      </x:c>
      <x:c r="G2044" s="115" t="str">
        <x:v>7 niveaux ; 146 pièces ; 1100 segments de mur ; 6 transitions. Inspection physique ; architecture complète encore ouverte.</x:v>
      </x:c>
      <x:c r="H2044" s="115" t="str">
        <x:v>L 80,45 ; l 87,92 ; hauteur 18,55 m ; choix de composition auteur ; dimensions réelles à documenter</x:v>
      </x:c>
      <x:c r="I2044" s="115" t="str">
        <x:v>À équilibrer</x:v>
      </x:c>
      <x:c r="J2044" s="115" t="str">
        <x:v>Non</x:v>
      </x:c>
      <x:c r="K2044" s="115" t="str">
        <x:v>Pièces décrites, murs, portes, niveaux et mobilier inspectables à l’échelle. Volumes réservés, raccord au seed, butin, rencontres et services de campagne restent à terminer.</x:v>
      </x:c>
    </x:row>
    <x:row r="2045" ht="96" customHeight="1">
      <x:c r="A2045" s="115" t="str">
        <x:v>EXT-MONDE-T041-V40</x:v>
      </x:c>
      <x:c r="B2045" s="115" t="str">
        <x:v>EXT-MONDE-T041</x:v>
      </x:c>
      <x:c r="C2045" s="115" t="str">
        <x:v>HLM visitables</x:v>
      </x:c>
      <x:c r="D2045" s="115" t="str">
        <x:v>Barre HLM</x:v>
      </x:c>
      <x:c r="E2045" s="115" t="n">
        <x:v>40</x:v>
      </x:c>
      <x:c r="F2045" s="115" t="str">
        <x:v>Inspection physique</x:v>
      </x:c>
      <x:c r="G2045" s="115" t="str">
        <x:v>7 niveaux ; 218 pièces ; 1616 segments de mur ; 6 transitions. Inspection physique ; architecture complète encore ouverte.</x:v>
      </x:c>
      <x:c r="H2045" s="115" t="str">
        <x:v>L 80,85 ; l 100,1 ; hauteur 18,35 m ; choix de composition auteur ; dimensions réelles à documenter</x:v>
      </x:c>
      <x:c r="I2045" s="115" t="str">
        <x:v>À équilibrer</x:v>
      </x:c>
      <x:c r="J2045" s="115" t="str">
        <x:v>Non</x:v>
      </x:c>
      <x:c r="K2045" s="115" t="str">
        <x:v>Pièces décrites, murs, portes, niveaux et mobilier inspectables à l’échelle. Volumes réservés, raccord au seed, butin, rencontres et services de campagne restent à terminer.</x:v>
      </x:c>
    </x:row>
    <x:row r="2046" ht="96" customHeight="1">
      <x:c r="A2046" s="115" t="str">
        <x:v>EXT-MONDE-T041-V41</x:v>
      </x:c>
      <x:c r="B2046" s="115" t="str">
        <x:v>EXT-MONDE-T041</x:v>
      </x:c>
      <x:c r="C2046" s="115" t="str">
        <x:v>HLM visitables</x:v>
      </x:c>
      <x:c r="D2046" s="115" t="str">
        <x:v>Barre HLM</x:v>
      </x:c>
      <x:c r="E2046" s="115" t="n">
        <x:v>41</x:v>
      </x:c>
      <x:c r="F2046" s="115" t="str">
        <x:v>Inspection physique</x:v>
      </x:c>
      <x:c r="G2046" s="115" t="str">
        <x:v>8 niveaux ; 170 pièces ; 1279 segments de mur ; 7 transitions. Inspection physique ; architecture complète encore ouverte.</x:v>
      </x:c>
      <x:c r="H2046" s="115" t="str">
        <x:v>L 77,8 ; l 85,44 ; hauteur 21,35 m ; choix de composition auteur ; dimensions réelles à documenter</x:v>
      </x:c>
      <x:c r="I2046" s="115" t="str">
        <x:v>À équilibrer</x:v>
      </x:c>
      <x:c r="J2046" s="115" t="str">
        <x:v>Non</x:v>
      </x:c>
      <x:c r="K2046" s="115" t="str">
        <x:v>Pièces décrites, murs, portes, niveaux et mobilier inspectables à l’échelle. Volumes réservés, raccord au seed, butin, rencontres et services de campagne restent à terminer.</x:v>
      </x:c>
    </x:row>
    <x:row r="2047" ht="96" customHeight="1">
      <x:c r="A2047" s="115" t="str">
        <x:v>EXT-MONDE-T041-V42</x:v>
      </x:c>
      <x:c r="B2047" s="115" t="str">
        <x:v>EXT-MONDE-T041</x:v>
      </x:c>
      <x:c r="C2047" s="115" t="str">
        <x:v>HLM visitables</x:v>
      </x:c>
      <x:c r="D2047" s="115" t="str">
        <x:v>Barre HLM</x:v>
      </x:c>
      <x:c r="E2047" s="115" t="n">
        <x:v>42</x:v>
      </x:c>
      <x:c r="F2047" s="115" t="str">
        <x:v>Inspection physique</x:v>
      </x:c>
      <x:c r="G2047" s="115" t="str">
        <x:v>8 niveaux ; 254 pièces ; 1881 segments de mur ; 7 transitions. Inspection physique ; architecture complète encore ouverte.</x:v>
      </x:c>
      <x:c r="H2047" s="115" t="str">
        <x:v>L 78,2 ; l 97,58 ; hauteur 21,45 m ; choix de composition auteur ; dimensions réelles à documenter</x:v>
      </x:c>
      <x:c r="I2047" s="115" t="str">
        <x:v>À équilibrer</x:v>
      </x:c>
      <x:c r="J2047" s="115" t="str">
        <x:v>Non</x:v>
      </x:c>
      <x:c r="K2047" s="115" t="str">
        <x:v>Pièces décrites, murs, portes, niveaux et mobilier inspectables à l’échelle. Volumes réservés, raccord au seed, butin, rencontres et services de campagne restent à terminer.</x:v>
      </x:c>
    </x:row>
    <x:row r="2048" ht="96" customHeight="1">
      <x:c r="A2048" s="115" t="str">
        <x:v>EXT-MONDE-T041-V43</x:v>
      </x:c>
      <x:c r="B2048" s="115" t="str">
        <x:v>EXT-MONDE-T041</x:v>
      </x:c>
      <x:c r="C2048" s="115" t="str">
        <x:v>HLM visitables</x:v>
      </x:c>
      <x:c r="D2048" s="115" t="str">
        <x:v>Barre HLM</x:v>
      </x:c>
      <x:c r="E2048" s="115" t="n">
        <x:v>43</x:v>
      </x:c>
      <x:c r="F2048" s="115" t="str">
        <x:v>Inspection physique</x:v>
      </x:c>
      <x:c r="G2048" s="115" t="str">
        <x:v>8 niveaux ; 170 pièces ; 1279 segments de mur ; 7 transitions. Inspection physique ; architecture complète encore ouverte.</x:v>
      </x:c>
      <x:c r="H2048" s="115" t="str">
        <x:v>L 78,6 ; l 86,2 ; hauteur 21,55 m ; choix de composition auteur ; dimensions réelles à documenter</x:v>
      </x:c>
      <x:c r="I2048" s="115" t="str">
        <x:v>À équilibrer</x:v>
      </x:c>
      <x:c r="J2048" s="115" t="str">
        <x:v>Non</x:v>
      </x:c>
      <x:c r="K2048" s="115" t="str">
        <x:v>Pièces décrites, murs, portes, niveaux et mobilier inspectables à l’échelle. Volumes réservés, raccord au seed, butin, rencontres et services de campagne restent à terminer.</x:v>
      </x:c>
    </x:row>
    <x:row r="2049" ht="96" customHeight="1">
      <x:c r="A2049" s="115" t="str">
        <x:v>EXT-MONDE-T041-V44</x:v>
      </x:c>
      <x:c r="B2049" s="115" t="str">
        <x:v>EXT-MONDE-T041</x:v>
      </x:c>
      <x:c r="C2049" s="115" t="str">
        <x:v>HLM visitables</x:v>
      </x:c>
      <x:c r="D2049" s="115" t="str">
        <x:v>Barre HLM</x:v>
      </x:c>
      <x:c r="E2049" s="115" t="n">
        <x:v>44</x:v>
      </x:c>
      <x:c r="F2049" s="115" t="str">
        <x:v>Inspection physique</x:v>
      </x:c>
      <x:c r="G2049" s="115" t="str">
        <x:v>8 niveaux ; 254 pièces ; 1881 segments de mur ; 7 transitions. Inspection physique ; architecture complète encore ouverte.</x:v>
      </x:c>
      <x:c r="H2049" s="115" t="str">
        <x:v>L 79 ; l 98,42 ; hauteur 21,35 m ; choix de composition auteur ; dimensions réelles à documenter</x:v>
      </x:c>
      <x:c r="I2049" s="115" t="str">
        <x:v>À équilibrer</x:v>
      </x:c>
      <x:c r="J2049" s="115" t="str">
        <x:v>Non</x:v>
      </x:c>
      <x:c r="K2049" s="115" t="str">
        <x:v>Pièces décrites, murs, portes, niveaux et mobilier inspectables à l’échelle. Volumes réservés, raccord au seed, butin, rencontres et services de campagne restent à terminer.</x:v>
      </x:c>
    </x:row>
    <x:row r="2050" ht="96" customHeight="1">
      <x:c r="A2050" s="115" t="str">
        <x:v>EXT-MONDE-T041-V45</x:v>
      </x:c>
      <x:c r="B2050" s="115" t="str">
        <x:v>EXT-MONDE-T041</x:v>
      </x:c>
      <x:c r="C2050" s="115" t="str">
        <x:v>HLM visitables</x:v>
      </x:c>
      <x:c r="D2050" s="115" t="str">
        <x:v>Barre HLM</x:v>
      </x:c>
      <x:c r="E2050" s="115" t="n">
        <x:v>45</x:v>
      </x:c>
      <x:c r="F2050" s="115" t="str">
        <x:v>Inspection physique</x:v>
      </x:c>
      <x:c r="G2050" s="115" t="str">
        <x:v>8 niveaux ; 170 pièces ; 1279 segments de mur ; 7 transitions. Inspection physique ; architecture complète encore ouverte.</x:v>
      </x:c>
      <x:c r="H2050" s="115" t="str">
        <x:v>L 79,4 ; l 86,96 ; hauteur 21,45 m ; choix de composition auteur ; dimensions réelles à documenter</x:v>
      </x:c>
      <x:c r="I2050" s="115" t="str">
        <x:v>À équilibrer</x:v>
      </x:c>
      <x:c r="J2050" s="115" t="str">
        <x:v>Non</x:v>
      </x:c>
      <x:c r="K2050" s="115" t="str">
        <x:v>Pièces décrites, murs, portes, niveaux et mobilier inspectables à l’échelle. Volumes réservés, raccord au seed, butin, rencontres et services de campagne restent à terminer.</x:v>
      </x:c>
    </x:row>
    <x:row r="2051" ht="96" customHeight="1">
      <x:c r="A2051" s="115" t="str">
        <x:v>EXT-MONDE-T041-V46</x:v>
      </x:c>
      <x:c r="B2051" s="115" t="str">
        <x:v>EXT-MONDE-T041</x:v>
      </x:c>
      <x:c r="C2051" s="115" t="str">
        <x:v>HLM visitables</x:v>
      </x:c>
      <x:c r="D2051" s="115" t="str">
        <x:v>Barre HLM</x:v>
      </x:c>
      <x:c r="E2051" s="115" t="n">
        <x:v>46</x:v>
      </x:c>
      <x:c r="F2051" s="115" t="str">
        <x:v>Inspection physique</x:v>
      </x:c>
      <x:c r="G2051" s="115" t="str">
        <x:v>8 niveaux ; 254 pièces ; 1881 segments de mur ; 7 transitions. Inspection physique ; architecture complète encore ouverte.</x:v>
      </x:c>
      <x:c r="H2051" s="115" t="str">
        <x:v>L 79,45 ; l 98,66 ; hauteur 21,55 m ; choix de composition auteur ; dimensions réelles à documenter</x:v>
      </x:c>
      <x:c r="I2051" s="115" t="str">
        <x:v>À équilibrer</x:v>
      </x:c>
      <x:c r="J2051" s="115" t="str">
        <x:v>Non</x:v>
      </x:c>
      <x:c r="K2051" s="115" t="str">
        <x:v>Pièces décrites, murs, portes, niveaux et mobilier inspectables à l’échelle. Volumes réservés, raccord au seed, butin, rencontres et services de campagne restent à terminer.</x:v>
      </x:c>
    </x:row>
    <x:row r="2052" ht="96" customHeight="1">
      <x:c r="A2052" s="115" t="str">
        <x:v>EXT-MONDE-T041-V47</x:v>
      </x:c>
      <x:c r="B2052" s="115" t="str">
        <x:v>EXT-MONDE-T041</x:v>
      </x:c>
      <x:c r="C2052" s="115" t="str">
        <x:v>HLM visitables</x:v>
      </x:c>
      <x:c r="D2052" s="115" t="str">
        <x:v>Barre HLM</x:v>
      </x:c>
      <x:c r="E2052" s="115" t="n">
        <x:v>47</x:v>
      </x:c>
      <x:c r="F2052" s="115" t="str">
        <x:v>Inspection physique</x:v>
      </x:c>
      <x:c r="G2052" s="115" t="str">
        <x:v>8 niveaux ; 170 pièces ; 1279 segments de mur ; 7 transitions. Inspection physique ; architecture complète encore ouverte.</x:v>
      </x:c>
      <x:c r="H2052" s="115" t="str">
        <x:v>L 79,85 ; l 87,32 ; hauteur 21,35 m ; choix de composition auteur ; dimensions réelles à documenter</x:v>
      </x:c>
      <x:c r="I2052" s="115" t="str">
        <x:v>À équilibrer</x:v>
      </x:c>
      <x:c r="J2052" s="115" t="str">
        <x:v>Non</x:v>
      </x:c>
      <x:c r="K2052" s="115" t="str">
        <x:v>Pièces décrites, murs, portes, niveaux et mobilier inspectables à l’échelle. Volumes réservés, raccord au seed, butin, rencontres et services de campagne restent à terminer.</x:v>
      </x:c>
    </x:row>
    <x:row r="2053" ht="96" customHeight="1">
      <x:c r="A2053" s="115" t="str">
        <x:v>EXT-MONDE-T041-V48</x:v>
      </x:c>
      <x:c r="B2053" s="115" t="str">
        <x:v>EXT-MONDE-T041</x:v>
      </x:c>
      <x:c r="C2053" s="115" t="str">
        <x:v>HLM visitables</x:v>
      </x:c>
      <x:c r="D2053" s="115" t="str">
        <x:v>Barre HLM</x:v>
      </x:c>
      <x:c r="E2053" s="115" t="n">
        <x:v>48</x:v>
      </x:c>
      <x:c r="F2053" s="115" t="str">
        <x:v>Inspection physique</x:v>
      </x:c>
      <x:c r="G2053" s="115" t="str">
        <x:v>8 niveaux ; 254 pièces ; 1881 segments de mur ; 7 transitions. Inspection physique ; architecture complète encore ouverte.</x:v>
      </x:c>
      <x:c r="H2053" s="115" t="str">
        <x:v>L 80,25 ; l 99,5 ; hauteur 21,45 m ; choix de composition auteur ; dimensions réelles à documenter</x:v>
      </x:c>
      <x:c r="I2053" s="115" t="str">
        <x:v>À équilibrer</x:v>
      </x:c>
      <x:c r="J2053" s="115" t="str">
        <x:v>Non</x:v>
      </x:c>
      <x:c r="K2053" s="115" t="str">
        <x:v>Pièces décrites, murs, portes, niveaux et mobilier inspectables à l’échelle. Volumes réservés, raccord au seed, butin, rencontres et services de campagne restent à terminer.</x:v>
      </x:c>
    </x:row>
    <x:row r="2054" ht="96" customHeight="1">
      <x:c r="A2054" s="115" t="str">
        <x:v>EXT-MONDE-T041-V49</x:v>
      </x:c>
      <x:c r="B2054" s="115" t="str">
        <x:v>EXT-MONDE-T041</x:v>
      </x:c>
      <x:c r="C2054" s="115" t="str">
        <x:v>HLM visitables</x:v>
      </x:c>
      <x:c r="D2054" s="115" t="str">
        <x:v>Barre HLM</x:v>
      </x:c>
      <x:c r="E2054" s="115" t="n">
        <x:v>49</x:v>
      </x:c>
      <x:c r="F2054" s="115" t="str">
        <x:v>Inspection physique</x:v>
      </x:c>
      <x:c r="G2054" s="115" t="str">
        <x:v>8 niveaux ; 170 pièces ; 1279 segments de mur ; 7 transitions. Inspection physique ; architecture complète encore ouverte.</x:v>
      </x:c>
      <x:c r="H2054" s="115" t="str">
        <x:v>L 80,65 ; l 88,08 ; hauteur 21,55 m ; choix de composition auteur ; dimensions réelles à documenter</x:v>
      </x:c>
      <x:c r="I2054" s="115" t="str">
        <x:v>À équilibrer</x:v>
      </x:c>
      <x:c r="J2054" s="115" t="str">
        <x:v>Non</x:v>
      </x:c>
      <x:c r="K2054" s="115" t="str">
        <x:v>Pièces décrites, murs, portes, niveaux et mobilier inspectables à l’échelle. Volumes réservés, raccord au seed, butin, rencontres et services de campagne restent à terminer.</x:v>
      </x:c>
    </x:row>
    <x:row r="2055" ht="96" customHeight="1">
      <x:c r="A2055" s="115" t="str">
        <x:v>EXT-MONDE-T041-V50</x:v>
      </x:c>
      <x:c r="B2055" s="115" t="str">
        <x:v>EXT-MONDE-T041</x:v>
      </x:c>
      <x:c r="C2055" s="115" t="str">
        <x:v>HLM visitables</x:v>
      </x:c>
      <x:c r="D2055" s="115" t="str">
        <x:v>Barre HLM</x:v>
      </x:c>
      <x:c r="E2055" s="115" t="n">
        <x:v>50</x:v>
      </x:c>
      <x:c r="F2055" s="115" t="str">
        <x:v>Inspection physique</x:v>
      </x:c>
      <x:c r="G2055" s="115" t="str">
        <x:v>8 niveaux ; 254 pièces ; 1881 segments de mur ; 7 transitions. Inspection physique ; architecture complète encore ouverte.</x:v>
      </x:c>
      <x:c r="H2055" s="115" t="str">
        <x:v>L 81,05 ; l 100,34 ; hauteur 21,35 m ; choix de composition auteur ; dimensions réelles à documenter</x:v>
      </x:c>
      <x:c r="I2055" s="115" t="str">
        <x:v>À équilibrer</x:v>
      </x:c>
      <x:c r="J2055" s="115" t="str">
        <x:v>Non</x:v>
      </x:c>
      <x:c r="K2055" s="115" t="str">
        <x:v>Pièces décrites, murs, portes, niveaux et mobilier inspectables à l’échelle. Volumes réservés, raccord au seed, butin, rencontres et services de campagne restent à terminer.</x:v>
      </x:c>
    </x:row>
    <x:row r="2056" ht="96" customHeight="1">
      <x:c r="A2056" s="115" t="str">
        <x:v>EXT-MONDE-T042-V01</x:v>
      </x:c>
      <x:c r="B2056" s="115" t="str">
        <x:v>EXT-MONDE-T042</x:v>
      </x:c>
      <x:c r="C2056" s="115" t="str">
        <x:v>HLM visitables</x:v>
      </x:c>
      <x:c r="D2056" s="115" t="str">
        <x:v>Tour HLM</x:v>
      </x:c>
      <x:c r="E2056" s="115" t="n">
        <x:v>1</x:v>
      </x:c>
      <x:c r="F2056" s="115" t="str">
        <x:v>Inspection physique</x:v>
      </x:c>
      <x:c r="G2056" s="115" t="str">
        <x:v>8 niveaux ; 170 pièces ; 1279 segments de mur ; 7 transitions. Inspection physique ; architecture complète encore ouverte.</x:v>
      </x:c>
      <x:c r="H2056" s="115" t="str">
        <x:v>L 77 ; l 84,8 ; hauteur 21,35 m ; choix de composition auteur ; dimensions réelles à documenter</x:v>
      </x:c>
      <x:c r="I2056" s="115" t="str">
        <x:v>À équilibrer</x:v>
      </x:c>
      <x:c r="J2056" s="115" t="str">
        <x:v>Non</x:v>
      </x:c>
      <x:c r="K2056" s="115" t="str">
        <x:v>Pièces décrites, murs, portes, niveaux et mobilier inspectables à l’échelle. Volumes réservés, raccord au seed, butin, rencontres et services de campagne restent à terminer.</x:v>
      </x:c>
    </x:row>
    <x:row r="2057" ht="96" customHeight="1">
      <x:c r="A2057" s="115" t="str">
        <x:v>EXT-MONDE-T042-V02</x:v>
      </x:c>
      <x:c r="B2057" s="115" t="str">
        <x:v>EXT-MONDE-T042</x:v>
      </x:c>
      <x:c r="C2057" s="115" t="str">
        <x:v>HLM visitables</x:v>
      </x:c>
      <x:c r="D2057" s="115" t="str">
        <x:v>Tour HLM</x:v>
      </x:c>
      <x:c r="E2057" s="115" t="n">
        <x:v>2</x:v>
      </x:c>
      <x:c r="F2057" s="115" t="str">
        <x:v>Inspection physique</x:v>
      </x:c>
      <x:c r="G2057" s="115" t="str">
        <x:v>8 niveaux ; 170 pièces ; 1279 segments de mur ; 7 transitions. Inspection physique ; architecture complète encore ouverte.</x:v>
      </x:c>
      <x:c r="H2057" s="115" t="str">
        <x:v>L 77,4 ; l 85,18 ; hauteur 21,45 m ; choix de composition auteur ; dimensions réelles à documenter</x:v>
      </x:c>
      <x:c r="I2057" s="115" t="str">
        <x:v>À équilibrer</x:v>
      </x:c>
      <x:c r="J2057" s="115" t="str">
        <x:v>Non</x:v>
      </x:c>
      <x:c r="K2057" s="115" t="str">
        <x:v>Pièces décrites, murs, portes, niveaux et mobilier inspectables à l’échelle. Volumes réservés, raccord au seed, butin, rencontres et services de campagne restent à terminer.</x:v>
      </x:c>
    </x:row>
    <x:row r="2058" ht="96" customHeight="1">
      <x:c r="A2058" s="115" t="str">
        <x:v>EXT-MONDE-T042-V03</x:v>
      </x:c>
      <x:c r="B2058" s="115" t="str">
        <x:v>EXT-MONDE-T042</x:v>
      </x:c>
      <x:c r="C2058" s="115" t="str">
        <x:v>HLM visitables</x:v>
      </x:c>
      <x:c r="D2058" s="115" t="str">
        <x:v>Tour HLM</x:v>
      </x:c>
      <x:c r="E2058" s="115" t="n">
        <x:v>3</x:v>
      </x:c>
      <x:c r="F2058" s="115" t="str">
        <x:v>Inspection physique</x:v>
      </x:c>
      <x:c r="G2058" s="115" t="str">
        <x:v>8 niveaux ; 170 pièces ; 1279 segments de mur ; 7 transitions. Inspection physique ; architecture complète encore ouverte.</x:v>
      </x:c>
      <x:c r="H2058" s="115" t="str">
        <x:v>L 77,8 ; l 85,56 ; hauteur 21,55 m ; choix de composition auteur ; dimensions réelles à documenter</x:v>
      </x:c>
      <x:c r="I2058" s="115" t="str">
        <x:v>À équilibrer</x:v>
      </x:c>
      <x:c r="J2058" s="115" t="str">
        <x:v>Non</x:v>
      </x:c>
      <x:c r="K2058" s="115" t="str">
        <x:v>Pièces décrites, murs, portes, niveaux et mobilier inspectables à l’échelle. Volumes réservés, raccord au seed, butin, rencontres et services de campagne restent à terminer.</x:v>
      </x:c>
    </x:row>
    <x:row r="2059" ht="96" customHeight="1">
      <x:c r="A2059" s="115" t="str">
        <x:v>EXT-MONDE-T042-V04</x:v>
      </x:c>
      <x:c r="B2059" s="115" t="str">
        <x:v>EXT-MONDE-T042</x:v>
      </x:c>
      <x:c r="C2059" s="115" t="str">
        <x:v>HLM visitables</x:v>
      </x:c>
      <x:c r="D2059" s="115" t="str">
        <x:v>Tour HLM</x:v>
      </x:c>
      <x:c r="E2059" s="115" t="n">
        <x:v>4</x:v>
      </x:c>
      <x:c r="F2059" s="115" t="str">
        <x:v>Inspection physique</x:v>
      </x:c>
      <x:c r="G2059" s="115" t="str">
        <x:v>8 niveaux ; 170 pièces ; 1279 segments de mur ; 7 transitions. Inspection physique ; architecture complète encore ouverte.</x:v>
      </x:c>
      <x:c r="H2059" s="115" t="str">
        <x:v>L 78,2 ; l 85,94 ; hauteur 21,35 m ; choix de composition auteur ; dimensions réelles à documenter</x:v>
      </x:c>
      <x:c r="I2059" s="115" t="str">
        <x:v>À équilibrer</x:v>
      </x:c>
      <x:c r="J2059" s="115" t="str">
        <x:v>Non</x:v>
      </x:c>
      <x:c r="K2059" s="115" t="str">
        <x:v>Pièces décrites, murs, portes, niveaux et mobilier inspectables à l’échelle. Volumes réservés, raccord au seed, butin, rencontres et services de campagne restent à terminer.</x:v>
      </x:c>
    </x:row>
    <x:row r="2060" ht="96" customHeight="1">
      <x:c r="A2060" s="115" t="str">
        <x:v>EXT-MONDE-T042-V05</x:v>
      </x:c>
      <x:c r="B2060" s="115" t="str">
        <x:v>EXT-MONDE-T042</x:v>
      </x:c>
      <x:c r="C2060" s="115" t="str">
        <x:v>HLM visitables</x:v>
      </x:c>
      <x:c r="D2060" s="115" t="str">
        <x:v>Tour HLM</x:v>
      </x:c>
      <x:c r="E2060" s="115" t="n">
        <x:v>5</x:v>
      </x:c>
      <x:c r="F2060" s="115" t="str">
        <x:v>Inspection physique</x:v>
      </x:c>
      <x:c r="G2060" s="115" t="str">
        <x:v>8 niveaux ; 170 pièces ; 1279 segments de mur ; 7 transitions. Inspection physique ; architecture complète encore ouverte.</x:v>
      </x:c>
      <x:c r="H2060" s="115" t="str">
        <x:v>L 78,6 ; l 86,32 ; hauteur 21,45 m ; choix de composition auteur ; dimensions réelles à documenter</x:v>
      </x:c>
      <x:c r="I2060" s="115" t="str">
        <x:v>À équilibrer</x:v>
      </x:c>
      <x:c r="J2060" s="115" t="str">
        <x:v>Non</x:v>
      </x:c>
      <x:c r="K2060" s="115" t="str">
        <x:v>Pièces décrites, murs, portes, niveaux et mobilier inspectables à l’échelle. Volumes réservés, raccord au seed, butin, rencontres et services de campagne restent à terminer.</x:v>
      </x:c>
    </x:row>
    <x:row r="2061" ht="96" customHeight="1">
      <x:c r="A2061" s="115" t="str">
        <x:v>EXT-MONDE-T042-V06</x:v>
      </x:c>
      <x:c r="B2061" s="115" t="str">
        <x:v>EXT-MONDE-T042</x:v>
      </x:c>
      <x:c r="C2061" s="115" t="str">
        <x:v>HLM visitables</x:v>
      </x:c>
      <x:c r="D2061" s="115" t="str">
        <x:v>Tour HLM</x:v>
      </x:c>
      <x:c r="E2061" s="115" t="n">
        <x:v>6</x:v>
      </x:c>
      <x:c r="F2061" s="115" t="str">
        <x:v>Inspection physique</x:v>
      </x:c>
      <x:c r="G2061" s="115" t="str">
        <x:v>8 niveaux ; 170 pièces ; 1279 segments de mur ; 7 transitions. Inspection physique ; architecture complète encore ouverte.</x:v>
      </x:c>
      <x:c r="H2061" s="115" t="str">
        <x:v>L 78,65 ; l 86,3 ; hauteur 21,55 m ; choix de composition auteur ; dimensions réelles à documenter</x:v>
      </x:c>
      <x:c r="I2061" s="115" t="str">
        <x:v>À équilibrer</x:v>
      </x:c>
      <x:c r="J2061" s="115" t="str">
        <x:v>Non</x:v>
      </x:c>
      <x:c r="K2061" s="115" t="str">
        <x:v>Pièces décrites, murs, portes, niveaux et mobilier inspectables à l’échelle. Volumes réservés, raccord au seed, butin, rencontres et services de campagne restent à terminer.</x:v>
      </x:c>
    </x:row>
    <x:row r="2062" ht="96" customHeight="1">
      <x:c r="A2062" s="115" t="str">
        <x:v>EXT-MONDE-T042-V07</x:v>
      </x:c>
      <x:c r="B2062" s="115" t="str">
        <x:v>EXT-MONDE-T042</x:v>
      </x:c>
      <x:c r="C2062" s="115" t="str">
        <x:v>HLM visitables</x:v>
      </x:c>
      <x:c r="D2062" s="115" t="str">
        <x:v>Tour HLM</x:v>
      </x:c>
      <x:c r="E2062" s="115" t="n">
        <x:v>7</x:v>
      </x:c>
      <x:c r="F2062" s="115" t="str">
        <x:v>Inspection physique</x:v>
      </x:c>
      <x:c r="G2062" s="115" t="str">
        <x:v>8 niveaux ; 170 pièces ; 1279 segments de mur ; 7 transitions. Inspection physique ; architecture complète encore ouverte.</x:v>
      </x:c>
      <x:c r="H2062" s="115" t="str">
        <x:v>L 79,05 ; l 86,68 ; hauteur 21,35 m ; choix de composition auteur ; dimensions réelles à documenter</x:v>
      </x:c>
      <x:c r="I2062" s="115" t="str">
        <x:v>À équilibrer</x:v>
      </x:c>
      <x:c r="J2062" s="115" t="str">
        <x:v>Non</x:v>
      </x:c>
      <x:c r="K2062" s="115" t="str">
        <x:v>Pièces décrites, murs, portes, niveaux et mobilier inspectables à l’échelle. Volumes réservés, raccord au seed, butin, rencontres et services de campagne restent à terminer.</x:v>
      </x:c>
    </x:row>
    <x:row r="2063" ht="96" customHeight="1">
      <x:c r="A2063" s="115" t="str">
        <x:v>EXT-MONDE-T042-V08</x:v>
      </x:c>
      <x:c r="B2063" s="115" t="str">
        <x:v>EXT-MONDE-T042</x:v>
      </x:c>
      <x:c r="C2063" s="115" t="str">
        <x:v>HLM visitables</x:v>
      </x:c>
      <x:c r="D2063" s="115" t="str">
        <x:v>Tour HLM</x:v>
      </x:c>
      <x:c r="E2063" s="115" t="n">
        <x:v>8</x:v>
      </x:c>
      <x:c r="F2063" s="115" t="str">
        <x:v>Inspection physique</x:v>
      </x:c>
      <x:c r="G2063" s="115" t="str">
        <x:v>8 niveaux ; 170 pièces ; 1279 segments de mur ; 7 transitions. Inspection physique ; architecture complète encore ouverte.</x:v>
      </x:c>
      <x:c r="H2063" s="115" t="str">
        <x:v>L 79,45 ; l 87,06 ; hauteur 21,45 m ; choix de composition auteur ; dimensions réelles à documenter</x:v>
      </x:c>
      <x:c r="I2063" s="115" t="str">
        <x:v>À équilibrer</x:v>
      </x:c>
      <x:c r="J2063" s="115" t="str">
        <x:v>Non</x:v>
      </x:c>
      <x:c r="K2063" s="115" t="str">
        <x:v>Pièces décrites, murs, portes, niveaux et mobilier inspectables à l’échelle. Volumes réservés, raccord au seed, butin, rencontres et services de campagne restent à terminer.</x:v>
      </x:c>
    </x:row>
    <x:row r="2064" ht="96" customHeight="1">
      <x:c r="A2064" s="115" t="str">
        <x:v>EXT-MONDE-T042-V09</x:v>
      </x:c>
      <x:c r="B2064" s="115" t="str">
        <x:v>EXT-MONDE-T042</x:v>
      </x:c>
      <x:c r="C2064" s="115" t="str">
        <x:v>HLM visitables</x:v>
      </x:c>
      <x:c r="D2064" s="115" t="str">
        <x:v>Tour HLM</x:v>
      </x:c>
      <x:c r="E2064" s="115" t="n">
        <x:v>9</x:v>
      </x:c>
      <x:c r="F2064" s="115" t="str">
        <x:v>Inspection physique</x:v>
      </x:c>
      <x:c r="G2064" s="115" t="str">
        <x:v>8 niveaux ; 170 pièces ; 1279 segments de mur ; 7 transitions. Inspection physique ; architecture complète encore ouverte.</x:v>
      </x:c>
      <x:c r="H2064" s="115" t="str">
        <x:v>L 79,85 ; l 87,44 ; hauteur 21,55 m ; choix de composition auteur ; dimensions réelles à documenter</x:v>
      </x:c>
      <x:c r="I2064" s="115" t="str">
        <x:v>À équilibrer</x:v>
      </x:c>
      <x:c r="J2064" s="115" t="str">
        <x:v>Non</x:v>
      </x:c>
      <x:c r="K2064" s="115" t="str">
        <x:v>Pièces décrites, murs, portes, niveaux et mobilier inspectables à l’échelle. Volumes réservés, raccord au seed, butin, rencontres et services de campagne restent à terminer.</x:v>
      </x:c>
    </x:row>
    <x:row r="2065" ht="96" customHeight="1">
      <x:c r="A2065" s="115" t="str">
        <x:v>EXT-MONDE-T042-V10</x:v>
      </x:c>
      <x:c r="B2065" s="115" t="str">
        <x:v>EXT-MONDE-T042</x:v>
      </x:c>
      <x:c r="C2065" s="115" t="str">
        <x:v>HLM visitables</x:v>
      </x:c>
      <x:c r="D2065" s="115" t="str">
        <x:v>Tour HLM</x:v>
      </x:c>
      <x:c r="E2065" s="115" t="n">
        <x:v>10</x:v>
      </x:c>
      <x:c r="F2065" s="115" t="str">
        <x:v>Inspection physique</x:v>
      </x:c>
      <x:c r="G2065" s="115" t="str">
        <x:v>8 niveaux ; 170 pièces ; 1279 segments de mur ; 7 transitions. Inspection physique ; architecture complète encore ouverte.</x:v>
      </x:c>
      <x:c r="H2065" s="115" t="str">
        <x:v>L 80,25 ; l 87,82 ; hauteur 21,35 m ; choix de composition auteur ; dimensions réelles à documenter</x:v>
      </x:c>
      <x:c r="I2065" s="115" t="str">
        <x:v>À équilibrer</x:v>
      </x:c>
      <x:c r="J2065" s="115" t="str">
        <x:v>Non</x:v>
      </x:c>
      <x:c r="K2065" s="115" t="str">
        <x:v>Pièces décrites, murs, portes, niveaux et mobilier inspectables à l’échelle. Volumes réservés, raccord au seed, butin, rencontres et services de campagne restent à terminer.</x:v>
      </x:c>
    </x:row>
    <x:row r="2066" ht="96" customHeight="1">
      <x:c r="A2066" s="115" t="str">
        <x:v>EXT-MONDE-T042-V11</x:v>
      </x:c>
      <x:c r="B2066" s="115" t="str">
        <x:v>EXT-MONDE-T042</x:v>
      </x:c>
      <x:c r="C2066" s="115" t="str">
        <x:v>HLM visitables</x:v>
      </x:c>
      <x:c r="D2066" s="115" t="str">
        <x:v>Tour HLM</x:v>
      </x:c>
      <x:c r="E2066" s="115" t="n">
        <x:v>11</x:v>
      </x:c>
      <x:c r="F2066" s="115" t="str">
        <x:v>Inspection physique</x:v>
      </x:c>
      <x:c r="G2066" s="115" t="str">
        <x:v>9 niveaux ; 194 pièces ; 1458 segments de mur ; 8 transitions. Inspection physique ; architecture complète encore ouverte.</x:v>
      </x:c>
      <x:c r="H2066" s="115" t="str">
        <x:v>L 77,2 ; l 84,96 ; hauteur 24,35 m ; choix de composition auteur ; dimensions réelles à documenter</x:v>
      </x:c>
      <x:c r="I2066" s="115" t="str">
        <x:v>À équilibrer</x:v>
      </x:c>
      <x:c r="J2066" s="115" t="str">
        <x:v>Non</x:v>
      </x:c>
      <x:c r="K2066" s="115" t="str">
        <x:v>Pièces décrites, murs, portes, niveaux et mobilier inspectables à l’échelle. Volumes réservés, raccord au seed, butin, rencontres et services de campagne restent à terminer.</x:v>
      </x:c>
    </x:row>
    <x:row r="2067" ht="96" customHeight="1">
      <x:c r="A2067" s="115" t="str">
        <x:v>EXT-MONDE-T042-V12</x:v>
      </x:c>
      <x:c r="B2067" s="115" t="str">
        <x:v>EXT-MONDE-T042</x:v>
      </x:c>
      <x:c r="C2067" s="115" t="str">
        <x:v>HLM visitables</x:v>
      </x:c>
      <x:c r="D2067" s="115" t="str">
        <x:v>Tour HLM</x:v>
      </x:c>
      <x:c r="E2067" s="115" t="n">
        <x:v>12</x:v>
      </x:c>
      <x:c r="F2067" s="115" t="str">
        <x:v>Inspection physique</x:v>
      </x:c>
      <x:c r="G2067" s="115" t="str">
        <x:v>9 niveaux ; 194 pièces ; 1458 segments de mur ; 8 transitions. Inspection physique ; architecture complète encore ouverte.</x:v>
      </x:c>
      <x:c r="H2067" s="115" t="str">
        <x:v>L 77,6 ; l 85,34 ; hauteur 24,45 m ; choix de composition auteur ; dimensions réelles à documenter</x:v>
      </x:c>
      <x:c r="I2067" s="115" t="str">
        <x:v>À équilibrer</x:v>
      </x:c>
      <x:c r="J2067" s="115" t="str">
        <x:v>Non</x:v>
      </x:c>
      <x:c r="K2067" s="115" t="str">
        <x:v>Pièces décrites, murs, portes, niveaux et mobilier inspectables à l’échelle. Volumes réservés, raccord au seed, butin, rencontres et services de campagne restent à terminer.</x:v>
      </x:c>
    </x:row>
    <x:row r="2068" ht="96" customHeight="1">
      <x:c r="A2068" s="115" t="str">
        <x:v>EXT-MONDE-T042-V13</x:v>
      </x:c>
      <x:c r="B2068" s="115" t="str">
        <x:v>EXT-MONDE-T042</x:v>
      </x:c>
      <x:c r="C2068" s="115" t="str">
        <x:v>HLM visitables</x:v>
      </x:c>
      <x:c r="D2068" s="115" t="str">
        <x:v>Tour HLM</x:v>
      </x:c>
      <x:c r="E2068" s="115" t="n">
        <x:v>13</x:v>
      </x:c>
      <x:c r="F2068" s="115" t="str">
        <x:v>Inspection physique</x:v>
      </x:c>
      <x:c r="G2068" s="115" t="str">
        <x:v>9 niveaux ; 194 pièces ; 1458 segments de mur ; 8 transitions. Inspection physique ; architecture complète encore ouverte.</x:v>
      </x:c>
      <x:c r="H2068" s="115" t="str">
        <x:v>L 78 ; l 85,72 ; hauteur 24,55 m ; choix de composition auteur ; dimensions réelles à documenter</x:v>
      </x:c>
      <x:c r="I2068" s="115" t="str">
        <x:v>À équilibrer</x:v>
      </x:c>
      <x:c r="J2068" s="115" t="str">
        <x:v>Non</x:v>
      </x:c>
      <x:c r="K2068" s="115" t="str">
        <x:v>Pièces décrites, murs, portes, niveaux et mobilier inspectables à l’échelle. Volumes réservés, raccord au seed, butin, rencontres et services de campagne restent à terminer.</x:v>
      </x:c>
    </x:row>
    <x:row r="2069" ht="96" customHeight="1">
      <x:c r="A2069" s="115" t="str">
        <x:v>EXT-MONDE-T042-V14</x:v>
      </x:c>
      <x:c r="B2069" s="115" t="str">
        <x:v>EXT-MONDE-T042</x:v>
      </x:c>
      <x:c r="C2069" s="115" t="str">
        <x:v>HLM visitables</x:v>
      </x:c>
      <x:c r="D2069" s="115" t="str">
        <x:v>Tour HLM</x:v>
      </x:c>
      <x:c r="E2069" s="115" t="n">
        <x:v>14</x:v>
      </x:c>
      <x:c r="F2069" s="115" t="str">
        <x:v>Inspection physique</x:v>
      </x:c>
      <x:c r="G2069" s="115" t="str">
        <x:v>9 niveaux ; 194 pièces ; 1458 segments de mur ; 8 transitions. Inspection physique ; architecture complète encore ouverte.</x:v>
      </x:c>
      <x:c r="H2069" s="115" t="str">
        <x:v>L 78,4 ; l 86,1 ; hauteur 24,35 m ; choix de composition auteur ; dimensions réelles à documenter</x:v>
      </x:c>
      <x:c r="I2069" s="115" t="str">
        <x:v>À équilibrer</x:v>
      </x:c>
      <x:c r="J2069" s="115" t="str">
        <x:v>Non</x:v>
      </x:c>
      <x:c r="K2069" s="115" t="str">
        <x:v>Pièces décrites, murs, portes, niveaux et mobilier inspectables à l’échelle. Volumes réservés, raccord au seed, butin, rencontres et services de campagne restent à terminer.</x:v>
      </x:c>
    </x:row>
    <x:row r="2070" ht="96" customHeight="1">
      <x:c r="A2070" s="115" t="str">
        <x:v>EXT-MONDE-T042-V15</x:v>
      </x:c>
      <x:c r="B2070" s="115" t="str">
        <x:v>EXT-MONDE-T042</x:v>
      </x:c>
      <x:c r="C2070" s="115" t="str">
        <x:v>HLM visitables</x:v>
      </x:c>
      <x:c r="D2070" s="115" t="str">
        <x:v>Tour HLM</x:v>
      </x:c>
      <x:c r="E2070" s="115" t="n">
        <x:v>15</x:v>
      </x:c>
      <x:c r="F2070" s="115" t="str">
        <x:v>Inspection physique</x:v>
      </x:c>
      <x:c r="G2070" s="115" t="str">
        <x:v>9 niveaux ; 194 pièces ; 1458 segments de mur ; 8 transitions. Inspection physique ; architecture complète encore ouverte.</x:v>
      </x:c>
      <x:c r="H2070" s="115" t="str">
        <x:v>L 78,8 ; l 86,48 ; hauteur 24,45 m ; choix de composition auteur ; dimensions réelles à documenter</x:v>
      </x:c>
      <x:c r="I2070" s="115" t="str">
        <x:v>À équilibrer</x:v>
      </x:c>
      <x:c r="J2070" s="115" t="str">
        <x:v>Non</x:v>
      </x:c>
      <x:c r="K2070" s="115" t="str">
        <x:v>Pièces décrites, murs, portes, niveaux et mobilier inspectables à l’échelle. Volumes réservés, raccord au seed, butin, rencontres et services de campagne restent à terminer.</x:v>
      </x:c>
    </x:row>
    <x:row r="2071" ht="96" customHeight="1">
      <x:c r="A2071" s="115" t="str">
        <x:v>EXT-MONDE-T042-V16</x:v>
      </x:c>
      <x:c r="B2071" s="115" t="str">
        <x:v>EXT-MONDE-T042</x:v>
      </x:c>
      <x:c r="C2071" s="115" t="str">
        <x:v>HLM visitables</x:v>
      </x:c>
      <x:c r="D2071" s="115" t="str">
        <x:v>Tour HLM</x:v>
      </x:c>
      <x:c r="E2071" s="115" t="n">
        <x:v>16</x:v>
      </x:c>
      <x:c r="F2071" s="115" t="str">
        <x:v>Inspection physique</x:v>
      </x:c>
      <x:c r="G2071" s="115" t="str">
        <x:v>9 niveaux ; 194 pièces ; 1458 segments de mur ; 8 transitions. Inspection physique ; architecture complète encore ouverte.</x:v>
      </x:c>
      <x:c r="H2071" s="115" t="str">
        <x:v>L 78,85 ; l 86,46 ; hauteur 24,55 m ; choix de composition auteur ; dimensions réelles à documenter</x:v>
      </x:c>
      <x:c r="I2071" s="115" t="str">
        <x:v>À équilibrer</x:v>
      </x:c>
      <x:c r="J2071" s="115" t="str">
        <x:v>Non</x:v>
      </x:c>
      <x:c r="K2071" s="115" t="str">
        <x:v>Pièces décrites, murs, portes, niveaux et mobilier inspectables à l’échelle. Volumes réservés, raccord au seed, butin, rencontres et services de campagne restent à terminer.</x:v>
      </x:c>
    </x:row>
    <x:row r="2072" ht="96" customHeight="1">
      <x:c r="A2072" s="115" t="str">
        <x:v>EXT-MONDE-T042-V17</x:v>
      </x:c>
      <x:c r="B2072" s="115" t="str">
        <x:v>EXT-MONDE-T042</x:v>
      </x:c>
      <x:c r="C2072" s="115" t="str">
        <x:v>HLM visitables</x:v>
      </x:c>
      <x:c r="D2072" s="115" t="str">
        <x:v>Tour HLM</x:v>
      </x:c>
      <x:c r="E2072" s="115" t="n">
        <x:v>17</x:v>
      </x:c>
      <x:c r="F2072" s="115" t="str">
        <x:v>Inspection physique</x:v>
      </x:c>
      <x:c r="G2072" s="115" t="str">
        <x:v>9 niveaux ; 194 pièces ; 1458 segments de mur ; 8 transitions. Inspection physique ; architecture complète encore ouverte.</x:v>
      </x:c>
      <x:c r="H2072" s="115" t="str">
        <x:v>L 79,25 ; l 86,84 ; hauteur 24,35 m ; choix de composition auteur ; dimensions réelles à documenter</x:v>
      </x:c>
      <x:c r="I2072" s="115" t="str">
        <x:v>À équilibrer</x:v>
      </x:c>
      <x:c r="J2072" s="115" t="str">
        <x:v>Non</x:v>
      </x:c>
      <x:c r="K2072" s="115" t="str">
        <x:v>Pièces décrites, murs, portes, niveaux et mobilier inspectables à l’échelle. Volumes réservés, raccord au seed, butin, rencontres et services de campagne restent à terminer.</x:v>
      </x:c>
    </x:row>
    <x:row r="2073" ht="96" customHeight="1">
      <x:c r="A2073" s="115" t="str">
        <x:v>EXT-MONDE-T042-V18</x:v>
      </x:c>
      <x:c r="B2073" s="115" t="str">
        <x:v>EXT-MONDE-T042</x:v>
      </x:c>
      <x:c r="C2073" s="115" t="str">
        <x:v>HLM visitables</x:v>
      </x:c>
      <x:c r="D2073" s="115" t="str">
        <x:v>Tour HLM</x:v>
      </x:c>
      <x:c r="E2073" s="115" t="n">
        <x:v>18</x:v>
      </x:c>
      <x:c r="F2073" s="115" t="str">
        <x:v>Inspection physique</x:v>
      </x:c>
      <x:c r="G2073" s="115" t="str">
        <x:v>9 niveaux ; 194 pièces ; 1458 segments de mur ; 8 transitions. Inspection physique ; architecture complète encore ouverte.</x:v>
      </x:c>
      <x:c r="H2073" s="115" t="str">
        <x:v>L 79,65 ; l 87,22 ; hauteur 24,45 m ; choix de composition auteur ; dimensions réelles à documenter</x:v>
      </x:c>
      <x:c r="I2073" s="115" t="str">
        <x:v>À équilibrer</x:v>
      </x:c>
      <x:c r="J2073" s="115" t="str">
        <x:v>Non</x:v>
      </x:c>
      <x:c r="K2073" s="115" t="str">
        <x:v>Pièces décrites, murs, portes, niveaux et mobilier inspectables à l’échelle. Volumes réservés, raccord au seed, butin, rencontres et services de campagne restent à terminer.</x:v>
      </x:c>
    </x:row>
    <x:row r="2074" ht="96" customHeight="1">
      <x:c r="A2074" s="115" t="str">
        <x:v>EXT-MONDE-T042-V19</x:v>
      </x:c>
      <x:c r="B2074" s="115" t="str">
        <x:v>EXT-MONDE-T042</x:v>
      </x:c>
      <x:c r="C2074" s="115" t="str">
        <x:v>HLM visitables</x:v>
      </x:c>
      <x:c r="D2074" s="115" t="str">
        <x:v>Tour HLM</x:v>
      </x:c>
      <x:c r="E2074" s="115" t="n">
        <x:v>19</x:v>
      </x:c>
      <x:c r="F2074" s="115" t="str">
        <x:v>Inspection physique</x:v>
      </x:c>
      <x:c r="G2074" s="115" t="str">
        <x:v>9 niveaux ; 194 pièces ; 1458 segments de mur ; 8 transitions. Inspection physique ; architecture complète encore ouverte.</x:v>
      </x:c>
      <x:c r="H2074" s="115" t="str">
        <x:v>L 80,05 ; l 87,6 ; hauteur 24,55 m ; choix de composition auteur ; dimensions réelles à documenter</x:v>
      </x:c>
      <x:c r="I2074" s="115" t="str">
        <x:v>À équilibrer</x:v>
      </x:c>
      <x:c r="J2074" s="115" t="str">
        <x:v>Non</x:v>
      </x:c>
      <x:c r="K2074" s="115" t="str">
        <x:v>Pièces décrites, murs, portes, niveaux et mobilier inspectables à l’échelle. Volumes réservés, raccord au seed, butin, rencontres et services de campagne restent à terminer.</x:v>
      </x:c>
    </x:row>
    <x:row r="2075" ht="96" customHeight="1">
      <x:c r="A2075" s="115" t="str">
        <x:v>EXT-MONDE-T042-V20</x:v>
      </x:c>
      <x:c r="B2075" s="115" t="str">
        <x:v>EXT-MONDE-T042</x:v>
      </x:c>
      <x:c r="C2075" s="115" t="str">
        <x:v>HLM visitables</x:v>
      </x:c>
      <x:c r="D2075" s="115" t="str">
        <x:v>Tour HLM</x:v>
      </x:c>
      <x:c r="E2075" s="115" t="n">
        <x:v>20</x:v>
      </x:c>
      <x:c r="F2075" s="115" t="str">
        <x:v>Inspection physique</x:v>
      </x:c>
      <x:c r="G2075" s="115" t="str">
        <x:v>9 niveaux ; 194 pièces ; 1458 segments de mur ; 8 transitions. Inspection physique ; architecture complète encore ouverte.</x:v>
      </x:c>
      <x:c r="H2075" s="115" t="str">
        <x:v>L 80,45 ; l 87,98 ; hauteur 24,35 m ; choix de composition auteur ; dimensions réelles à documenter</x:v>
      </x:c>
      <x:c r="I2075" s="115" t="str">
        <x:v>À équilibrer</x:v>
      </x:c>
      <x:c r="J2075" s="115" t="str">
        <x:v>Non</x:v>
      </x:c>
      <x:c r="K2075" s="115" t="str">
        <x:v>Pièces décrites, murs, portes, niveaux et mobilier inspectables à l’échelle. Volumes réservés, raccord au seed, butin, rencontres et services de campagne restent à terminer.</x:v>
      </x:c>
    </x:row>
    <x:row r="2076" ht="96" customHeight="1">
      <x:c r="A2076" s="115" t="str">
        <x:v>EXT-MONDE-T042-V21</x:v>
      </x:c>
      <x:c r="B2076" s="115" t="str">
        <x:v>EXT-MONDE-T042</x:v>
      </x:c>
      <x:c r="C2076" s="115" t="str">
        <x:v>HLM visitables</x:v>
      </x:c>
      <x:c r="D2076" s="115" t="str">
        <x:v>Tour HLM</x:v>
      </x:c>
      <x:c r="E2076" s="115" t="n">
        <x:v>21</x:v>
      </x:c>
      <x:c r="F2076" s="115" t="str">
        <x:v>Inspection physique</x:v>
      </x:c>
      <x:c r="G2076" s="115" t="str">
        <x:v>10 niveaux ; 218 pièces ; 1637 segments de mur ; 9 transitions. Inspection physique ; architecture complète encore ouverte.</x:v>
      </x:c>
      <x:c r="H2076" s="115" t="str">
        <x:v>L 77,4 ; l 85,12 ; hauteur 27,35 m ; choix de composition auteur ; dimensions réelles à documenter</x:v>
      </x:c>
      <x:c r="I2076" s="115" t="str">
        <x:v>À équilibrer</x:v>
      </x:c>
      <x:c r="J2076" s="115" t="str">
        <x:v>Non</x:v>
      </x:c>
      <x:c r="K2076" s="115" t="str">
        <x:v>Pièces décrites, murs, portes, niveaux et mobilier inspectables à l’échelle. Volumes réservés, raccord au seed, butin, rencontres et services de campagne restent à terminer.</x:v>
      </x:c>
    </x:row>
    <x:row r="2077" ht="96" customHeight="1">
      <x:c r="A2077" s="115" t="str">
        <x:v>EXT-MONDE-T042-V22</x:v>
      </x:c>
      <x:c r="B2077" s="115" t="str">
        <x:v>EXT-MONDE-T042</x:v>
      </x:c>
      <x:c r="C2077" s="115" t="str">
        <x:v>HLM visitables</x:v>
      </x:c>
      <x:c r="D2077" s="115" t="str">
        <x:v>Tour HLM</x:v>
      </x:c>
      <x:c r="E2077" s="115" t="n">
        <x:v>22</x:v>
      </x:c>
      <x:c r="F2077" s="115" t="str">
        <x:v>Inspection physique</x:v>
      </x:c>
      <x:c r="G2077" s="115" t="str">
        <x:v>10 niveaux ; 218 pièces ; 1637 segments de mur ; 9 transitions. Inspection physique ; architecture complète encore ouverte.</x:v>
      </x:c>
      <x:c r="H2077" s="115" t="str">
        <x:v>L 77,8 ; l 85,5 ; hauteur 27,45 m ; choix de composition auteur ; dimensions réelles à documenter</x:v>
      </x:c>
      <x:c r="I2077" s="115" t="str">
        <x:v>À équilibrer</x:v>
      </x:c>
      <x:c r="J2077" s="115" t="str">
        <x:v>Non</x:v>
      </x:c>
      <x:c r="K2077" s="115" t="str">
        <x:v>Pièces décrites, murs, portes, niveaux et mobilier inspectables à l’échelle. Volumes réservés, raccord au seed, butin, rencontres et services de campagne restent à terminer.</x:v>
      </x:c>
    </x:row>
    <x:row r="2078" ht="96" customHeight="1">
      <x:c r="A2078" s="115" t="str">
        <x:v>EXT-MONDE-T042-V23</x:v>
      </x:c>
      <x:c r="B2078" s="115" t="str">
        <x:v>EXT-MONDE-T042</x:v>
      </x:c>
      <x:c r="C2078" s="115" t="str">
        <x:v>HLM visitables</x:v>
      </x:c>
      <x:c r="D2078" s="115" t="str">
        <x:v>Tour HLM</x:v>
      </x:c>
      <x:c r="E2078" s="115" t="n">
        <x:v>23</x:v>
      </x:c>
      <x:c r="F2078" s="115" t="str">
        <x:v>Inspection physique</x:v>
      </x:c>
      <x:c r="G2078" s="115" t="str">
        <x:v>10 niveaux ; 218 pièces ; 1637 segments de mur ; 9 transitions. Inspection physique ; architecture complète encore ouverte.</x:v>
      </x:c>
      <x:c r="H2078" s="115" t="str">
        <x:v>L 78,2 ; l 85,88 ; hauteur 27,55 m ; choix de composition auteur ; dimensions réelles à documenter</x:v>
      </x:c>
      <x:c r="I2078" s="115" t="str">
        <x:v>À équilibrer</x:v>
      </x:c>
      <x:c r="J2078" s="115" t="str">
        <x:v>Non</x:v>
      </x:c>
      <x:c r="K2078" s="115" t="str">
        <x:v>Pièces décrites, murs, portes, niveaux et mobilier inspectables à l’échelle. Volumes réservés, raccord au seed, butin, rencontres et services de campagne restent à terminer.</x:v>
      </x:c>
    </x:row>
    <x:row r="2079" ht="96" customHeight="1">
      <x:c r="A2079" s="115" t="str">
        <x:v>EXT-MONDE-T042-V24</x:v>
      </x:c>
      <x:c r="B2079" s="115" t="str">
        <x:v>EXT-MONDE-T042</x:v>
      </x:c>
      <x:c r="C2079" s="115" t="str">
        <x:v>HLM visitables</x:v>
      </x:c>
      <x:c r="D2079" s="115" t="str">
        <x:v>Tour HLM</x:v>
      </x:c>
      <x:c r="E2079" s="115" t="n">
        <x:v>24</x:v>
      </x:c>
      <x:c r="F2079" s="115" t="str">
        <x:v>Inspection physique</x:v>
      </x:c>
      <x:c r="G2079" s="115" t="str">
        <x:v>10 niveaux ; 218 pièces ; 1637 segments de mur ; 9 transitions. Inspection physique ; architecture complète encore ouverte.</x:v>
      </x:c>
      <x:c r="H2079" s="115" t="str">
        <x:v>L 78,6 ; l 86,26 ; hauteur 27,35 m ; choix de composition auteur ; dimensions réelles à documenter</x:v>
      </x:c>
      <x:c r="I2079" s="115" t="str">
        <x:v>À équilibrer</x:v>
      </x:c>
      <x:c r="J2079" s="115" t="str">
        <x:v>Non</x:v>
      </x:c>
      <x:c r="K2079" s="115" t="str">
        <x:v>Pièces décrites, murs, portes, niveaux et mobilier inspectables à l’échelle. Volumes réservés, raccord au seed, butin, rencontres et services de campagne restent à terminer.</x:v>
      </x:c>
    </x:row>
    <x:row r="2080" ht="96" customHeight="1">
      <x:c r="A2080" s="115" t="str">
        <x:v>EXT-MONDE-T042-V25</x:v>
      </x:c>
      <x:c r="B2080" s="115" t="str">
        <x:v>EXT-MONDE-T042</x:v>
      </x:c>
      <x:c r="C2080" s="115" t="str">
        <x:v>HLM visitables</x:v>
      </x:c>
      <x:c r="D2080" s="115" t="str">
        <x:v>Tour HLM</x:v>
      </x:c>
      <x:c r="E2080" s="115" t="n">
        <x:v>25</x:v>
      </x:c>
      <x:c r="F2080" s="115" t="str">
        <x:v>Inspection physique</x:v>
      </x:c>
      <x:c r="G2080" s="115" t="str">
        <x:v>10 niveaux ; 218 pièces ; 1637 segments de mur ; 9 transitions. Inspection physique ; architecture complète encore ouverte.</x:v>
      </x:c>
      <x:c r="H2080" s="115" t="str">
        <x:v>L 79 ; l 86,64 ; hauteur 27,45 m ; choix de composition auteur ; dimensions réelles à documenter</x:v>
      </x:c>
      <x:c r="I2080" s="115" t="str">
        <x:v>À équilibrer</x:v>
      </x:c>
      <x:c r="J2080" s="115" t="str">
        <x:v>Non</x:v>
      </x:c>
      <x:c r="K2080" s="115" t="str">
        <x:v>Pièces décrites, murs, portes, niveaux et mobilier inspectables à l’échelle. Volumes réservés, raccord au seed, butin, rencontres et services de campagne restent à terminer.</x:v>
      </x:c>
    </x:row>
    <x:row r="2081" ht="96" customHeight="1">
      <x:c r="A2081" s="115" t="str">
        <x:v>EXT-MONDE-T042-V26</x:v>
      </x:c>
      <x:c r="B2081" s="115" t="str">
        <x:v>EXT-MONDE-T042</x:v>
      </x:c>
      <x:c r="C2081" s="115" t="str">
        <x:v>HLM visitables</x:v>
      </x:c>
      <x:c r="D2081" s="115" t="str">
        <x:v>Tour HLM</x:v>
      </x:c>
      <x:c r="E2081" s="115" t="n">
        <x:v>26</x:v>
      </x:c>
      <x:c r="F2081" s="115" t="str">
        <x:v>Inspection physique</x:v>
      </x:c>
      <x:c r="G2081" s="115" t="str">
        <x:v>10 niveaux ; 218 pièces ; 1637 segments de mur ; 9 transitions. Inspection physique ; architecture complète encore ouverte.</x:v>
      </x:c>
      <x:c r="H2081" s="115" t="str">
        <x:v>L 79,05 ; l 86,62 ; hauteur 27,55 m ; choix de composition auteur ; dimensions réelles à documenter</x:v>
      </x:c>
      <x:c r="I2081" s="115" t="str">
        <x:v>À équilibrer</x:v>
      </x:c>
      <x:c r="J2081" s="115" t="str">
        <x:v>Non</x:v>
      </x:c>
      <x:c r="K2081" s="115" t="str">
        <x:v>Pièces décrites, murs, portes, niveaux et mobilier inspectables à l’échelle. Volumes réservés, raccord au seed, butin, rencontres et services de campagne restent à terminer.</x:v>
      </x:c>
    </x:row>
    <x:row r="2082" ht="96" customHeight="1">
      <x:c r="A2082" s="115" t="str">
        <x:v>EXT-MONDE-T042-V27</x:v>
      </x:c>
      <x:c r="B2082" s="115" t="str">
        <x:v>EXT-MONDE-T042</x:v>
      </x:c>
      <x:c r="C2082" s="115" t="str">
        <x:v>HLM visitables</x:v>
      </x:c>
      <x:c r="D2082" s="115" t="str">
        <x:v>Tour HLM</x:v>
      </x:c>
      <x:c r="E2082" s="115" t="n">
        <x:v>27</x:v>
      </x:c>
      <x:c r="F2082" s="115" t="str">
        <x:v>Inspection physique</x:v>
      </x:c>
      <x:c r="G2082" s="115" t="str">
        <x:v>10 niveaux ; 218 pièces ; 1637 segments de mur ; 9 transitions. Inspection physique ; architecture complète encore ouverte.</x:v>
      </x:c>
      <x:c r="H2082" s="115" t="str">
        <x:v>L 79,45 ; l 87 ; hauteur 27,35 m ; choix de composition auteur ; dimensions réelles à documenter</x:v>
      </x:c>
      <x:c r="I2082" s="115" t="str">
        <x:v>À équilibrer</x:v>
      </x:c>
      <x:c r="J2082" s="115" t="str">
        <x:v>Non</x:v>
      </x:c>
      <x:c r="K2082" s="115" t="str">
        <x:v>Pièces décrites, murs, portes, niveaux et mobilier inspectables à l’échelle. Volumes réservés, raccord au seed, butin, rencontres et services de campagne restent à terminer.</x:v>
      </x:c>
    </x:row>
    <x:row r="2083" ht="96" customHeight="1">
      <x:c r="A2083" s="115" t="str">
        <x:v>EXT-MONDE-T042-V28</x:v>
      </x:c>
      <x:c r="B2083" s="115" t="str">
        <x:v>EXT-MONDE-T042</x:v>
      </x:c>
      <x:c r="C2083" s="115" t="str">
        <x:v>HLM visitables</x:v>
      </x:c>
      <x:c r="D2083" s="115" t="str">
        <x:v>Tour HLM</x:v>
      </x:c>
      <x:c r="E2083" s="115" t="n">
        <x:v>28</x:v>
      </x:c>
      <x:c r="F2083" s="115" t="str">
        <x:v>Inspection physique</x:v>
      </x:c>
      <x:c r="G2083" s="115" t="str">
        <x:v>10 niveaux ; 218 pièces ; 1637 segments de mur ; 9 transitions. Inspection physique ; architecture complète encore ouverte.</x:v>
      </x:c>
      <x:c r="H2083" s="115" t="str">
        <x:v>L 79,85 ; l 87,38 ; hauteur 27,45 m ; choix de composition auteur ; dimensions réelles à documenter</x:v>
      </x:c>
      <x:c r="I2083" s="115" t="str">
        <x:v>À équilibrer</x:v>
      </x:c>
      <x:c r="J2083" s="115" t="str">
        <x:v>Non</x:v>
      </x:c>
      <x:c r="K2083" s="115" t="str">
        <x:v>Pièces décrites, murs, portes, niveaux et mobilier inspectables à l’échelle. Volumes réservés, raccord au seed, butin, rencontres et services de campagne restent à terminer.</x:v>
      </x:c>
    </x:row>
    <x:row r="2084" ht="96" customHeight="1">
      <x:c r="A2084" s="115" t="str">
        <x:v>EXT-MONDE-T042-V29</x:v>
      </x:c>
      <x:c r="B2084" s="115" t="str">
        <x:v>EXT-MONDE-T042</x:v>
      </x:c>
      <x:c r="C2084" s="115" t="str">
        <x:v>HLM visitables</x:v>
      </x:c>
      <x:c r="D2084" s="115" t="str">
        <x:v>Tour HLM</x:v>
      </x:c>
      <x:c r="E2084" s="115" t="n">
        <x:v>29</x:v>
      </x:c>
      <x:c r="F2084" s="115" t="str">
        <x:v>Inspection physique</x:v>
      </x:c>
      <x:c r="G2084" s="115" t="str">
        <x:v>10 niveaux ; 218 pièces ; 1637 segments de mur ; 9 transitions. Inspection physique ; architecture complète encore ouverte.</x:v>
      </x:c>
      <x:c r="H2084" s="115" t="str">
        <x:v>L 80,25 ; l 87,76 ; hauteur 27,55 m ; choix de composition auteur ; dimensions réelles à documenter</x:v>
      </x:c>
      <x:c r="I2084" s="115" t="str">
        <x:v>À équilibrer</x:v>
      </x:c>
      <x:c r="J2084" s="115" t="str">
        <x:v>Non</x:v>
      </x:c>
      <x:c r="K2084" s="115" t="str">
        <x:v>Pièces décrites, murs, portes, niveaux et mobilier inspectables à l’échelle. Volumes réservés, raccord au seed, butin, rencontres et services de campagne restent à terminer.</x:v>
      </x:c>
    </x:row>
    <x:row r="2085" ht="96" customHeight="1">
      <x:c r="A2085" s="115" t="str">
        <x:v>EXT-MONDE-T042-V30</x:v>
      </x:c>
      <x:c r="B2085" s="115" t="str">
        <x:v>EXT-MONDE-T042</x:v>
      </x:c>
      <x:c r="C2085" s="115" t="str">
        <x:v>HLM visitables</x:v>
      </x:c>
      <x:c r="D2085" s="115" t="str">
        <x:v>Tour HLM</x:v>
      </x:c>
      <x:c r="E2085" s="115" t="n">
        <x:v>30</x:v>
      </x:c>
      <x:c r="F2085" s="115" t="str">
        <x:v>Inspection physique</x:v>
      </x:c>
      <x:c r="G2085" s="115" t="str">
        <x:v>10 niveaux ; 218 pièces ; 1637 segments de mur ; 9 transitions. Inspection physique ; architecture complète encore ouverte.</x:v>
      </x:c>
      <x:c r="H2085" s="115" t="str">
        <x:v>L 80,65 ; l 88,14 ; hauteur 27,35 m ; choix de composition auteur ; dimensions réelles à documenter</x:v>
      </x:c>
      <x:c r="I2085" s="115" t="str">
        <x:v>À équilibrer</x:v>
      </x:c>
      <x:c r="J2085" s="115" t="str">
        <x:v>Non</x:v>
      </x:c>
      <x:c r="K2085" s="115" t="str">
        <x:v>Pièces décrites, murs, portes, niveaux et mobilier inspectables à l’échelle. Volumes réservés, raccord au seed, butin, rencontres et services de campagne restent à terminer.</x:v>
      </x:c>
    </x:row>
    <x:row r="2086" ht="96" customHeight="1">
      <x:c r="A2086" s="115" t="str">
        <x:v>EXT-MONDE-T042-V31</x:v>
      </x:c>
      <x:c r="B2086" s="115" t="str">
        <x:v>EXT-MONDE-T042</x:v>
      </x:c>
      <x:c r="C2086" s="115" t="str">
        <x:v>HLM visitables</x:v>
      </x:c>
      <x:c r="D2086" s="115" t="str">
        <x:v>Tour HLM</x:v>
      </x:c>
      <x:c r="E2086" s="115" t="n">
        <x:v>31</x:v>
      </x:c>
      <x:c r="F2086" s="115" t="str">
        <x:v>Inspection physique</x:v>
      </x:c>
      <x:c r="G2086" s="115" t="str">
        <x:v>11 niveaux ; 242 pièces ; 1816 segments de mur ; 10 transitions. Inspection physique ; architecture complète encore ouverte.</x:v>
      </x:c>
      <x:c r="H2086" s="115" t="str">
        <x:v>L 77,6 ; l 85,28 ; hauteur 30,35 m ; choix de composition auteur ; dimensions réelles à documenter</x:v>
      </x:c>
      <x:c r="I2086" s="115" t="str">
        <x:v>À équilibrer</x:v>
      </x:c>
      <x:c r="J2086" s="115" t="str">
        <x:v>Non</x:v>
      </x:c>
      <x:c r="K2086" s="115" t="str">
        <x:v>Pièces décrites, murs, portes, niveaux et mobilier inspectables à l’échelle. Volumes réservés, raccord au seed, butin, rencontres et services de campagne restent à terminer.</x:v>
      </x:c>
    </x:row>
    <x:row r="2087" ht="96" customHeight="1">
      <x:c r="A2087" s="115" t="str">
        <x:v>EXT-MONDE-T042-V32</x:v>
      </x:c>
      <x:c r="B2087" s="115" t="str">
        <x:v>EXT-MONDE-T042</x:v>
      </x:c>
      <x:c r="C2087" s="115" t="str">
        <x:v>HLM visitables</x:v>
      </x:c>
      <x:c r="D2087" s="115" t="str">
        <x:v>Tour HLM</x:v>
      </x:c>
      <x:c r="E2087" s="115" t="n">
        <x:v>32</x:v>
      </x:c>
      <x:c r="F2087" s="115" t="str">
        <x:v>Inspection physique</x:v>
      </x:c>
      <x:c r="G2087" s="115" t="str">
        <x:v>11 niveaux ; 242 pièces ; 1816 segments de mur ; 10 transitions. Inspection physique ; architecture complète encore ouverte.</x:v>
      </x:c>
      <x:c r="H2087" s="115" t="str">
        <x:v>L 78 ; l 85,66 ; hauteur 30,45 m ; choix de composition auteur ; dimensions réelles à documenter</x:v>
      </x:c>
      <x:c r="I2087" s="115" t="str">
        <x:v>À équilibrer</x:v>
      </x:c>
      <x:c r="J2087" s="115" t="str">
        <x:v>Non</x:v>
      </x:c>
      <x:c r="K2087" s="115" t="str">
        <x:v>Pièces décrites, murs, portes, niveaux et mobilier inspectables à l’échelle. Volumes réservés, raccord au seed, butin, rencontres et services de campagne restent à terminer.</x:v>
      </x:c>
    </x:row>
    <x:row r="2088" ht="96" customHeight="1">
      <x:c r="A2088" s="115" t="str">
        <x:v>EXT-MONDE-T042-V33</x:v>
      </x:c>
      <x:c r="B2088" s="115" t="str">
        <x:v>EXT-MONDE-T042</x:v>
      </x:c>
      <x:c r="C2088" s="115" t="str">
        <x:v>HLM visitables</x:v>
      </x:c>
      <x:c r="D2088" s="115" t="str">
        <x:v>Tour HLM</x:v>
      </x:c>
      <x:c r="E2088" s="115" t="n">
        <x:v>33</x:v>
      </x:c>
      <x:c r="F2088" s="115" t="str">
        <x:v>Inspection physique</x:v>
      </x:c>
      <x:c r="G2088" s="115" t="str">
        <x:v>11 niveaux ; 242 pièces ; 1816 segments de mur ; 10 transitions. Inspection physique ; architecture complète encore ouverte.</x:v>
      </x:c>
      <x:c r="H2088" s="115" t="str">
        <x:v>L 78,4 ; l 86,04 ; hauteur 30,55 m ; choix de composition auteur ; dimensions réelles à documenter</x:v>
      </x:c>
      <x:c r="I2088" s="115" t="str">
        <x:v>À équilibrer</x:v>
      </x:c>
      <x:c r="J2088" s="115" t="str">
        <x:v>Non</x:v>
      </x:c>
      <x:c r="K2088" s="115" t="str">
        <x:v>Pièces décrites, murs, portes, niveaux et mobilier inspectables à l’échelle. Volumes réservés, raccord au seed, butin, rencontres et services de campagne restent à terminer.</x:v>
      </x:c>
    </x:row>
    <x:row r="2089" ht="96" customHeight="1">
      <x:c r="A2089" s="115" t="str">
        <x:v>EXT-MONDE-T042-V34</x:v>
      </x:c>
      <x:c r="B2089" s="115" t="str">
        <x:v>EXT-MONDE-T042</x:v>
      </x:c>
      <x:c r="C2089" s="115" t="str">
        <x:v>HLM visitables</x:v>
      </x:c>
      <x:c r="D2089" s="115" t="str">
        <x:v>Tour HLM</x:v>
      </x:c>
      <x:c r="E2089" s="115" t="n">
        <x:v>34</x:v>
      </x:c>
      <x:c r="F2089" s="115" t="str">
        <x:v>Inspection physique</x:v>
      </x:c>
      <x:c r="G2089" s="115" t="str">
        <x:v>11 niveaux ; 242 pièces ; 1816 segments de mur ; 10 transitions. Inspection physique ; architecture complète encore ouverte.</x:v>
      </x:c>
      <x:c r="H2089" s="115" t="str">
        <x:v>L 78,8 ; l 86,42 ; hauteur 30,35 m ; choix de composition auteur ; dimensions réelles à documenter</x:v>
      </x:c>
      <x:c r="I2089" s="115" t="str">
        <x:v>À équilibrer</x:v>
      </x:c>
      <x:c r="J2089" s="115" t="str">
        <x:v>Non</x:v>
      </x:c>
      <x:c r="K2089" s="115" t="str">
        <x:v>Pièces décrites, murs, portes, niveaux et mobilier inspectables à l’échelle. Volumes réservés, raccord au seed, butin, rencontres et services de campagne restent à terminer.</x:v>
      </x:c>
    </x:row>
    <x:row r="2090" ht="96" customHeight="1">
      <x:c r="A2090" s="115" t="str">
        <x:v>EXT-MONDE-T042-V35</x:v>
      </x:c>
      <x:c r="B2090" s="115" t="str">
        <x:v>EXT-MONDE-T042</x:v>
      </x:c>
      <x:c r="C2090" s="115" t="str">
        <x:v>HLM visitables</x:v>
      </x:c>
      <x:c r="D2090" s="115" t="str">
        <x:v>Tour HLM</x:v>
      </x:c>
      <x:c r="E2090" s="115" t="n">
        <x:v>35</x:v>
      </x:c>
      <x:c r="F2090" s="115" t="str">
        <x:v>Inspection physique</x:v>
      </x:c>
      <x:c r="G2090" s="115" t="str">
        <x:v>11 niveaux ; 242 pièces ; 1816 segments de mur ; 10 transitions. Inspection physique ; architecture complète encore ouverte.</x:v>
      </x:c>
      <x:c r="H2090" s="115" t="str">
        <x:v>L 79,2 ; l 86,8 ; hauteur 30,45 m ; choix de composition auteur ; dimensions réelles à documenter</x:v>
      </x:c>
      <x:c r="I2090" s="115" t="str">
        <x:v>À équilibrer</x:v>
      </x:c>
      <x:c r="J2090" s="115" t="str">
        <x:v>Non</x:v>
      </x:c>
      <x:c r="K2090" s="115" t="str">
        <x:v>Pièces décrites, murs, portes, niveaux et mobilier inspectables à l’échelle. Volumes réservés, raccord au seed, butin, rencontres et services de campagne restent à terminer.</x:v>
      </x:c>
    </x:row>
    <x:row r="2091" ht="96" customHeight="1">
      <x:c r="A2091" s="115" t="str">
        <x:v>EXT-MONDE-T042-V36</x:v>
      </x:c>
      <x:c r="B2091" s="115" t="str">
        <x:v>EXT-MONDE-T042</x:v>
      </x:c>
      <x:c r="C2091" s="115" t="str">
        <x:v>HLM visitables</x:v>
      </x:c>
      <x:c r="D2091" s="115" t="str">
        <x:v>Tour HLM</x:v>
      </x:c>
      <x:c r="E2091" s="115" t="n">
        <x:v>36</x:v>
      </x:c>
      <x:c r="F2091" s="115" t="str">
        <x:v>Inspection physique</x:v>
      </x:c>
      <x:c r="G2091" s="115" t="str">
        <x:v>11 niveaux ; 242 pièces ; 1816 segments de mur ; 10 transitions. Inspection physique ; architecture complète encore ouverte.</x:v>
      </x:c>
      <x:c r="H2091" s="115" t="str">
        <x:v>L 79,25 ; l 86,78 ; hauteur 30,55 m ; choix de composition auteur ; dimensions réelles à documenter</x:v>
      </x:c>
      <x:c r="I2091" s="115" t="str">
        <x:v>À équilibrer</x:v>
      </x:c>
      <x:c r="J2091" s="115" t="str">
        <x:v>Non</x:v>
      </x:c>
      <x:c r="K2091" s="115" t="str">
        <x:v>Pièces décrites, murs, portes, niveaux et mobilier inspectables à l’échelle. Volumes réservés, raccord au seed, butin, rencontres et services de campagne restent à terminer.</x:v>
      </x:c>
    </x:row>
    <x:row r="2092" ht="96" customHeight="1">
      <x:c r="A2092" s="115" t="str">
        <x:v>EXT-MONDE-T042-V37</x:v>
      </x:c>
      <x:c r="B2092" s="115" t="str">
        <x:v>EXT-MONDE-T042</x:v>
      </x:c>
      <x:c r="C2092" s="115" t="str">
        <x:v>HLM visitables</x:v>
      </x:c>
      <x:c r="D2092" s="115" t="str">
        <x:v>Tour HLM</x:v>
      </x:c>
      <x:c r="E2092" s="115" t="n">
        <x:v>37</x:v>
      </x:c>
      <x:c r="F2092" s="115" t="str">
        <x:v>Inspection physique</x:v>
      </x:c>
      <x:c r="G2092" s="115" t="str">
        <x:v>11 niveaux ; 242 pièces ; 1816 segments de mur ; 10 transitions. Inspection physique ; architecture complète encore ouverte.</x:v>
      </x:c>
      <x:c r="H2092" s="115" t="str">
        <x:v>L 79,65 ; l 87,16 ; hauteur 30,35 m ; choix de composition auteur ; dimensions réelles à documenter</x:v>
      </x:c>
      <x:c r="I2092" s="115" t="str">
        <x:v>À équilibrer</x:v>
      </x:c>
      <x:c r="J2092" s="115" t="str">
        <x:v>Non</x:v>
      </x:c>
      <x:c r="K2092" s="115" t="str">
        <x:v>Pièces décrites, murs, portes, niveaux et mobilier inspectables à l’échelle. Volumes réservés, raccord au seed, butin, rencontres et services de campagne restent à terminer.</x:v>
      </x:c>
    </x:row>
    <x:row r="2093" ht="96" customHeight="1">
      <x:c r="A2093" s="115" t="str">
        <x:v>EXT-MONDE-T042-V38</x:v>
      </x:c>
      <x:c r="B2093" s="115" t="str">
        <x:v>EXT-MONDE-T042</x:v>
      </x:c>
      <x:c r="C2093" s="115" t="str">
        <x:v>HLM visitables</x:v>
      </x:c>
      <x:c r="D2093" s="115" t="str">
        <x:v>Tour HLM</x:v>
      </x:c>
      <x:c r="E2093" s="115" t="n">
        <x:v>38</x:v>
      </x:c>
      <x:c r="F2093" s="115" t="str">
        <x:v>Inspection physique</x:v>
      </x:c>
      <x:c r="G2093" s="115" t="str">
        <x:v>11 niveaux ; 242 pièces ; 1816 segments de mur ; 10 transitions. Inspection physique ; architecture complète encore ouverte.</x:v>
      </x:c>
      <x:c r="H2093" s="115" t="str">
        <x:v>L 80,05 ; l 87,54 ; hauteur 30,45 m ; choix de composition auteur ; dimensions réelles à documenter</x:v>
      </x:c>
      <x:c r="I2093" s="115" t="str">
        <x:v>À équilibrer</x:v>
      </x:c>
      <x:c r="J2093" s="115" t="str">
        <x:v>Non</x:v>
      </x:c>
      <x:c r="K2093" s="115" t="str">
        <x:v>Pièces décrites, murs, portes, niveaux et mobilier inspectables à l’échelle. Volumes réservés, raccord au seed, butin, rencontres et services de campagne restent à terminer.</x:v>
      </x:c>
    </x:row>
    <x:row r="2094" ht="96" customHeight="1">
      <x:c r="A2094" s="115" t="str">
        <x:v>EXT-MONDE-T042-V39</x:v>
      </x:c>
      <x:c r="B2094" s="115" t="str">
        <x:v>EXT-MONDE-T042</x:v>
      </x:c>
      <x:c r="C2094" s="115" t="str">
        <x:v>HLM visitables</x:v>
      </x:c>
      <x:c r="D2094" s="115" t="str">
        <x:v>Tour HLM</x:v>
      </x:c>
      <x:c r="E2094" s="115" t="n">
        <x:v>39</x:v>
      </x:c>
      <x:c r="F2094" s="115" t="str">
        <x:v>Inspection physique</x:v>
      </x:c>
      <x:c r="G2094" s="115" t="str">
        <x:v>11 niveaux ; 242 pièces ; 1816 segments de mur ; 10 transitions. Inspection physique ; architecture complète encore ouverte.</x:v>
      </x:c>
      <x:c r="H2094" s="115" t="str">
        <x:v>L 80,45 ; l 87,92 ; hauteur 30,55 m ; choix de composition auteur ; dimensions réelles à documenter</x:v>
      </x:c>
      <x:c r="I2094" s="115" t="str">
        <x:v>À équilibrer</x:v>
      </x:c>
      <x:c r="J2094" s="115" t="str">
        <x:v>Non</x:v>
      </x:c>
      <x:c r="K2094" s="115" t="str">
        <x:v>Pièces décrites, murs, portes, niveaux et mobilier inspectables à l’échelle. Volumes réservés, raccord au seed, butin, rencontres et services de campagne restent à terminer.</x:v>
      </x:c>
    </x:row>
    <x:row r="2095" ht="96" customHeight="1">
      <x:c r="A2095" s="115" t="str">
        <x:v>EXT-MONDE-T042-V40</x:v>
      </x:c>
      <x:c r="B2095" s="115" t="str">
        <x:v>EXT-MONDE-T042</x:v>
      </x:c>
      <x:c r="C2095" s="115" t="str">
        <x:v>HLM visitables</x:v>
      </x:c>
      <x:c r="D2095" s="115" t="str">
        <x:v>Tour HLM</x:v>
      </x:c>
      <x:c r="E2095" s="115" t="n">
        <x:v>40</x:v>
      </x:c>
      <x:c r="F2095" s="115" t="str">
        <x:v>Inspection physique</x:v>
      </x:c>
      <x:c r="G2095" s="115" t="str">
        <x:v>11 niveaux ; 242 pièces ; 1816 segments de mur ; 10 transitions. Inspection physique ; architecture complète encore ouverte.</x:v>
      </x:c>
      <x:c r="H2095" s="115" t="str">
        <x:v>L 80,85 ; l 88,3 ; hauteur 30,35 m ; choix de composition auteur ; dimensions réelles à documenter</x:v>
      </x:c>
      <x:c r="I2095" s="115" t="str">
        <x:v>À équilibrer</x:v>
      </x:c>
      <x:c r="J2095" s="115" t="str">
        <x:v>Non</x:v>
      </x:c>
      <x:c r="K2095" s="115" t="str">
        <x:v>Pièces décrites, murs, portes, niveaux et mobilier inspectables à l’échelle. Volumes réservés, raccord au seed, butin, rencontres et services de campagne restent à terminer.</x:v>
      </x:c>
    </x:row>
    <x:row r="2096" ht="96" customHeight="1">
      <x:c r="A2096" s="115" t="str">
        <x:v>EXT-MONDE-T042-V41</x:v>
      </x:c>
      <x:c r="B2096" s="115" t="str">
        <x:v>EXT-MONDE-T042</x:v>
      </x:c>
      <x:c r="C2096" s="115" t="str">
        <x:v>HLM visitables</x:v>
      </x:c>
      <x:c r="D2096" s="115" t="str">
        <x:v>Tour HLM</x:v>
      </x:c>
      <x:c r="E2096" s="115" t="n">
        <x:v>41</x:v>
      </x:c>
      <x:c r="F2096" s="115" t="str">
        <x:v>Inspection physique</x:v>
      </x:c>
      <x:c r="G2096" s="115" t="str">
        <x:v>12 niveaux ; 266 pièces ; 1995 segments de mur ; 11 transitions. Inspection physique ; architecture complète encore ouverte.</x:v>
      </x:c>
      <x:c r="H2096" s="115" t="str">
        <x:v>L 77,8 ; l 85,44 ; hauteur 33,35 m ; choix de composition auteur ; dimensions réelles à documenter</x:v>
      </x:c>
      <x:c r="I2096" s="115" t="str">
        <x:v>À équilibrer</x:v>
      </x:c>
      <x:c r="J2096" s="115" t="str">
        <x:v>Non</x:v>
      </x:c>
      <x:c r="K2096" s="115" t="str">
        <x:v>Pièces décrites, murs, portes, niveaux et mobilier inspectables à l’échelle. Volumes réservés, raccord au seed, butin, rencontres et services de campagne restent à terminer.</x:v>
      </x:c>
    </x:row>
    <x:row r="2097" ht="96" customHeight="1">
      <x:c r="A2097" s="115" t="str">
        <x:v>EXT-MONDE-T042-V42</x:v>
      </x:c>
      <x:c r="B2097" s="115" t="str">
        <x:v>EXT-MONDE-T042</x:v>
      </x:c>
      <x:c r="C2097" s="115" t="str">
        <x:v>HLM visitables</x:v>
      </x:c>
      <x:c r="D2097" s="115" t="str">
        <x:v>Tour HLM</x:v>
      </x:c>
      <x:c r="E2097" s="115" t="n">
        <x:v>42</x:v>
      </x:c>
      <x:c r="F2097" s="115" t="str">
        <x:v>Inspection physique</x:v>
      </x:c>
      <x:c r="G2097" s="115" t="str">
        <x:v>12 niveaux ; 266 pièces ; 1995 segments de mur ; 11 transitions. Inspection physique ; architecture complète encore ouverte.</x:v>
      </x:c>
      <x:c r="H2097" s="115" t="str">
        <x:v>L 78,2 ; l 85,82 ; hauteur 33,45 m ; choix de composition auteur ; dimensions réelles à documenter</x:v>
      </x:c>
      <x:c r="I2097" s="115" t="str">
        <x:v>À équilibrer</x:v>
      </x:c>
      <x:c r="J2097" s="115" t="str">
        <x:v>Non</x:v>
      </x:c>
      <x:c r="K2097" s="115" t="str">
        <x:v>Pièces décrites, murs, portes, niveaux et mobilier inspectables à l’échelle. Volumes réservés, raccord au seed, butin, rencontres et services de campagne restent à terminer.</x:v>
      </x:c>
    </x:row>
    <x:row r="2098" ht="96" customHeight="1">
      <x:c r="A2098" s="115" t="str">
        <x:v>EXT-MONDE-T042-V43</x:v>
      </x:c>
      <x:c r="B2098" s="115" t="str">
        <x:v>EXT-MONDE-T042</x:v>
      </x:c>
      <x:c r="C2098" s="115" t="str">
        <x:v>HLM visitables</x:v>
      </x:c>
      <x:c r="D2098" s="115" t="str">
        <x:v>Tour HLM</x:v>
      </x:c>
      <x:c r="E2098" s="115" t="n">
        <x:v>43</x:v>
      </x:c>
      <x:c r="F2098" s="115" t="str">
        <x:v>Inspection physique</x:v>
      </x:c>
      <x:c r="G2098" s="115" t="str">
        <x:v>12 niveaux ; 266 pièces ; 1995 segments de mur ; 11 transitions. Inspection physique ; architecture complète encore ouverte.</x:v>
      </x:c>
      <x:c r="H2098" s="115" t="str">
        <x:v>L 78,6 ; l 86,2 ; hauteur 33,55 m ; choix de composition auteur ; dimensions réelles à documenter</x:v>
      </x:c>
      <x:c r="I2098" s="115" t="str">
        <x:v>À équilibrer</x:v>
      </x:c>
      <x:c r="J2098" s="115" t="str">
        <x:v>Non</x:v>
      </x:c>
      <x:c r="K2098" s="115" t="str">
        <x:v>Pièces décrites, murs, portes, niveaux et mobilier inspectables à l’échelle. Volumes réservés, raccord au seed, butin, rencontres et services de campagne restent à terminer.</x:v>
      </x:c>
    </x:row>
    <x:row r="2099" ht="96" customHeight="1">
      <x:c r="A2099" s="115" t="str">
        <x:v>EXT-MONDE-T042-V44</x:v>
      </x:c>
      <x:c r="B2099" s="115" t="str">
        <x:v>EXT-MONDE-T042</x:v>
      </x:c>
      <x:c r="C2099" s="115" t="str">
        <x:v>HLM visitables</x:v>
      </x:c>
      <x:c r="D2099" s="115" t="str">
        <x:v>Tour HLM</x:v>
      </x:c>
      <x:c r="E2099" s="115" t="n">
        <x:v>44</x:v>
      </x:c>
      <x:c r="F2099" s="115" t="str">
        <x:v>Inspection physique</x:v>
      </x:c>
      <x:c r="G2099" s="115" t="str">
        <x:v>12 niveaux ; 266 pièces ; 1995 segments de mur ; 11 transitions. Inspection physique ; architecture complète encore ouverte.</x:v>
      </x:c>
      <x:c r="H2099" s="115" t="str">
        <x:v>L 79 ; l 86,58 ; hauteur 33,35 m ; choix de composition auteur ; dimensions réelles à documenter</x:v>
      </x:c>
      <x:c r="I2099" s="115" t="str">
        <x:v>À équilibrer</x:v>
      </x:c>
      <x:c r="J2099" s="115" t="str">
        <x:v>Non</x:v>
      </x:c>
      <x:c r="K2099" s="115" t="str">
        <x:v>Pièces décrites, murs, portes, niveaux et mobilier inspectables à l’échelle. Volumes réservés, raccord au seed, butin, rencontres et services de campagne restent à terminer.</x:v>
      </x:c>
    </x:row>
    <x:row r="2100" ht="96" customHeight="1">
      <x:c r="A2100" s="115" t="str">
        <x:v>EXT-MONDE-T042-V45</x:v>
      </x:c>
      <x:c r="B2100" s="115" t="str">
        <x:v>EXT-MONDE-T042</x:v>
      </x:c>
      <x:c r="C2100" s="115" t="str">
        <x:v>HLM visitables</x:v>
      </x:c>
      <x:c r="D2100" s="115" t="str">
        <x:v>Tour HLM</x:v>
      </x:c>
      <x:c r="E2100" s="115" t="n">
        <x:v>45</x:v>
      </x:c>
      <x:c r="F2100" s="115" t="str">
        <x:v>Inspection physique</x:v>
      </x:c>
      <x:c r="G2100" s="115" t="str">
        <x:v>12 niveaux ; 266 pièces ; 1995 segments de mur ; 11 transitions. Inspection physique ; architecture complète encore ouverte.</x:v>
      </x:c>
      <x:c r="H2100" s="115" t="str">
        <x:v>L 79,4 ; l 86,96 ; hauteur 33,45 m ; choix de composition auteur ; dimensions réelles à documenter</x:v>
      </x:c>
      <x:c r="I2100" s="115" t="str">
        <x:v>À équilibrer</x:v>
      </x:c>
      <x:c r="J2100" s="115" t="str">
        <x:v>Non</x:v>
      </x:c>
      <x:c r="K2100" s="115" t="str">
        <x:v>Pièces décrites, murs, portes, niveaux et mobilier inspectables à l’échelle. Volumes réservés, raccord au seed, butin, rencontres et services de campagne restent à terminer.</x:v>
      </x:c>
    </x:row>
    <x:row r="2101" ht="96" customHeight="1">
      <x:c r="A2101" s="115" t="str">
        <x:v>EXT-MONDE-T042-V46</x:v>
      </x:c>
      <x:c r="B2101" s="115" t="str">
        <x:v>EXT-MONDE-T042</x:v>
      </x:c>
      <x:c r="C2101" s="115" t="str">
        <x:v>HLM visitables</x:v>
      </x:c>
      <x:c r="D2101" s="115" t="str">
        <x:v>Tour HLM</x:v>
      </x:c>
      <x:c r="E2101" s="115" t="n">
        <x:v>46</x:v>
      </x:c>
      <x:c r="F2101" s="115" t="str">
        <x:v>Inspection physique</x:v>
      </x:c>
      <x:c r="G2101" s="115" t="str">
        <x:v>12 niveaux ; 266 pièces ; 1995 segments de mur ; 11 transitions. Inspection physique ; architecture complète encore ouverte.</x:v>
      </x:c>
      <x:c r="H2101" s="115" t="str">
        <x:v>L 79,45 ; l 86,94 ; hauteur 33,55 m ; choix de composition auteur ; dimensions réelles à documenter</x:v>
      </x:c>
      <x:c r="I2101" s="115" t="str">
        <x:v>À équilibrer</x:v>
      </x:c>
      <x:c r="J2101" s="115" t="str">
        <x:v>Non</x:v>
      </x:c>
      <x:c r="K2101" s="115" t="str">
        <x:v>Pièces décrites, murs, portes, niveaux et mobilier inspectables à l’échelle. Volumes réservés, raccord au seed, butin, rencontres et services de campagne restent à terminer.</x:v>
      </x:c>
    </x:row>
    <x:row r="2102" ht="96" customHeight="1">
      <x:c r="A2102" s="115" t="str">
        <x:v>EXT-MONDE-T042-V47</x:v>
      </x:c>
      <x:c r="B2102" s="115" t="str">
        <x:v>EXT-MONDE-T042</x:v>
      </x:c>
      <x:c r="C2102" s="115" t="str">
        <x:v>HLM visitables</x:v>
      </x:c>
      <x:c r="D2102" s="115" t="str">
        <x:v>Tour HLM</x:v>
      </x:c>
      <x:c r="E2102" s="115" t="n">
        <x:v>47</x:v>
      </x:c>
      <x:c r="F2102" s="115" t="str">
        <x:v>Inspection physique</x:v>
      </x:c>
      <x:c r="G2102" s="115" t="str">
        <x:v>12 niveaux ; 266 pièces ; 1995 segments de mur ; 11 transitions. Inspection physique ; architecture complète encore ouverte.</x:v>
      </x:c>
      <x:c r="H2102" s="115" t="str">
        <x:v>L 79,85 ; l 87,32 ; hauteur 33,35 m ; choix de composition auteur ; dimensions réelles à documenter</x:v>
      </x:c>
      <x:c r="I2102" s="115" t="str">
        <x:v>À équilibrer</x:v>
      </x:c>
      <x:c r="J2102" s="115" t="str">
        <x:v>Non</x:v>
      </x:c>
      <x:c r="K2102" s="115" t="str">
        <x:v>Pièces décrites, murs, portes, niveaux et mobilier inspectables à l’échelle. Volumes réservés, raccord au seed, butin, rencontres et services de campagne restent à terminer.</x:v>
      </x:c>
    </x:row>
    <x:row r="2103" ht="96" customHeight="1">
      <x:c r="A2103" s="115" t="str">
        <x:v>EXT-MONDE-T042-V48</x:v>
      </x:c>
      <x:c r="B2103" s="115" t="str">
        <x:v>EXT-MONDE-T042</x:v>
      </x:c>
      <x:c r="C2103" s="115" t="str">
        <x:v>HLM visitables</x:v>
      </x:c>
      <x:c r="D2103" s="115" t="str">
        <x:v>Tour HLM</x:v>
      </x:c>
      <x:c r="E2103" s="115" t="n">
        <x:v>48</x:v>
      </x:c>
      <x:c r="F2103" s="115" t="str">
        <x:v>Inspection physique</x:v>
      </x:c>
      <x:c r="G2103" s="115" t="str">
        <x:v>12 niveaux ; 266 pièces ; 1995 segments de mur ; 11 transitions. Inspection physique ; architecture complète encore ouverte.</x:v>
      </x:c>
      <x:c r="H2103" s="115" t="str">
        <x:v>L 80,25 ; l 87,7 ; hauteur 33,45 m ; choix de composition auteur ; dimensions réelles à documenter</x:v>
      </x:c>
      <x:c r="I2103" s="115" t="str">
        <x:v>À équilibrer</x:v>
      </x:c>
      <x:c r="J2103" s="115" t="str">
        <x:v>Non</x:v>
      </x:c>
      <x:c r="K2103" s="115" t="str">
        <x:v>Pièces décrites, murs, portes, niveaux et mobilier inspectables à l’échelle. Volumes réservés, raccord au seed, butin, rencontres et services de campagne restent à terminer.</x:v>
      </x:c>
    </x:row>
    <x:row r="2104" ht="96" customHeight="1">
      <x:c r="A2104" s="115" t="str">
        <x:v>EXT-MONDE-T042-V49</x:v>
      </x:c>
      <x:c r="B2104" s="115" t="str">
        <x:v>EXT-MONDE-T042</x:v>
      </x:c>
      <x:c r="C2104" s="115" t="str">
        <x:v>HLM visitables</x:v>
      </x:c>
      <x:c r="D2104" s="115" t="str">
        <x:v>Tour HLM</x:v>
      </x:c>
      <x:c r="E2104" s="115" t="n">
        <x:v>49</x:v>
      </x:c>
      <x:c r="F2104" s="115" t="str">
        <x:v>Inspection physique</x:v>
      </x:c>
      <x:c r="G2104" s="115" t="str">
        <x:v>12 niveaux ; 266 pièces ; 1995 segments de mur ; 11 transitions. Inspection physique ; architecture complète encore ouverte.</x:v>
      </x:c>
      <x:c r="H2104" s="115" t="str">
        <x:v>L 80,65 ; l 88,08 ; hauteur 33,55 m ; choix de composition auteur ; dimensions réelles à documenter</x:v>
      </x:c>
      <x:c r="I2104" s="115" t="str">
        <x:v>À équilibrer</x:v>
      </x:c>
      <x:c r="J2104" s="115" t="str">
        <x:v>Non</x:v>
      </x:c>
      <x:c r="K2104" s="115" t="str">
        <x:v>Pièces décrites, murs, portes, niveaux et mobilier inspectables à l’échelle. Volumes réservés, raccord au seed, butin, rencontres et services de campagne restent à terminer.</x:v>
      </x:c>
    </x:row>
    <x:row r="2105" ht="96" customHeight="1">
      <x:c r="A2105" s="115" t="str">
        <x:v>EXT-MONDE-T042-V50</x:v>
      </x:c>
      <x:c r="B2105" s="115" t="str">
        <x:v>EXT-MONDE-T042</x:v>
      </x:c>
      <x:c r="C2105" s="115" t="str">
        <x:v>HLM visitables</x:v>
      </x:c>
      <x:c r="D2105" s="115" t="str">
        <x:v>Tour HLM</x:v>
      </x:c>
      <x:c r="E2105" s="115" t="n">
        <x:v>50</x:v>
      </x:c>
      <x:c r="F2105" s="115" t="str">
        <x:v>Inspection physique</x:v>
      </x:c>
      <x:c r="G2105" s="115" t="str">
        <x:v>12 niveaux ; 266 pièces ; 1995 segments de mur ; 11 transitions. Inspection physique ; architecture complète encore ouverte.</x:v>
      </x:c>
      <x:c r="H2105" s="115" t="str">
        <x:v>L 81,05 ; l 88,46 ; hauteur 33,35 m ; choix de composition auteur ; dimensions réelles à documenter</x:v>
      </x:c>
      <x:c r="I2105" s="115" t="str">
        <x:v>À équilibrer</x:v>
      </x:c>
      <x:c r="J2105" s="115" t="str">
        <x:v>Non</x:v>
      </x:c>
      <x:c r="K2105" s="115" t="str">
        <x:v>Pièces décrites, murs, portes, niveaux et mobilier inspectables à l’échelle. Volumes réservés, raccord au seed, butin, rencontres et services de campagne restent à terminer.</x:v>
      </x:c>
    </x:row>
    <x:row r="2106" ht="96" customHeight="1">
      <x:c r="A2106" s="115" t="str">
        <x:v>EXT-MONDE-T043-V01</x:v>
      </x:c>
      <x:c r="B2106" s="115" t="str">
        <x:v>EXT-MONDE-T043</x:v>
      </x:c>
      <x:c r="C2106" s="115" t="str">
        <x:v>HLM visitables</x:v>
      </x:c>
      <x:c r="D2106" s="115" t="str">
        <x:v>Résidence en cour</x:v>
      </x:c>
      <x:c r="E2106" s="115" t="n">
        <x:v>1</x:v>
      </x:c>
      <x:c r="F2106" s="115" t="str">
        <x:v>Inspection physique</x:v>
      </x:c>
      <x:c r="G2106" s="115" t="str">
        <x:v>5 niveaux ; 172 pièces ; 1305 segments de mur ; 7 transitions. Inspection physique ; architecture complète encore ouverte.</x:v>
      </x:c>
      <x:c r="H2106" s="115" t="str">
        <x:v>L 133 ; l 84,8 ; hauteur 12,35 m ; choix de composition auteur ; dimensions réelles à documenter</x:v>
      </x:c>
      <x:c r="I2106" s="115" t="str">
        <x:v>À équilibrer</x:v>
      </x:c>
      <x:c r="J2106" s="115" t="str">
        <x:v>Non</x:v>
      </x:c>
      <x:c r="K2106" s="115" t="str">
        <x:v>Pièces décrites, murs, portes, niveaux et mobilier inspectables à l’échelle. Volumes réservés, raccord au seed, butin, rencontres et services de campagne restent à terminer.</x:v>
      </x:c>
    </x:row>
    <x:row r="2107" ht="96" customHeight="1">
      <x:c r="A2107" s="115" t="str">
        <x:v>EXT-MONDE-T043-V02</x:v>
      </x:c>
      <x:c r="B2107" s="115" t="str">
        <x:v>EXT-MONDE-T043</x:v>
      </x:c>
      <x:c r="C2107" s="115" t="str">
        <x:v>HLM visitables</x:v>
      </x:c>
      <x:c r="D2107" s="115" t="str">
        <x:v>Résidence en cour</x:v>
      </x:c>
      <x:c r="E2107" s="115" t="n">
        <x:v>2</x:v>
      </x:c>
      <x:c r="F2107" s="115" t="str">
        <x:v>Inspection physique</x:v>
      </x:c>
      <x:c r="G2107" s="115" t="str">
        <x:v>6 niveaux ; 294 pièces ; 2226 segments de mur ; 12 transitions. Inspection physique ; architecture complète encore ouverte.</x:v>
      </x:c>
      <x:c r="H2107" s="115" t="str">
        <x:v>L 133,8 ; l 142,36 ; hauteur 15,45 m ; choix de composition auteur ; dimensions réelles à documenter</x:v>
      </x:c>
      <x:c r="I2107" s="115" t="str">
        <x:v>À équilibrer</x:v>
      </x:c>
      <x:c r="J2107" s="115" t="str">
        <x:v>Non</x:v>
      </x:c>
      <x:c r="K2107" s="115" t="str">
        <x:v>Pièces décrites, murs, portes, niveaux et mobilier inspectables à l’échelle. Volumes réservés, raccord au seed, butin, rencontres et services de campagne restent à terminer.</x:v>
      </x:c>
    </x:row>
    <x:row r="2108" ht="96" customHeight="1">
      <x:c r="A2108" s="115" t="str">
        <x:v>EXT-MONDE-T043-V03</x:v>
      </x:c>
      <x:c r="B2108" s="115" t="str">
        <x:v>EXT-MONDE-T043</x:v>
      </x:c>
      <x:c r="C2108" s="115" t="str">
        <x:v>HLM visitables</x:v>
      </x:c>
      <x:c r="D2108" s="115" t="str">
        <x:v>Résidence en cour</x:v>
      </x:c>
      <x:c r="E2108" s="115" t="n">
        <x:v>3</x:v>
      </x:c>
      <x:c r="F2108" s="115" t="str">
        <x:v>Inspection physique</x:v>
      </x:c>
      <x:c r="G2108" s="115" t="str">
        <x:v>5 niveaux ; 172 pièces ; 1305 segments de mur ; 7 transitions. Inspection physique ; architecture complète encore ouverte.</x:v>
      </x:c>
      <x:c r="H2108" s="115" t="str">
        <x:v>L 134,6 ; l 85,56 ; hauteur 12,55 m ; choix de composition auteur ; dimensions réelles à documenter</x:v>
      </x:c>
      <x:c r="I2108" s="115" t="str">
        <x:v>À équilibrer</x:v>
      </x:c>
      <x:c r="J2108" s="115" t="str">
        <x:v>Non</x:v>
      </x:c>
      <x:c r="K2108" s="115" t="str">
        <x:v>Pièces décrites, murs, portes, niveaux et mobilier inspectables à l’échelle. Volumes réservés, raccord au seed, butin, rencontres et services de campagne restent à terminer.</x:v>
      </x:c>
    </x:row>
    <x:row r="2109" ht="96" customHeight="1">
      <x:c r="A2109" s="115" t="str">
        <x:v>EXT-MONDE-T043-V04</x:v>
      </x:c>
      <x:c r="B2109" s="115" t="str">
        <x:v>EXT-MONDE-T043</x:v>
      </x:c>
      <x:c r="C2109" s="115" t="str">
        <x:v>HLM visitables</x:v>
      </x:c>
      <x:c r="D2109" s="115" t="str">
        <x:v>Résidence en cour</x:v>
      </x:c>
      <x:c r="E2109" s="115" t="n">
        <x:v>4</x:v>
      </x:c>
      <x:c r="F2109" s="115" t="str">
        <x:v>Inspection physique</x:v>
      </x:c>
      <x:c r="G2109" s="115" t="str">
        <x:v>6 niveaux ; 294 pièces ; 2226 segments de mur ; 12 transitions. Inspection physique ; architecture complète encore ouverte.</x:v>
      </x:c>
      <x:c r="H2109" s="115" t="str">
        <x:v>L 135,4 ; l 143,88 ; hauteur 15,35 m ; choix de composition auteur ; dimensions réelles à documenter</x:v>
      </x:c>
      <x:c r="I2109" s="115" t="str">
        <x:v>À équilibrer</x:v>
      </x:c>
      <x:c r="J2109" s="115" t="str">
        <x:v>Non</x:v>
      </x:c>
      <x:c r="K2109" s="115" t="str">
        <x:v>Pièces décrites, murs, portes, niveaux et mobilier inspectables à l’échelle. Volumes réservés, raccord au seed, butin, rencontres et services de campagne restent à terminer.</x:v>
      </x:c>
    </x:row>
    <x:row r="2110" ht="96" customHeight="1">
      <x:c r="A2110" s="115" t="str">
        <x:v>EXT-MONDE-T043-V05</x:v>
      </x:c>
      <x:c r="B2110" s="115" t="str">
        <x:v>EXT-MONDE-T043</x:v>
      </x:c>
      <x:c r="C2110" s="115" t="str">
        <x:v>HLM visitables</x:v>
      </x:c>
      <x:c r="D2110" s="115" t="str">
        <x:v>Résidence en cour</x:v>
      </x:c>
      <x:c r="E2110" s="115" t="n">
        <x:v>5</x:v>
      </x:c>
      <x:c r="F2110" s="115" t="str">
        <x:v>Inspection physique</x:v>
      </x:c>
      <x:c r="G2110" s="115" t="str">
        <x:v>5 niveaux ; 172 pièces ; 1305 segments de mur ; 7 transitions. Inspection physique ; architecture complète encore ouverte.</x:v>
      </x:c>
      <x:c r="H2110" s="115" t="str">
        <x:v>L 136,2 ; l 86,32 ; hauteur 12,45 m ; choix de composition auteur ; dimensions réelles à documenter</x:v>
      </x:c>
      <x:c r="I2110" s="115" t="str">
        <x:v>À équilibrer</x:v>
      </x:c>
      <x:c r="J2110" s="115" t="str">
        <x:v>Non</x:v>
      </x:c>
      <x:c r="K2110" s="115" t="str">
        <x:v>Pièces décrites, murs, portes, niveaux et mobilier inspectables à l’échelle. Volumes réservés, raccord au seed, butin, rencontres et services de campagne restent à terminer.</x:v>
      </x:c>
    </x:row>
    <x:row r="2111" ht="96" customHeight="1">
      <x:c r="A2111" s="115" t="str">
        <x:v>EXT-MONDE-T043-V06</x:v>
      </x:c>
      <x:c r="B2111" s="115" t="str">
        <x:v>EXT-MONDE-T043</x:v>
      </x:c>
      <x:c r="C2111" s="115" t="str">
        <x:v>HLM visitables</x:v>
      </x:c>
      <x:c r="D2111" s="115" t="str">
        <x:v>Résidence en cour</x:v>
      </x:c>
      <x:c r="E2111" s="115" t="n">
        <x:v>6</x:v>
      </x:c>
      <x:c r="F2111" s="115" t="str">
        <x:v>Inspection physique</x:v>
      </x:c>
      <x:c r="G2111" s="115" t="str">
        <x:v>6 niveaux ; 294 pièces ; 2226 segments de mur ; 12 transitions. Inspection physique ; architecture complète encore ouverte.</x:v>
      </x:c>
      <x:c r="H2111" s="115" t="str">
        <x:v>L 136,65 ; l 144,6 ; hauteur 15,55 m ; choix de composition auteur ; dimensions réelles à documenter</x:v>
      </x:c>
      <x:c r="I2111" s="115" t="str">
        <x:v>À équilibrer</x:v>
      </x:c>
      <x:c r="J2111" s="115" t="str">
        <x:v>Non</x:v>
      </x:c>
      <x:c r="K2111" s="115" t="str">
        <x:v>Pièces décrites, murs, portes, niveaux et mobilier inspectables à l’échelle. Volumes réservés, raccord au seed, butin, rencontres et services de campagne restent à terminer.</x:v>
      </x:c>
    </x:row>
    <x:row r="2112" ht="96" customHeight="1">
      <x:c r="A2112" s="115" t="str">
        <x:v>EXT-MONDE-T043-V07</x:v>
      </x:c>
      <x:c r="B2112" s="115" t="str">
        <x:v>EXT-MONDE-T043</x:v>
      </x:c>
      <x:c r="C2112" s="115" t="str">
        <x:v>HLM visitables</x:v>
      </x:c>
      <x:c r="D2112" s="115" t="str">
        <x:v>Résidence en cour</x:v>
      </x:c>
      <x:c r="E2112" s="115" t="n">
        <x:v>7</x:v>
      </x:c>
      <x:c r="F2112" s="115" t="str">
        <x:v>Inspection physique</x:v>
      </x:c>
      <x:c r="G2112" s="115" t="str">
        <x:v>5 niveaux ; 172 pièces ; 1305 segments de mur ; 7 transitions. Inspection physique ; architecture complète encore ouverte.</x:v>
      </x:c>
      <x:c r="H2112" s="115" t="str">
        <x:v>L 137,45 ; l 86,68 ; hauteur 12,35 m ; choix de composition auteur ; dimensions réelles à documenter</x:v>
      </x:c>
      <x:c r="I2112" s="115" t="str">
        <x:v>À équilibrer</x:v>
      </x:c>
      <x:c r="J2112" s="115" t="str">
        <x:v>Non</x:v>
      </x:c>
      <x:c r="K2112" s="115" t="str">
        <x:v>Pièces décrites, murs, portes, niveaux et mobilier inspectables à l’échelle. Volumes réservés, raccord au seed, butin, rencontres et services de campagne restent à terminer.</x:v>
      </x:c>
    </x:row>
    <x:row r="2113" ht="96" customHeight="1">
      <x:c r="A2113" s="115" t="str">
        <x:v>EXT-MONDE-T043-V08</x:v>
      </x:c>
      <x:c r="B2113" s="115" t="str">
        <x:v>EXT-MONDE-T043</x:v>
      </x:c>
      <x:c r="C2113" s="115" t="str">
        <x:v>HLM visitables</x:v>
      </x:c>
      <x:c r="D2113" s="115" t="str">
        <x:v>Résidence en cour</x:v>
      </x:c>
      <x:c r="E2113" s="115" t="n">
        <x:v>8</x:v>
      </x:c>
      <x:c r="F2113" s="115" t="str">
        <x:v>Inspection physique</x:v>
      </x:c>
      <x:c r="G2113" s="115" t="str">
        <x:v>6 niveaux ; 294 pièces ; 2226 segments de mur ; 12 transitions. Inspection physique ; architecture complète encore ouverte.</x:v>
      </x:c>
      <x:c r="H2113" s="115" t="str">
        <x:v>L 138,25 ; l 146,12 ; hauteur 15,45 m ; choix de composition auteur ; dimensions réelles à documenter</x:v>
      </x:c>
      <x:c r="I2113" s="115" t="str">
        <x:v>À équilibrer</x:v>
      </x:c>
      <x:c r="J2113" s="115" t="str">
        <x:v>Non</x:v>
      </x:c>
      <x:c r="K2113" s="115" t="str">
        <x:v>Pièces décrites, murs, portes, niveaux et mobilier inspectables à l’échelle. Volumes réservés, raccord au seed, butin, rencontres et services de campagne restent à terminer.</x:v>
      </x:c>
    </x:row>
    <x:row r="2114" ht="96" customHeight="1">
      <x:c r="A2114" s="115" t="str">
        <x:v>EXT-MONDE-T043-V09</x:v>
      </x:c>
      <x:c r="B2114" s="115" t="str">
        <x:v>EXT-MONDE-T043</x:v>
      </x:c>
      <x:c r="C2114" s="115" t="str">
        <x:v>HLM visitables</x:v>
      </x:c>
      <x:c r="D2114" s="115" t="str">
        <x:v>Résidence en cour</x:v>
      </x:c>
      <x:c r="E2114" s="115" t="n">
        <x:v>9</x:v>
      </x:c>
      <x:c r="F2114" s="115" t="str">
        <x:v>Inspection physique</x:v>
      </x:c>
      <x:c r="G2114" s="115" t="str">
        <x:v>5 niveaux ; 172 pièces ; 1305 segments de mur ; 7 transitions. Inspection physique ; architecture complète encore ouverte.</x:v>
      </x:c>
      <x:c r="H2114" s="115" t="str">
        <x:v>L 139,05 ; l 87,44 ; hauteur 12,55 m ; choix de composition auteur ; dimensions réelles à documenter</x:v>
      </x:c>
      <x:c r="I2114" s="115" t="str">
        <x:v>À équilibrer</x:v>
      </x:c>
      <x:c r="J2114" s="115" t="str">
        <x:v>Non</x:v>
      </x:c>
      <x:c r="K2114" s="115" t="str">
        <x:v>Pièces décrites, murs, portes, niveaux et mobilier inspectables à l’échelle. Volumes réservés, raccord au seed, butin, rencontres et services de campagne restent à terminer.</x:v>
      </x:c>
    </x:row>
    <x:row r="2115" ht="96" customHeight="1">
      <x:c r="A2115" s="115" t="str">
        <x:v>EXT-MONDE-T043-V10</x:v>
      </x:c>
      <x:c r="B2115" s="115" t="str">
        <x:v>EXT-MONDE-T043</x:v>
      </x:c>
      <x:c r="C2115" s="115" t="str">
        <x:v>HLM visitables</x:v>
      </x:c>
      <x:c r="D2115" s="115" t="str">
        <x:v>Résidence en cour</x:v>
      </x:c>
      <x:c r="E2115" s="115" t="n">
        <x:v>10</x:v>
      </x:c>
      <x:c r="F2115" s="115" t="str">
        <x:v>Inspection physique</x:v>
      </x:c>
      <x:c r="G2115" s="115" t="str">
        <x:v>6 niveaux ; 294 pièces ; 2226 segments de mur ; 12 transitions. Inspection physique ; architecture complète encore ouverte.</x:v>
      </x:c>
      <x:c r="H2115" s="115" t="str">
        <x:v>L 139,85 ; l 147,64 ; hauteur 15,35 m ; choix de composition auteur ; dimensions réelles à documenter</x:v>
      </x:c>
      <x:c r="I2115" s="115" t="str">
        <x:v>À équilibrer</x:v>
      </x:c>
      <x:c r="J2115" s="115" t="str">
        <x:v>Non</x:v>
      </x:c>
      <x:c r="K2115" s="115" t="str">
        <x:v>Pièces décrites, murs, portes, niveaux et mobilier inspectables à l’échelle. Volumes réservés, raccord au seed, butin, rencontres et services de campagne restent à terminer.</x:v>
      </x:c>
    </x:row>
    <x:row r="2116" ht="96" customHeight="1">
      <x:c r="A2116" s="115" t="str">
        <x:v>EXT-MONDE-T043-V11</x:v>
      </x:c>
      <x:c r="B2116" s="115" t="str">
        <x:v>EXT-MONDE-T043</x:v>
      </x:c>
      <x:c r="C2116" s="115" t="str">
        <x:v>HLM visitables</x:v>
      </x:c>
      <x:c r="D2116" s="115" t="str">
        <x:v>Résidence en cour</x:v>
      </x:c>
      <x:c r="E2116" s="115" t="n">
        <x:v>11</x:v>
      </x:c>
      <x:c r="F2116" s="115" t="str">
        <x:v>Inspection physique</x:v>
      </x:c>
      <x:c r="G2116" s="115" t="str">
        <x:v>6 niveaux ; 220 pièces ; 1663 segments de mur ; 9 transitions. Inspection physique ; architecture complète encore ouverte.</x:v>
      </x:c>
      <x:c r="H2116" s="115" t="str">
        <x:v>L 133,2 ; l 84,96 ; hauteur 15,35 m ; choix de composition auteur ; dimensions réelles à documenter</x:v>
      </x:c>
      <x:c r="I2116" s="115" t="str">
        <x:v>À équilibrer</x:v>
      </x:c>
      <x:c r="J2116" s="115" t="str">
        <x:v>Non</x:v>
      </x:c>
      <x:c r="K2116" s="115" t="str">
        <x:v>Pièces décrites, murs, portes, niveaux et mobilier inspectables à l’échelle. Volumes réservés, raccord au seed, butin, rencontres et services de campagne restent à terminer.</x:v>
      </x:c>
    </x:row>
    <x:row r="2117" ht="96" customHeight="1">
      <x:c r="A2117" s="115" t="str">
        <x:v>EXT-MONDE-T043-V12</x:v>
      </x:c>
      <x:c r="B2117" s="115" t="str">
        <x:v>EXT-MONDE-T043</x:v>
      </x:c>
      <x:c r="C2117" s="115" t="str">
        <x:v>HLM visitables</x:v>
      </x:c>
      <x:c r="D2117" s="115" t="str">
        <x:v>Résidence en cour</x:v>
      </x:c>
      <x:c r="E2117" s="115" t="n">
        <x:v>12</x:v>
      </x:c>
      <x:c r="F2117" s="115" t="str">
        <x:v>Inspection physique</x:v>
      </x:c>
      <x:c r="G2117" s="115" t="str">
        <x:v>6 niveaux ; 294 pièces ; 2226 segments de mur ; 12 transitions. Inspection physique ; architecture complète encore ouverte.</x:v>
      </x:c>
      <x:c r="H2117" s="115" t="str">
        <x:v>L 134 ; l 142,68 ; hauteur 15,45 m ; choix de composition auteur ; dimensions réelles à documenter</x:v>
      </x:c>
      <x:c r="I2117" s="115" t="str">
        <x:v>À équilibrer</x:v>
      </x:c>
      <x:c r="J2117" s="115" t="str">
        <x:v>Non</x:v>
      </x:c>
      <x:c r="K2117" s="115" t="str">
        <x:v>Pièces décrites, murs, portes, niveaux et mobilier inspectables à l’échelle. Volumes réservés, raccord au seed, butin, rencontres et services de campagne restent à terminer.</x:v>
      </x:c>
    </x:row>
    <x:row r="2118" ht="96" customHeight="1">
      <x:c r="A2118" s="115" t="str">
        <x:v>EXT-MONDE-T043-V13</x:v>
      </x:c>
      <x:c r="B2118" s="115" t="str">
        <x:v>EXT-MONDE-T043</x:v>
      </x:c>
      <x:c r="C2118" s="115" t="str">
        <x:v>HLM visitables</x:v>
      </x:c>
      <x:c r="D2118" s="115" t="str">
        <x:v>Résidence en cour</x:v>
      </x:c>
      <x:c r="E2118" s="115" t="n">
        <x:v>13</x:v>
      </x:c>
      <x:c r="F2118" s="115" t="str">
        <x:v>Inspection physique</x:v>
      </x:c>
      <x:c r="G2118" s="115" t="str">
        <x:v>6 niveaux ; 220 pièces ; 1663 segments de mur ; 9 transitions. Inspection physique ; architecture complète encore ouverte.</x:v>
      </x:c>
      <x:c r="H2118" s="115" t="str">
        <x:v>L 134,8 ; l 85,72 ; hauteur 15,55 m ; choix de composition auteur ; dimensions réelles à documenter</x:v>
      </x:c>
      <x:c r="I2118" s="115" t="str">
        <x:v>À équilibrer</x:v>
      </x:c>
      <x:c r="J2118" s="115" t="str">
        <x:v>Non</x:v>
      </x:c>
      <x:c r="K2118" s="115" t="str">
        <x:v>Pièces décrites, murs, portes, niveaux et mobilier inspectables à l’échelle. Volumes réservés, raccord au seed, butin, rencontres et services de campagne restent à terminer.</x:v>
      </x:c>
    </x:row>
    <x:row r="2119" ht="96" customHeight="1">
      <x:c r="A2119" s="115" t="str">
        <x:v>EXT-MONDE-T043-V14</x:v>
      </x:c>
      <x:c r="B2119" s="115" t="str">
        <x:v>EXT-MONDE-T043</x:v>
      </x:c>
      <x:c r="C2119" s="115" t="str">
        <x:v>HLM visitables</x:v>
      </x:c>
      <x:c r="D2119" s="115" t="str">
        <x:v>Résidence en cour</x:v>
      </x:c>
      <x:c r="E2119" s="115" t="n">
        <x:v>14</x:v>
      </x:c>
      <x:c r="F2119" s="115" t="str">
        <x:v>Inspection physique</x:v>
      </x:c>
      <x:c r="G2119" s="115" t="str">
        <x:v>6 niveaux ; 294 pièces ; 2226 segments de mur ; 12 transitions. Inspection physique ; architecture complète encore ouverte.</x:v>
      </x:c>
      <x:c r="H2119" s="115" t="str">
        <x:v>L 135,6 ; l 144,2 ; hauteur 15,35 m ; choix de composition auteur ; dimensions réelles à documenter</x:v>
      </x:c>
      <x:c r="I2119" s="115" t="str">
        <x:v>À équilibrer</x:v>
      </x:c>
      <x:c r="J2119" s="115" t="str">
        <x:v>Non</x:v>
      </x:c>
      <x:c r="K2119" s="115" t="str">
        <x:v>Pièces décrites, murs, portes, niveaux et mobilier inspectables à l’échelle. Volumes réservés, raccord au seed, butin, rencontres et services de campagne restent à terminer.</x:v>
      </x:c>
    </x:row>
    <x:row r="2120" ht="96" customHeight="1">
      <x:c r="A2120" s="115" t="str">
        <x:v>EXT-MONDE-T043-V15</x:v>
      </x:c>
      <x:c r="B2120" s="115" t="str">
        <x:v>EXT-MONDE-T043</x:v>
      </x:c>
      <x:c r="C2120" s="115" t="str">
        <x:v>HLM visitables</x:v>
      </x:c>
      <x:c r="D2120" s="115" t="str">
        <x:v>Résidence en cour</x:v>
      </x:c>
      <x:c r="E2120" s="115" t="n">
        <x:v>15</x:v>
      </x:c>
      <x:c r="F2120" s="115" t="str">
        <x:v>Inspection physique</x:v>
      </x:c>
      <x:c r="G2120" s="115" t="str">
        <x:v>6 niveaux ; 220 pièces ; 1663 segments de mur ; 9 transitions. Inspection physique ; architecture complète encore ouverte.</x:v>
      </x:c>
      <x:c r="H2120" s="115" t="str">
        <x:v>L 136,4 ; l 86,48 ; hauteur 15,45 m ; choix de composition auteur ; dimensions réelles à documenter</x:v>
      </x:c>
      <x:c r="I2120" s="115" t="str">
        <x:v>À équilibrer</x:v>
      </x:c>
      <x:c r="J2120" s="115" t="str">
        <x:v>Non</x:v>
      </x:c>
      <x:c r="K2120" s="115" t="str">
        <x:v>Pièces décrites, murs, portes, niveaux et mobilier inspectables à l’échelle. Volumes réservés, raccord au seed, butin, rencontres et services de campagne restent à terminer.</x:v>
      </x:c>
    </x:row>
    <x:row r="2121" ht="96" customHeight="1">
      <x:c r="A2121" s="115" t="str">
        <x:v>EXT-MONDE-T043-V16</x:v>
      </x:c>
      <x:c r="B2121" s="115" t="str">
        <x:v>EXT-MONDE-T043</x:v>
      </x:c>
      <x:c r="C2121" s="115" t="str">
        <x:v>HLM visitables</x:v>
      </x:c>
      <x:c r="D2121" s="115" t="str">
        <x:v>Résidence en cour</x:v>
      </x:c>
      <x:c r="E2121" s="115" t="n">
        <x:v>16</x:v>
      </x:c>
      <x:c r="F2121" s="115" t="str">
        <x:v>Inspection physique</x:v>
      </x:c>
      <x:c r="G2121" s="115" t="str">
        <x:v>6 niveaux ; 294 pièces ; 2226 segments de mur ; 12 transitions. Inspection physique ; architecture complète encore ouverte.</x:v>
      </x:c>
      <x:c r="H2121" s="115" t="str">
        <x:v>L 136,85 ; l 144,92 ; hauteur 15,55 m ; choix de composition auteur ; dimensions réelles à documenter</x:v>
      </x:c>
      <x:c r="I2121" s="115" t="str">
        <x:v>À équilibrer</x:v>
      </x:c>
      <x:c r="J2121" s="115" t="str">
        <x:v>Non</x:v>
      </x:c>
      <x:c r="K2121" s="115" t="str">
        <x:v>Pièces décrites, murs, portes, niveaux et mobilier inspectables à l’échelle. Volumes réservés, raccord au seed, butin, rencontres et services de campagne restent à terminer.</x:v>
      </x:c>
    </x:row>
    <x:row r="2122" ht="96" customHeight="1">
      <x:c r="A2122" s="115" t="str">
        <x:v>EXT-MONDE-T043-V17</x:v>
      </x:c>
      <x:c r="B2122" s="115" t="str">
        <x:v>EXT-MONDE-T043</x:v>
      </x:c>
      <x:c r="C2122" s="115" t="str">
        <x:v>HLM visitables</x:v>
      </x:c>
      <x:c r="D2122" s="115" t="str">
        <x:v>Résidence en cour</x:v>
      </x:c>
      <x:c r="E2122" s="115" t="n">
        <x:v>17</x:v>
      </x:c>
      <x:c r="F2122" s="115" t="str">
        <x:v>Inspection physique</x:v>
      </x:c>
      <x:c r="G2122" s="115" t="str">
        <x:v>6 niveaux ; 220 pièces ; 1663 segments de mur ; 9 transitions. Inspection physique ; architecture complète encore ouverte.</x:v>
      </x:c>
      <x:c r="H2122" s="115" t="str">
        <x:v>L 137,65 ; l 86,84 ; hauteur 15,35 m ; choix de composition auteur ; dimensions réelles à documenter</x:v>
      </x:c>
      <x:c r="I2122" s="115" t="str">
        <x:v>À équilibrer</x:v>
      </x:c>
      <x:c r="J2122" s="115" t="str">
        <x:v>Non</x:v>
      </x:c>
      <x:c r="K2122" s="115" t="str">
        <x:v>Pièces décrites, murs, portes, niveaux et mobilier inspectables à l’échelle. Volumes réservés, raccord au seed, butin, rencontres et services de campagne restent à terminer.</x:v>
      </x:c>
    </x:row>
    <x:row r="2123" ht="96" customHeight="1">
      <x:c r="A2123" s="115" t="str">
        <x:v>EXT-MONDE-T043-V18</x:v>
      </x:c>
      <x:c r="B2123" s="115" t="str">
        <x:v>EXT-MONDE-T043</x:v>
      </x:c>
      <x:c r="C2123" s="115" t="str">
        <x:v>HLM visitables</x:v>
      </x:c>
      <x:c r="D2123" s="115" t="str">
        <x:v>Résidence en cour</x:v>
      </x:c>
      <x:c r="E2123" s="115" t="n">
        <x:v>18</x:v>
      </x:c>
      <x:c r="F2123" s="115" t="str">
        <x:v>Inspection physique</x:v>
      </x:c>
      <x:c r="G2123" s="115" t="str">
        <x:v>6 niveaux ; 294 pièces ; 2226 segments de mur ; 12 transitions. Inspection physique ; architecture complète encore ouverte.</x:v>
      </x:c>
      <x:c r="H2123" s="115" t="str">
        <x:v>L 138,45 ; l 146,44 ; hauteur 15,45 m ; choix de composition auteur ; dimensions réelles à documenter</x:v>
      </x:c>
      <x:c r="I2123" s="115" t="str">
        <x:v>À équilibrer</x:v>
      </x:c>
      <x:c r="J2123" s="115" t="str">
        <x:v>Non</x:v>
      </x:c>
      <x:c r="K2123" s="115" t="str">
        <x:v>Pièces décrites, murs, portes, niveaux et mobilier inspectables à l’échelle. Volumes réservés, raccord au seed, butin, rencontres et services de campagne restent à terminer.</x:v>
      </x:c>
    </x:row>
    <x:row r="2124" ht="96" customHeight="1">
      <x:c r="A2124" s="115" t="str">
        <x:v>EXT-MONDE-T043-V19</x:v>
      </x:c>
      <x:c r="B2124" s="115" t="str">
        <x:v>EXT-MONDE-T043</x:v>
      </x:c>
      <x:c r="C2124" s="115" t="str">
        <x:v>HLM visitables</x:v>
      </x:c>
      <x:c r="D2124" s="115" t="str">
        <x:v>Résidence en cour</x:v>
      </x:c>
      <x:c r="E2124" s="115" t="n">
        <x:v>19</x:v>
      </x:c>
      <x:c r="F2124" s="115" t="str">
        <x:v>Inspection physique</x:v>
      </x:c>
      <x:c r="G2124" s="115" t="str">
        <x:v>6 niveaux ; 220 pièces ; 1663 segments de mur ; 9 transitions. Inspection physique ; architecture complète encore ouverte.</x:v>
      </x:c>
      <x:c r="H2124" s="115" t="str">
        <x:v>L 139,25 ; l 87,6 ; hauteur 15,55 m ; choix de composition auteur ; dimensions réelles à documenter</x:v>
      </x:c>
      <x:c r="I2124" s="115" t="str">
        <x:v>À équilibrer</x:v>
      </x:c>
      <x:c r="J2124" s="115" t="str">
        <x:v>Non</x:v>
      </x:c>
      <x:c r="K2124" s="115" t="str">
        <x:v>Pièces décrites, murs, portes, niveaux et mobilier inspectables à l’échelle. Volumes réservés, raccord au seed, butin, rencontres et services de campagne restent à terminer.</x:v>
      </x:c>
    </x:row>
    <x:row r="2125" ht="96" customHeight="1">
      <x:c r="A2125" s="115" t="str">
        <x:v>EXT-MONDE-T043-V20</x:v>
      </x:c>
      <x:c r="B2125" s="115" t="str">
        <x:v>EXT-MONDE-T043</x:v>
      </x:c>
      <x:c r="C2125" s="115" t="str">
        <x:v>HLM visitables</x:v>
      </x:c>
      <x:c r="D2125" s="115" t="str">
        <x:v>Résidence en cour</x:v>
      </x:c>
      <x:c r="E2125" s="115" t="n">
        <x:v>20</x:v>
      </x:c>
      <x:c r="F2125" s="115" t="str">
        <x:v>Inspection physique</x:v>
      </x:c>
      <x:c r="G2125" s="115" t="str">
        <x:v>6 niveaux ; 294 pièces ; 2226 segments de mur ; 12 transitions. Inspection physique ; architecture complète encore ouverte.</x:v>
      </x:c>
      <x:c r="H2125" s="115" t="str">
        <x:v>L 140,05 ; l 147,96 ; hauteur 15,35 m ; choix de composition auteur ; dimensions réelles à documenter</x:v>
      </x:c>
      <x:c r="I2125" s="115" t="str">
        <x:v>À équilibrer</x:v>
      </x:c>
      <x:c r="J2125" s="115" t="str">
        <x:v>Non</x:v>
      </x:c>
      <x:c r="K2125" s="115" t="str">
        <x:v>Pièces décrites, murs, portes, niveaux et mobilier inspectables à l’échelle. Volumes réservés, raccord au seed, butin, rencontres et services de campagne restent à terminer.</x:v>
      </x:c>
    </x:row>
    <x:row r="2126" ht="96" customHeight="1">
      <x:c r="A2126" s="115" t="str">
        <x:v>EXT-MONDE-T043-V21</x:v>
      </x:c>
      <x:c r="B2126" s="115" t="str">
        <x:v>EXT-MONDE-T043</x:v>
      </x:c>
      <x:c r="C2126" s="115" t="str">
        <x:v>HLM visitables</x:v>
      </x:c>
      <x:c r="D2126" s="115" t="str">
        <x:v>Résidence en cour</x:v>
      </x:c>
      <x:c r="E2126" s="115" t="n">
        <x:v>21</x:v>
      </x:c>
      <x:c r="F2126" s="115" t="str">
        <x:v>Inspection physique</x:v>
      </x:c>
      <x:c r="G2126" s="115" t="str">
        <x:v>6 niveaux ; 196 pièces ; 1484 segments de mur ; 8 transitions. Inspection physique ; architecture complète encore ouverte.</x:v>
      </x:c>
      <x:c r="H2126" s="115" t="str">
        <x:v>L 133,4 ; l 85,12 ; hauteur 15,35 m ; choix de composition auteur ; dimensions réelles à documenter</x:v>
      </x:c>
      <x:c r="I2126" s="115" t="str">
        <x:v>À équilibrer</x:v>
      </x:c>
      <x:c r="J2126" s="115" t="str">
        <x:v>Non</x:v>
      </x:c>
      <x:c r="K2126" s="115" t="str">
        <x:v>Pièces décrites, murs, portes, niveaux et mobilier inspectables à l’échelle. Volumes réservés, raccord au seed, butin, rencontres et services de campagne restent à terminer.</x:v>
      </x:c>
    </x:row>
    <x:row r="2127" ht="96" customHeight="1">
      <x:c r="A2127" s="115" t="str">
        <x:v>EXT-MONDE-T043-V22</x:v>
      </x:c>
      <x:c r="B2127" s="115" t="str">
        <x:v>EXT-MONDE-T043</x:v>
      </x:c>
      <x:c r="C2127" s="115" t="str">
        <x:v>HLM visitables</x:v>
      </x:c>
      <x:c r="D2127" s="115" t="str">
        <x:v>Résidence en cour</x:v>
      </x:c>
      <x:c r="E2127" s="115" t="n">
        <x:v>22</x:v>
      </x:c>
      <x:c r="F2127" s="115" t="str">
        <x:v>Inspection physique</x:v>
      </x:c>
      <x:c r="G2127" s="115" t="str">
        <x:v>6 niveaux ; 294 pièces ; 2226 segments de mur ; 12 transitions. Inspection physique ; architecture complète encore ouverte.</x:v>
      </x:c>
      <x:c r="H2127" s="115" t="str">
        <x:v>L 134,2 ; l 143 ; hauteur 15,45 m ; choix de composition auteur ; dimensions réelles à documenter</x:v>
      </x:c>
      <x:c r="I2127" s="115" t="str">
        <x:v>À équilibrer</x:v>
      </x:c>
      <x:c r="J2127" s="115" t="str">
        <x:v>Non</x:v>
      </x:c>
      <x:c r="K2127" s="115" t="str">
        <x:v>Pièces décrites, murs, portes, niveaux et mobilier inspectables à l’échelle. Volumes réservés, raccord au seed, butin, rencontres et services de campagne restent à terminer.</x:v>
      </x:c>
    </x:row>
    <x:row r="2128" ht="96" customHeight="1">
      <x:c r="A2128" s="115" t="str">
        <x:v>EXT-MONDE-T043-V23</x:v>
      </x:c>
      <x:c r="B2128" s="115" t="str">
        <x:v>EXT-MONDE-T043</x:v>
      </x:c>
      <x:c r="C2128" s="115" t="str">
        <x:v>HLM visitables</x:v>
      </x:c>
      <x:c r="D2128" s="115" t="str">
        <x:v>Résidence en cour</x:v>
      </x:c>
      <x:c r="E2128" s="115" t="n">
        <x:v>23</x:v>
      </x:c>
      <x:c r="F2128" s="115" t="str">
        <x:v>Inspection physique</x:v>
      </x:c>
      <x:c r="G2128" s="115" t="str">
        <x:v>6 niveaux ; 196 pièces ; 1484 segments de mur ; 8 transitions. Inspection physique ; architecture complète encore ouverte.</x:v>
      </x:c>
      <x:c r="H2128" s="115" t="str">
        <x:v>L 135 ; l 85,88 ; hauteur 15,55 m ; choix de composition auteur ; dimensions réelles à documenter</x:v>
      </x:c>
      <x:c r="I2128" s="115" t="str">
        <x:v>À équilibrer</x:v>
      </x:c>
      <x:c r="J2128" s="115" t="str">
        <x:v>Non</x:v>
      </x:c>
      <x:c r="K2128" s="115" t="str">
        <x:v>Pièces décrites, murs, portes, niveaux et mobilier inspectables à l’échelle. Volumes réservés, raccord au seed, butin, rencontres et services de campagne restent à terminer.</x:v>
      </x:c>
    </x:row>
    <x:row r="2129" ht="96" customHeight="1">
      <x:c r="A2129" s="115" t="str">
        <x:v>EXT-MONDE-T043-V24</x:v>
      </x:c>
      <x:c r="B2129" s="115" t="str">
        <x:v>EXT-MONDE-T043</x:v>
      </x:c>
      <x:c r="C2129" s="115" t="str">
        <x:v>HLM visitables</x:v>
      </x:c>
      <x:c r="D2129" s="115" t="str">
        <x:v>Résidence en cour</x:v>
      </x:c>
      <x:c r="E2129" s="115" t="n">
        <x:v>24</x:v>
      </x:c>
      <x:c r="F2129" s="115" t="str">
        <x:v>Inspection physique</x:v>
      </x:c>
      <x:c r="G2129" s="115" t="str">
        <x:v>6 niveaux ; 294 pièces ; 2226 segments de mur ; 12 transitions. Inspection physique ; architecture complète encore ouverte.</x:v>
      </x:c>
      <x:c r="H2129" s="115" t="str">
        <x:v>L 135,8 ; l 144,52 ; hauteur 15,35 m ; choix de composition auteur ; dimensions réelles à documenter</x:v>
      </x:c>
      <x:c r="I2129" s="115" t="str">
        <x:v>À équilibrer</x:v>
      </x:c>
      <x:c r="J2129" s="115" t="str">
        <x:v>Non</x:v>
      </x:c>
      <x:c r="K2129" s="115" t="str">
        <x:v>Pièces décrites, murs, portes, niveaux et mobilier inspectables à l’échelle. Volumes réservés, raccord au seed, butin, rencontres et services de campagne restent à terminer.</x:v>
      </x:c>
    </x:row>
    <x:row r="2130" ht="96" customHeight="1">
      <x:c r="A2130" s="115" t="str">
        <x:v>EXT-MONDE-T043-V25</x:v>
      </x:c>
      <x:c r="B2130" s="115" t="str">
        <x:v>EXT-MONDE-T043</x:v>
      </x:c>
      <x:c r="C2130" s="115" t="str">
        <x:v>HLM visitables</x:v>
      </x:c>
      <x:c r="D2130" s="115" t="str">
        <x:v>Résidence en cour</x:v>
      </x:c>
      <x:c r="E2130" s="115" t="n">
        <x:v>25</x:v>
      </x:c>
      <x:c r="F2130" s="115" t="str">
        <x:v>Inspection physique</x:v>
      </x:c>
      <x:c r="G2130" s="115" t="str">
        <x:v>6 niveaux ; 196 pièces ; 1484 segments de mur ; 8 transitions. Inspection physique ; architecture complète encore ouverte.</x:v>
      </x:c>
      <x:c r="H2130" s="115" t="str">
        <x:v>L 136,6 ; l 86,64 ; hauteur 15,45 m ; choix de composition auteur ; dimensions réelles à documenter</x:v>
      </x:c>
      <x:c r="I2130" s="115" t="str">
        <x:v>À équilibrer</x:v>
      </x:c>
      <x:c r="J2130" s="115" t="str">
        <x:v>Non</x:v>
      </x:c>
      <x:c r="K2130" s="115" t="str">
        <x:v>Pièces décrites, murs, portes, niveaux et mobilier inspectables à l’échelle. Volumes réservés, raccord au seed, butin, rencontres et services de campagne restent à terminer.</x:v>
      </x:c>
    </x:row>
    <x:row r="2131" ht="96" customHeight="1">
      <x:c r="A2131" s="115" t="str">
        <x:v>EXT-MONDE-T043-V26</x:v>
      </x:c>
      <x:c r="B2131" s="115" t="str">
        <x:v>EXT-MONDE-T043</x:v>
      </x:c>
      <x:c r="C2131" s="115" t="str">
        <x:v>HLM visitables</x:v>
      </x:c>
      <x:c r="D2131" s="115" t="str">
        <x:v>Résidence en cour</x:v>
      </x:c>
      <x:c r="E2131" s="115" t="n">
        <x:v>26</x:v>
      </x:c>
      <x:c r="F2131" s="115" t="str">
        <x:v>Inspection physique</x:v>
      </x:c>
      <x:c r="G2131" s="115" t="str">
        <x:v>6 niveaux ; 294 pièces ; 2226 segments de mur ; 12 transitions. Inspection physique ; architecture complète encore ouverte.</x:v>
      </x:c>
      <x:c r="H2131" s="115" t="str">
        <x:v>L 137,05 ; l 145,24 ; hauteur 15,55 m ; choix de composition auteur ; dimensions réelles à documenter</x:v>
      </x:c>
      <x:c r="I2131" s="115" t="str">
        <x:v>À équilibrer</x:v>
      </x:c>
      <x:c r="J2131" s="115" t="str">
        <x:v>Non</x:v>
      </x:c>
      <x:c r="K2131" s="115" t="str">
        <x:v>Pièces décrites, murs, portes, niveaux et mobilier inspectables à l’échelle. Volumes réservés, raccord au seed, butin, rencontres et services de campagne restent à terminer.</x:v>
      </x:c>
    </x:row>
    <x:row r="2132" ht="96" customHeight="1">
      <x:c r="A2132" s="115" t="str">
        <x:v>EXT-MONDE-T043-V27</x:v>
      </x:c>
      <x:c r="B2132" s="115" t="str">
        <x:v>EXT-MONDE-T043</x:v>
      </x:c>
      <x:c r="C2132" s="115" t="str">
        <x:v>HLM visitables</x:v>
      </x:c>
      <x:c r="D2132" s="115" t="str">
        <x:v>Résidence en cour</x:v>
      </x:c>
      <x:c r="E2132" s="115" t="n">
        <x:v>27</x:v>
      </x:c>
      <x:c r="F2132" s="115" t="str">
        <x:v>Inspection physique</x:v>
      </x:c>
      <x:c r="G2132" s="115" t="str">
        <x:v>6 niveaux ; 196 pièces ; 1484 segments de mur ; 8 transitions. Inspection physique ; architecture complète encore ouverte.</x:v>
      </x:c>
      <x:c r="H2132" s="115" t="str">
        <x:v>L 137,85 ; l 87 ; hauteur 15,35 m ; choix de composition auteur ; dimensions réelles à documenter</x:v>
      </x:c>
      <x:c r="I2132" s="115" t="str">
        <x:v>À équilibrer</x:v>
      </x:c>
      <x:c r="J2132" s="115" t="str">
        <x:v>Non</x:v>
      </x:c>
      <x:c r="K2132" s="115" t="str">
        <x:v>Pièces décrites, murs, portes, niveaux et mobilier inspectables à l’échelle. Volumes réservés, raccord au seed, butin, rencontres et services de campagne restent à terminer.</x:v>
      </x:c>
    </x:row>
    <x:row r="2133" ht="96" customHeight="1">
      <x:c r="A2133" s="115" t="str">
        <x:v>EXT-MONDE-T043-V28</x:v>
      </x:c>
      <x:c r="B2133" s="115" t="str">
        <x:v>EXT-MONDE-T043</x:v>
      </x:c>
      <x:c r="C2133" s="115" t="str">
        <x:v>HLM visitables</x:v>
      </x:c>
      <x:c r="D2133" s="115" t="str">
        <x:v>Résidence en cour</x:v>
      </x:c>
      <x:c r="E2133" s="115" t="n">
        <x:v>28</x:v>
      </x:c>
      <x:c r="F2133" s="115" t="str">
        <x:v>Inspection physique</x:v>
      </x:c>
      <x:c r="G2133" s="115" t="str">
        <x:v>6 niveaux ; 294 pièces ; 2226 segments de mur ; 12 transitions. Inspection physique ; architecture complète encore ouverte.</x:v>
      </x:c>
      <x:c r="H2133" s="115" t="str">
        <x:v>L 138,65 ; l 146,76 ; hauteur 15,45 m ; choix de composition auteur ; dimensions réelles à documenter</x:v>
      </x:c>
      <x:c r="I2133" s="115" t="str">
        <x:v>À équilibrer</x:v>
      </x:c>
      <x:c r="J2133" s="115" t="str">
        <x:v>Non</x:v>
      </x:c>
      <x:c r="K2133" s="115" t="str">
        <x:v>Pièces décrites, murs, portes, niveaux et mobilier inspectables à l’échelle. Volumes réservés, raccord au seed, butin, rencontres et services de campagne restent à terminer.</x:v>
      </x:c>
    </x:row>
    <x:row r="2134" ht="96" customHeight="1">
      <x:c r="A2134" s="115" t="str">
        <x:v>EXT-MONDE-T043-V29</x:v>
      </x:c>
      <x:c r="B2134" s="115" t="str">
        <x:v>EXT-MONDE-T043</x:v>
      </x:c>
      <x:c r="C2134" s="115" t="str">
        <x:v>HLM visitables</x:v>
      </x:c>
      <x:c r="D2134" s="115" t="str">
        <x:v>Résidence en cour</x:v>
      </x:c>
      <x:c r="E2134" s="115" t="n">
        <x:v>29</x:v>
      </x:c>
      <x:c r="F2134" s="115" t="str">
        <x:v>Inspection physique</x:v>
      </x:c>
      <x:c r="G2134" s="115" t="str">
        <x:v>6 niveaux ; 196 pièces ; 1484 segments de mur ; 8 transitions. Inspection physique ; architecture complète encore ouverte.</x:v>
      </x:c>
      <x:c r="H2134" s="115" t="str">
        <x:v>L 139,45 ; l 87,76 ; hauteur 15,55 m ; choix de composition auteur ; dimensions réelles à documenter</x:v>
      </x:c>
      <x:c r="I2134" s="115" t="str">
        <x:v>À équilibrer</x:v>
      </x:c>
      <x:c r="J2134" s="115" t="str">
        <x:v>Non</x:v>
      </x:c>
      <x:c r="K2134" s="115" t="str">
        <x:v>Pièces décrites, murs, portes, niveaux et mobilier inspectables à l’échelle. Volumes réservés, raccord au seed, butin, rencontres et services de campagne restent à terminer.</x:v>
      </x:c>
    </x:row>
    <x:row r="2135" ht="96" customHeight="1">
      <x:c r="A2135" s="115" t="str">
        <x:v>EXT-MONDE-T043-V30</x:v>
      </x:c>
      <x:c r="B2135" s="115" t="str">
        <x:v>EXT-MONDE-T043</x:v>
      </x:c>
      <x:c r="C2135" s="115" t="str">
        <x:v>HLM visitables</x:v>
      </x:c>
      <x:c r="D2135" s="115" t="str">
        <x:v>Résidence en cour</x:v>
      </x:c>
      <x:c r="E2135" s="115" t="n">
        <x:v>30</x:v>
      </x:c>
      <x:c r="F2135" s="115" t="str">
        <x:v>Inspection physique</x:v>
      </x:c>
      <x:c r="G2135" s="115" t="str">
        <x:v>6 niveaux ; 294 pièces ; 2226 segments de mur ; 12 transitions. Inspection physique ; architecture complète encore ouverte.</x:v>
      </x:c>
      <x:c r="H2135" s="115" t="str">
        <x:v>L 140,25 ; l 148,28 ; hauteur 15,35 m ; choix de composition auteur ; dimensions réelles à documenter</x:v>
      </x:c>
      <x:c r="I2135" s="115" t="str">
        <x:v>À équilibrer</x:v>
      </x:c>
      <x:c r="J2135" s="115" t="str">
        <x:v>Non</x:v>
      </x:c>
      <x:c r="K2135" s="115" t="str">
        <x:v>Pièces décrites, murs, portes, niveaux et mobilier inspectables à l’échelle. Volumes réservés, raccord au seed, butin, rencontres et services de campagne restent à terminer.</x:v>
      </x:c>
    </x:row>
    <x:row r="2136" ht="96" customHeight="1">
      <x:c r="A2136" s="115" t="str">
        <x:v>EXT-MONDE-T043-V31</x:v>
      </x:c>
      <x:c r="B2136" s="115" t="str">
        <x:v>EXT-MONDE-T043</x:v>
      </x:c>
      <x:c r="C2136" s="115" t="str">
        <x:v>HLM visitables</x:v>
      </x:c>
      <x:c r="D2136" s="115" t="str">
        <x:v>Résidence en cour</x:v>
      </x:c>
      <x:c r="E2136" s="115" t="n">
        <x:v>31</x:v>
      </x:c>
      <x:c r="F2136" s="115" t="str">
        <x:v>Inspection physique</x:v>
      </x:c>
      <x:c r="G2136" s="115" t="str">
        <x:v>5 niveaux ; 172 pièces ; 1305 segments de mur ; 7 transitions. Inspection physique ; architecture complète encore ouverte.</x:v>
      </x:c>
      <x:c r="H2136" s="115" t="str">
        <x:v>L 133,6 ; l 85,28 ; hauteur 12,35 m ; choix de composition auteur ; dimensions réelles à documenter</x:v>
      </x:c>
      <x:c r="I2136" s="115" t="str">
        <x:v>À équilibrer</x:v>
      </x:c>
      <x:c r="J2136" s="115" t="str">
        <x:v>Non</x:v>
      </x:c>
      <x:c r="K2136" s="115" t="str">
        <x:v>Pièces décrites, murs, portes, niveaux et mobilier inspectables à l’échelle. Volumes réservés, raccord au seed, butin, rencontres et services de campagne restent à terminer.</x:v>
      </x:c>
    </x:row>
    <x:row r="2137" ht="96" customHeight="1">
      <x:c r="A2137" s="115" t="str">
        <x:v>EXT-MONDE-T043-V32</x:v>
      </x:c>
      <x:c r="B2137" s="115" t="str">
        <x:v>EXT-MONDE-T043</x:v>
      </x:c>
      <x:c r="C2137" s="115" t="str">
        <x:v>HLM visitables</x:v>
      </x:c>
      <x:c r="D2137" s="115" t="str">
        <x:v>Résidence en cour</x:v>
      </x:c>
      <x:c r="E2137" s="115" t="n">
        <x:v>32</x:v>
      </x:c>
      <x:c r="F2137" s="115" t="str">
        <x:v>Inspection physique</x:v>
      </x:c>
      <x:c r="G2137" s="115" t="str">
        <x:v>6 niveaux ; 294 pièces ; 2226 segments de mur ; 12 transitions. Inspection physique ; architecture complète encore ouverte.</x:v>
      </x:c>
      <x:c r="H2137" s="115" t="str">
        <x:v>L 134,4 ; l 143,32 ; hauteur 15,45 m ; choix de composition auteur ; dimensions réelles à documenter</x:v>
      </x:c>
      <x:c r="I2137" s="115" t="str">
        <x:v>À équilibrer</x:v>
      </x:c>
      <x:c r="J2137" s="115" t="str">
        <x:v>Non</x:v>
      </x:c>
      <x:c r="K2137" s="115" t="str">
        <x:v>Pièces décrites, murs, portes, niveaux et mobilier inspectables à l’échelle. Volumes réservés, raccord au seed, butin, rencontres et services de campagne restent à terminer.</x:v>
      </x:c>
    </x:row>
    <x:row r="2138" ht="96" customHeight="1">
      <x:c r="A2138" s="115" t="str">
        <x:v>EXT-MONDE-T043-V33</x:v>
      </x:c>
      <x:c r="B2138" s="115" t="str">
        <x:v>EXT-MONDE-T043</x:v>
      </x:c>
      <x:c r="C2138" s="115" t="str">
        <x:v>HLM visitables</x:v>
      </x:c>
      <x:c r="D2138" s="115" t="str">
        <x:v>Résidence en cour</x:v>
      </x:c>
      <x:c r="E2138" s="115" t="n">
        <x:v>33</x:v>
      </x:c>
      <x:c r="F2138" s="115" t="str">
        <x:v>Inspection physique</x:v>
      </x:c>
      <x:c r="G2138" s="115" t="str">
        <x:v>5 niveaux ; 172 pièces ; 1305 segments de mur ; 7 transitions. Inspection physique ; architecture complète encore ouverte.</x:v>
      </x:c>
      <x:c r="H2138" s="115" t="str">
        <x:v>L 135,2 ; l 86,04 ; hauteur 12,55 m ; choix de composition auteur ; dimensions réelles à documenter</x:v>
      </x:c>
      <x:c r="I2138" s="115" t="str">
        <x:v>À équilibrer</x:v>
      </x:c>
      <x:c r="J2138" s="115" t="str">
        <x:v>Non</x:v>
      </x:c>
      <x:c r="K2138" s="115" t="str">
        <x:v>Pièces décrites, murs, portes, niveaux et mobilier inspectables à l’échelle. Volumes réservés, raccord au seed, butin, rencontres et services de campagne restent à terminer.</x:v>
      </x:c>
    </x:row>
    <x:row r="2139" ht="96" customHeight="1">
      <x:c r="A2139" s="115" t="str">
        <x:v>EXT-MONDE-T043-V34</x:v>
      </x:c>
      <x:c r="B2139" s="115" t="str">
        <x:v>EXT-MONDE-T043</x:v>
      </x:c>
      <x:c r="C2139" s="115" t="str">
        <x:v>HLM visitables</x:v>
      </x:c>
      <x:c r="D2139" s="115" t="str">
        <x:v>Résidence en cour</x:v>
      </x:c>
      <x:c r="E2139" s="115" t="n">
        <x:v>34</x:v>
      </x:c>
      <x:c r="F2139" s="115" t="str">
        <x:v>Inspection physique</x:v>
      </x:c>
      <x:c r="G2139" s="115" t="str">
        <x:v>6 niveaux ; 294 pièces ; 2226 segments de mur ; 12 transitions. Inspection physique ; architecture complète encore ouverte.</x:v>
      </x:c>
      <x:c r="H2139" s="115" t="str">
        <x:v>L 136 ; l 144,84 ; hauteur 15,35 m ; choix de composition auteur ; dimensions réelles à documenter</x:v>
      </x:c>
      <x:c r="I2139" s="115" t="str">
        <x:v>À équilibrer</x:v>
      </x:c>
      <x:c r="J2139" s="115" t="str">
        <x:v>Non</x:v>
      </x:c>
      <x:c r="K2139" s="115" t="str">
        <x:v>Pièces décrites, murs, portes, niveaux et mobilier inspectables à l’échelle. Volumes réservés, raccord au seed, butin, rencontres et services de campagne restent à terminer.</x:v>
      </x:c>
    </x:row>
    <x:row r="2140" ht="96" customHeight="1">
      <x:c r="A2140" s="115" t="str">
        <x:v>EXT-MONDE-T043-V35</x:v>
      </x:c>
      <x:c r="B2140" s="115" t="str">
        <x:v>EXT-MONDE-T043</x:v>
      </x:c>
      <x:c r="C2140" s="115" t="str">
        <x:v>HLM visitables</x:v>
      </x:c>
      <x:c r="D2140" s="115" t="str">
        <x:v>Résidence en cour</x:v>
      </x:c>
      <x:c r="E2140" s="115" t="n">
        <x:v>35</x:v>
      </x:c>
      <x:c r="F2140" s="115" t="str">
        <x:v>Inspection physique</x:v>
      </x:c>
      <x:c r="G2140" s="115" t="str">
        <x:v>5 niveaux ; 172 pièces ; 1305 segments de mur ; 7 transitions. Inspection physique ; architecture complète encore ouverte.</x:v>
      </x:c>
      <x:c r="H2140" s="115" t="str">
        <x:v>L 136,8 ; l 86,8 ; hauteur 12,45 m ; choix de composition auteur ; dimensions réelles à documenter</x:v>
      </x:c>
      <x:c r="I2140" s="115" t="str">
        <x:v>À équilibrer</x:v>
      </x:c>
      <x:c r="J2140" s="115" t="str">
        <x:v>Non</x:v>
      </x:c>
      <x:c r="K2140" s="115" t="str">
        <x:v>Pièces décrites, murs, portes, niveaux et mobilier inspectables à l’échelle. Volumes réservés, raccord au seed, butin, rencontres et services de campagne restent à terminer.</x:v>
      </x:c>
    </x:row>
    <x:row r="2141" ht="96" customHeight="1">
      <x:c r="A2141" s="115" t="str">
        <x:v>EXT-MONDE-T043-V36</x:v>
      </x:c>
      <x:c r="B2141" s="115" t="str">
        <x:v>EXT-MONDE-T043</x:v>
      </x:c>
      <x:c r="C2141" s="115" t="str">
        <x:v>HLM visitables</x:v>
      </x:c>
      <x:c r="D2141" s="115" t="str">
        <x:v>Résidence en cour</x:v>
      </x:c>
      <x:c r="E2141" s="115" t="n">
        <x:v>36</x:v>
      </x:c>
      <x:c r="F2141" s="115" t="str">
        <x:v>Inspection physique</x:v>
      </x:c>
      <x:c r="G2141" s="115" t="str">
        <x:v>6 niveaux ; 294 pièces ; 2226 segments de mur ; 12 transitions. Inspection physique ; architecture complète encore ouverte.</x:v>
      </x:c>
      <x:c r="H2141" s="115" t="str">
        <x:v>L 137,25 ; l 145,56 ; hauteur 15,55 m ; choix de composition auteur ; dimensions réelles à documenter</x:v>
      </x:c>
      <x:c r="I2141" s="115" t="str">
        <x:v>À équilibrer</x:v>
      </x:c>
      <x:c r="J2141" s="115" t="str">
        <x:v>Non</x:v>
      </x:c>
      <x:c r="K2141" s="115" t="str">
        <x:v>Pièces décrites, murs, portes, niveaux et mobilier inspectables à l’échelle. Volumes réservés, raccord au seed, butin, rencontres et services de campagne restent à terminer.</x:v>
      </x:c>
    </x:row>
    <x:row r="2142" ht="96" customHeight="1">
      <x:c r="A2142" s="115" t="str">
        <x:v>EXT-MONDE-T043-V37</x:v>
      </x:c>
      <x:c r="B2142" s="115" t="str">
        <x:v>EXT-MONDE-T043</x:v>
      </x:c>
      <x:c r="C2142" s="115" t="str">
        <x:v>HLM visitables</x:v>
      </x:c>
      <x:c r="D2142" s="115" t="str">
        <x:v>Résidence en cour</x:v>
      </x:c>
      <x:c r="E2142" s="115" t="n">
        <x:v>37</x:v>
      </x:c>
      <x:c r="F2142" s="115" t="str">
        <x:v>Inspection physique</x:v>
      </x:c>
      <x:c r="G2142" s="115" t="str">
        <x:v>5 niveaux ; 172 pièces ; 1305 segments de mur ; 7 transitions. Inspection physique ; architecture complète encore ouverte.</x:v>
      </x:c>
      <x:c r="H2142" s="115" t="str">
        <x:v>L 138,05 ; l 87,16 ; hauteur 12,35 m ; choix de composition auteur ; dimensions réelles à documenter</x:v>
      </x:c>
      <x:c r="I2142" s="115" t="str">
        <x:v>À équilibrer</x:v>
      </x:c>
      <x:c r="J2142" s="115" t="str">
        <x:v>Non</x:v>
      </x:c>
      <x:c r="K2142" s="115" t="str">
        <x:v>Pièces décrites, murs, portes, niveaux et mobilier inspectables à l’échelle. Volumes réservés, raccord au seed, butin, rencontres et services de campagne restent à terminer.</x:v>
      </x:c>
    </x:row>
    <x:row r="2143" ht="96" customHeight="1">
      <x:c r="A2143" s="115" t="str">
        <x:v>EXT-MONDE-T043-V38</x:v>
      </x:c>
      <x:c r="B2143" s="115" t="str">
        <x:v>EXT-MONDE-T043</x:v>
      </x:c>
      <x:c r="C2143" s="115" t="str">
        <x:v>HLM visitables</x:v>
      </x:c>
      <x:c r="D2143" s="115" t="str">
        <x:v>Résidence en cour</x:v>
      </x:c>
      <x:c r="E2143" s="115" t="n">
        <x:v>38</x:v>
      </x:c>
      <x:c r="F2143" s="115" t="str">
        <x:v>Inspection physique</x:v>
      </x:c>
      <x:c r="G2143" s="115" t="str">
        <x:v>6 niveaux ; 294 pièces ; 2226 segments de mur ; 12 transitions. Inspection physique ; architecture complète encore ouverte.</x:v>
      </x:c>
      <x:c r="H2143" s="115" t="str">
        <x:v>L 138,85 ; l 147,08 ; hauteur 15,45 m ; choix de composition auteur ; dimensions réelles à documenter</x:v>
      </x:c>
      <x:c r="I2143" s="115" t="str">
        <x:v>À équilibrer</x:v>
      </x:c>
      <x:c r="J2143" s="115" t="str">
        <x:v>Non</x:v>
      </x:c>
      <x:c r="K2143" s="115" t="str">
        <x:v>Pièces décrites, murs, portes, niveaux et mobilier inspectables à l’échelle. Volumes réservés, raccord au seed, butin, rencontres et services de campagne restent à terminer.</x:v>
      </x:c>
    </x:row>
    <x:row r="2144" ht="96" customHeight="1">
      <x:c r="A2144" s="115" t="str">
        <x:v>EXT-MONDE-T043-V39</x:v>
      </x:c>
      <x:c r="B2144" s="115" t="str">
        <x:v>EXT-MONDE-T043</x:v>
      </x:c>
      <x:c r="C2144" s="115" t="str">
        <x:v>HLM visitables</x:v>
      </x:c>
      <x:c r="D2144" s="115" t="str">
        <x:v>Résidence en cour</x:v>
      </x:c>
      <x:c r="E2144" s="115" t="n">
        <x:v>39</x:v>
      </x:c>
      <x:c r="F2144" s="115" t="str">
        <x:v>Inspection physique</x:v>
      </x:c>
      <x:c r="G2144" s="115" t="str">
        <x:v>5 niveaux ; 172 pièces ; 1305 segments de mur ; 7 transitions. Inspection physique ; architecture complète encore ouverte.</x:v>
      </x:c>
      <x:c r="H2144" s="115" t="str">
        <x:v>L 139,65 ; l 87,92 ; hauteur 12,55 m ; choix de composition auteur ; dimensions réelles à documenter</x:v>
      </x:c>
      <x:c r="I2144" s="115" t="str">
        <x:v>À équilibrer</x:v>
      </x:c>
      <x:c r="J2144" s="115" t="str">
        <x:v>Non</x:v>
      </x:c>
      <x:c r="K2144" s="115" t="str">
        <x:v>Pièces décrites, murs, portes, niveaux et mobilier inspectables à l’échelle. Volumes réservés, raccord au seed, butin, rencontres et services de campagne restent à terminer.</x:v>
      </x:c>
    </x:row>
    <x:row r="2145" ht="96" customHeight="1">
      <x:c r="A2145" s="115" t="str">
        <x:v>EXT-MONDE-T043-V40</x:v>
      </x:c>
      <x:c r="B2145" s="115" t="str">
        <x:v>EXT-MONDE-T043</x:v>
      </x:c>
      <x:c r="C2145" s="115" t="str">
        <x:v>HLM visitables</x:v>
      </x:c>
      <x:c r="D2145" s="115" t="str">
        <x:v>Résidence en cour</x:v>
      </x:c>
      <x:c r="E2145" s="115" t="n">
        <x:v>40</x:v>
      </x:c>
      <x:c r="F2145" s="115" t="str">
        <x:v>Inspection physique</x:v>
      </x:c>
      <x:c r="G2145" s="115" t="str">
        <x:v>6 niveaux ; 294 pièces ; 2226 segments de mur ; 12 transitions. Inspection physique ; architecture complète encore ouverte.</x:v>
      </x:c>
      <x:c r="H2145" s="115" t="str">
        <x:v>L 140,45 ; l 148,6 ; hauteur 15,35 m ; choix de composition auteur ; dimensions réelles à documenter</x:v>
      </x:c>
      <x:c r="I2145" s="115" t="str">
        <x:v>À équilibrer</x:v>
      </x:c>
      <x:c r="J2145" s="115" t="str">
        <x:v>Non</x:v>
      </x:c>
      <x:c r="K2145" s="115" t="str">
        <x:v>Pièces décrites, murs, portes, niveaux et mobilier inspectables à l’échelle. Volumes réservés, raccord au seed, butin, rencontres et services de campagne restent à terminer.</x:v>
      </x:c>
    </x:row>
    <x:row r="2146" ht="96" customHeight="1">
      <x:c r="A2146" s="115" t="str">
        <x:v>EXT-MONDE-T043-V41</x:v>
      </x:c>
      <x:c r="B2146" s="115" t="str">
        <x:v>EXT-MONDE-T043</x:v>
      </x:c>
      <x:c r="C2146" s="115" t="str">
        <x:v>HLM visitables</x:v>
      </x:c>
      <x:c r="D2146" s="115" t="str">
        <x:v>Résidence en cour</x:v>
      </x:c>
      <x:c r="E2146" s="115" t="n">
        <x:v>41</x:v>
      </x:c>
      <x:c r="F2146" s="115" t="str">
        <x:v>Inspection physique</x:v>
      </x:c>
      <x:c r="G2146" s="115" t="str">
        <x:v>6 niveaux ; 220 pièces ; 1663 segments de mur ; 9 transitions. Inspection physique ; architecture complète encore ouverte.</x:v>
      </x:c>
      <x:c r="H2146" s="115" t="str">
        <x:v>L 133,8 ; l 85,44 ; hauteur 15,35 m ; choix de composition auteur ; dimensions réelles à documenter</x:v>
      </x:c>
      <x:c r="I2146" s="115" t="str">
        <x:v>À équilibrer</x:v>
      </x:c>
      <x:c r="J2146" s="115" t="str">
        <x:v>Non</x:v>
      </x:c>
      <x:c r="K2146" s="115" t="str">
        <x:v>Pièces décrites, murs, portes, niveaux et mobilier inspectables à l’échelle. Volumes réservés, raccord au seed, butin, rencontres et services de campagne restent à terminer.</x:v>
      </x:c>
    </x:row>
    <x:row r="2147" ht="96" customHeight="1">
      <x:c r="A2147" s="115" t="str">
        <x:v>EXT-MONDE-T043-V42</x:v>
      </x:c>
      <x:c r="B2147" s="115" t="str">
        <x:v>EXT-MONDE-T043</x:v>
      </x:c>
      <x:c r="C2147" s="115" t="str">
        <x:v>HLM visitables</x:v>
      </x:c>
      <x:c r="D2147" s="115" t="str">
        <x:v>Résidence en cour</x:v>
      </x:c>
      <x:c r="E2147" s="115" t="n">
        <x:v>42</x:v>
      </x:c>
      <x:c r="F2147" s="115" t="str">
        <x:v>Inspection physique</x:v>
      </x:c>
      <x:c r="G2147" s="115" t="str">
        <x:v>6 niveaux ; 294 pièces ; 2226 segments de mur ; 12 transitions. Inspection physique ; architecture complète encore ouverte.</x:v>
      </x:c>
      <x:c r="H2147" s="115" t="str">
        <x:v>L 134,6 ; l 143,64 ; hauteur 15,45 m ; choix de composition auteur ; dimensions réelles à documenter</x:v>
      </x:c>
      <x:c r="I2147" s="115" t="str">
        <x:v>À équilibrer</x:v>
      </x:c>
      <x:c r="J2147" s="115" t="str">
        <x:v>Non</x:v>
      </x:c>
      <x:c r="K2147" s="115" t="str">
        <x:v>Pièces décrites, murs, portes, niveaux et mobilier inspectables à l’échelle. Volumes réservés, raccord au seed, butin, rencontres et services de campagne restent à terminer.</x:v>
      </x:c>
    </x:row>
    <x:row r="2148" ht="96" customHeight="1">
      <x:c r="A2148" s="115" t="str">
        <x:v>EXT-MONDE-T043-V43</x:v>
      </x:c>
      <x:c r="B2148" s="115" t="str">
        <x:v>EXT-MONDE-T043</x:v>
      </x:c>
      <x:c r="C2148" s="115" t="str">
        <x:v>HLM visitables</x:v>
      </x:c>
      <x:c r="D2148" s="115" t="str">
        <x:v>Résidence en cour</x:v>
      </x:c>
      <x:c r="E2148" s="115" t="n">
        <x:v>43</x:v>
      </x:c>
      <x:c r="F2148" s="115" t="str">
        <x:v>Inspection physique</x:v>
      </x:c>
      <x:c r="G2148" s="115" t="str">
        <x:v>6 niveaux ; 220 pièces ; 1663 segments de mur ; 9 transitions. Inspection physique ; architecture complète encore ouverte.</x:v>
      </x:c>
      <x:c r="H2148" s="115" t="str">
        <x:v>L 135,4 ; l 86,2 ; hauteur 15,55 m ; choix de composition auteur ; dimensions réelles à documenter</x:v>
      </x:c>
      <x:c r="I2148" s="115" t="str">
        <x:v>À équilibrer</x:v>
      </x:c>
      <x:c r="J2148" s="115" t="str">
        <x:v>Non</x:v>
      </x:c>
      <x:c r="K2148" s="115" t="str">
        <x:v>Pièces décrites, murs, portes, niveaux et mobilier inspectables à l’échelle. Volumes réservés, raccord au seed, butin, rencontres et services de campagne restent à terminer.</x:v>
      </x:c>
    </x:row>
    <x:row r="2149" ht="96" customHeight="1">
      <x:c r="A2149" s="115" t="str">
        <x:v>EXT-MONDE-T043-V44</x:v>
      </x:c>
      <x:c r="B2149" s="115" t="str">
        <x:v>EXT-MONDE-T043</x:v>
      </x:c>
      <x:c r="C2149" s="115" t="str">
        <x:v>HLM visitables</x:v>
      </x:c>
      <x:c r="D2149" s="115" t="str">
        <x:v>Résidence en cour</x:v>
      </x:c>
      <x:c r="E2149" s="115" t="n">
        <x:v>44</x:v>
      </x:c>
      <x:c r="F2149" s="115" t="str">
        <x:v>Inspection physique</x:v>
      </x:c>
      <x:c r="G2149" s="115" t="str">
        <x:v>6 niveaux ; 294 pièces ; 2226 segments de mur ; 12 transitions. Inspection physique ; architecture complète encore ouverte.</x:v>
      </x:c>
      <x:c r="H2149" s="115" t="str">
        <x:v>L 136,2 ; l 145,16 ; hauteur 15,35 m ; choix de composition auteur ; dimensions réelles à documenter</x:v>
      </x:c>
      <x:c r="I2149" s="115" t="str">
        <x:v>À équilibrer</x:v>
      </x:c>
      <x:c r="J2149" s="115" t="str">
        <x:v>Non</x:v>
      </x:c>
      <x:c r="K2149" s="115" t="str">
        <x:v>Pièces décrites, murs, portes, niveaux et mobilier inspectables à l’échelle. Volumes réservés, raccord au seed, butin, rencontres et services de campagne restent à terminer.</x:v>
      </x:c>
    </x:row>
    <x:row r="2150" ht="96" customHeight="1">
      <x:c r="A2150" s="115" t="str">
        <x:v>EXT-MONDE-T043-V45</x:v>
      </x:c>
      <x:c r="B2150" s="115" t="str">
        <x:v>EXT-MONDE-T043</x:v>
      </x:c>
      <x:c r="C2150" s="115" t="str">
        <x:v>HLM visitables</x:v>
      </x:c>
      <x:c r="D2150" s="115" t="str">
        <x:v>Résidence en cour</x:v>
      </x:c>
      <x:c r="E2150" s="115" t="n">
        <x:v>45</x:v>
      </x:c>
      <x:c r="F2150" s="115" t="str">
        <x:v>Inspection physique</x:v>
      </x:c>
      <x:c r="G2150" s="115" t="str">
        <x:v>6 niveaux ; 220 pièces ; 1663 segments de mur ; 9 transitions. Inspection physique ; architecture complète encore ouverte.</x:v>
      </x:c>
      <x:c r="H2150" s="115" t="str">
        <x:v>L 137 ; l 86,96 ; hauteur 15,45 m ; choix de composition auteur ; dimensions réelles à documenter</x:v>
      </x:c>
      <x:c r="I2150" s="115" t="str">
        <x:v>À équilibrer</x:v>
      </x:c>
      <x:c r="J2150" s="115" t="str">
        <x:v>Non</x:v>
      </x:c>
      <x:c r="K2150" s="115" t="str">
        <x:v>Pièces décrites, murs, portes, niveaux et mobilier inspectables à l’échelle. Volumes réservés, raccord au seed, butin, rencontres et services de campagne restent à terminer.</x:v>
      </x:c>
    </x:row>
    <x:row r="2151" ht="96" customHeight="1">
      <x:c r="A2151" s="115" t="str">
        <x:v>EXT-MONDE-T043-V46</x:v>
      </x:c>
      <x:c r="B2151" s="115" t="str">
        <x:v>EXT-MONDE-T043</x:v>
      </x:c>
      <x:c r="C2151" s="115" t="str">
        <x:v>HLM visitables</x:v>
      </x:c>
      <x:c r="D2151" s="115" t="str">
        <x:v>Résidence en cour</x:v>
      </x:c>
      <x:c r="E2151" s="115" t="n">
        <x:v>46</x:v>
      </x:c>
      <x:c r="F2151" s="115" t="str">
        <x:v>Inspection physique</x:v>
      </x:c>
      <x:c r="G2151" s="115" t="str">
        <x:v>6 niveaux ; 294 pièces ; 2226 segments de mur ; 12 transitions. Inspection physique ; architecture complète encore ouverte.</x:v>
      </x:c>
      <x:c r="H2151" s="115" t="str">
        <x:v>L 137,45 ; l 145,88 ; hauteur 15,55 m ; choix de composition auteur ; dimensions réelles à documenter</x:v>
      </x:c>
      <x:c r="I2151" s="115" t="str">
        <x:v>À équilibrer</x:v>
      </x:c>
      <x:c r="J2151" s="115" t="str">
        <x:v>Non</x:v>
      </x:c>
      <x:c r="K2151" s="115" t="str">
        <x:v>Pièces décrites, murs, portes, niveaux et mobilier inspectables à l’échelle. Volumes réservés, raccord au seed, butin, rencontres et services de campagne restent à terminer.</x:v>
      </x:c>
    </x:row>
    <x:row r="2152" ht="96" customHeight="1">
      <x:c r="A2152" s="115" t="str">
        <x:v>EXT-MONDE-T043-V47</x:v>
      </x:c>
      <x:c r="B2152" s="115" t="str">
        <x:v>EXT-MONDE-T043</x:v>
      </x:c>
      <x:c r="C2152" s="115" t="str">
        <x:v>HLM visitables</x:v>
      </x:c>
      <x:c r="D2152" s="115" t="str">
        <x:v>Résidence en cour</x:v>
      </x:c>
      <x:c r="E2152" s="115" t="n">
        <x:v>47</x:v>
      </x:c>
      <x:c r="F2152" s="115" t="str">
        <x:v>Inspection physique</x:v>
      </x:c>
      <x:c r="G2152" s="115" t="str">
        <x:v>6 niveaux ; 220 pièces ; 1663 segments de mur ; 9 transitions. Inspection physique ; architecture complète encore ouverte.</x:v>
      </x:c>
      <x:c r="H2152" s="115" t="str">
        <x:v>L 138,25 ; l 87,32 ; hauteur 15,35 m ; choix de composition auteur ; dimensions réelles à documenter</x:v>
      </x:c>
      <x:c r="I2152" s="115" t="str">
        <x:v>À équilibrer</x:v>
      </x:c>
      <x:c r="J2152" s="115" t="str">
        <x:v>Non</x:v>
      </x:c>
      <x:c r="K2152" s="115" t="str">
        <x:v>Pièces décrites, murs, portes, niveaux et mobilier inspectables à l’échelle. Volumes réservés, raccord au seed, butin, rencontres et services de campagne restent à terminer.</x:v>
      </x:c>
    </x:row>
    <x:row r="2153" ht="96" customHeight="1">
      <x:c r="A2153" s="115" t="str">
        <x:v>EXT-MONDE-T043-V48</x:v>
      </x:c>
      <x:c r="B2153" s="115" t="str">
        <x:v>EXT-MONDE-T043</x:v>
      </x:c>
      <x:c r="C2153" s="115" t="str">
        <x:v>HLM visitables</x:v>
      </x:c>
      <x:c r="D2153" s="115" t="str">
        <x:v>Résidence en cour</x:v>
      </x:c>
      <x:c r="E2153" s="115" t="n">
        <x:v>48</x:v>
      </x:c>
      <x:c r="F2153" s="115" t="str">
        <x:v>Inspection physique</x:v>
      </x:c>
      <x:c r="G2153" s="115" t="str">
        <x:v>6 niveaux ; 294 pièces ; 2226 segments de mur ; 12 transitions. Inspection physique ; architecture complète encore ouverte.</x:v>
      </x:c>
      <x:c r="H2153" s="115" t="str">
        <x:v>L 139,05 ; l 147,4 ; hauteur 15,45 m ; choix de composition auteur ; dimensions réelles à documenter</x:v>
      </x:c>
      <x:c r="I2153" s="115" t="str">
        <x:v>À équilibrer</x:v>
      </x:c>
      <x:c r="J2153" s="115" t="str">
        <x:v>Non</x:v>
      </x:c>
      <x:c r="K2153" s="115" t="str">
        <x:v>Pièces décrites, murs, portes, niveaux et mobilier inspectables à l’échelle. Volumes réservés, raccord au seed, butin, rencontres et services de campagne restent à terminer.</x:v>
      </x:c>
    </x:row>
    <x:row r="2154" ht="96" customHeight="1">
      <x:c r="A2154" s="115" t="str">
        <x:v>EXT-MONDE-T043-V49</x:v>
      </x:c>
      <x:c r="B2154" s="115" t="str">
        <x:v>EXT-MONDE-T043</x:v>
      </x:c>
      <x:c r="C2154" s="115" t="str">
        <x:v>HLM visitables</x:v>
      </x:c>
      <x:c r="D2154" s="115" t="str">
        <x:v>Résidence en cour</x:v>
      </x:c>
      <x:c r="E2154" s="115" t="n">
        <x:v>49</x:v>
      </x:c>
      <x:c r="F2154" s="115" t="str">
        <x:v>Inspection physique</x:v>
      </x:c>
      <x:c r="G2154" s="115" t="str">
        <x:v>6 niveaux ; 220 pièces ; 1663 segments de mur ; 9 transitions. Inspection physique ; architecture complète encore ouverte.</x:v>
      </x:c>
      <x:c r="H2154" s="115" t="str">
        <x:v>L 139,85 ; l 88,08 ; hauteur 15,55 m ; choix de composition auteur ; dimensions réelles à documenter</x:v>
      </x:c>
      <x:c r="I2154" s="115" t="str">
        <x:v>À équilibrer</x:v>
      </x:c>
      <x:c r="J2154" s="115" t="str">
        <x:v>Non</x:v>
      </x:c>
      <x:c r="K2154" s="115" t="str">
        <x:v>Pièces décrites, murs, portes, niveaux et mobilier inspectables à l’échelle. Volumes réservés, raccord au seed, butin, rencontres et services de campagne restent à terminer.</x:v>
      </x:c>
    </x:row>
    <x:row r="2155" ht="96" customHeight="1">
      <x:c r="A2155" s="115" t="str">
        <x:v>EXT-MONDE-T043-V50</x:v>
      </x:c>
      <x:c r="B2155" s="115" t="str">
        <x:v>EXT-MONDE-T043</x:v>
      </x:c>
      <x:c r="C2155" s="115" t="str">
        <x:v>HLM visitables</x:v>
      </x:c>
      <x:c r="D2155" s="115" t="str">
        <x:v>Résidence en cour</x:v>
      </x:c>
      <x:c r="E2155" s="115" t="n">
        <x:v>50</x:v>
      </x:c>
      <x:c r="F2155" s="115" t="str">
        <x:v>Inspection physique</x:v>
      </x:c>
      <x:c r="G2155" s="115" t="str">
        <x:v>6 niveaux ; 294 pièces ; 2226 segments de mur ; 12 transitions. Inspection physique ; architecture complète encore ouverte.</x:v>
      </x:c>
      <x:c r="H2155" s="115" t="str">
        <x:v>L 140,65 ; l 148,92 ; hauteur 15,35 m ; choix de composition auteur ; dimensions réelles à documenter</x:v>
      </x:c>
      <x:c r="I2155" s="115" t="str">
        <x:v>À équilibrer</x:v>
      </x:c>
      <x:c r="J2155" s="115" t="str">
        <x:v>Non</x:v>
      </x:c>
      <x:c r="K2155" s="115" t="str">
        <x:v>Pièces décrites, murs, portes, niveaux et mobilier inspectables à l’échelle. Volumes réservés, raccord au seed, butin, rencontres et services de campagne restent à terminer.</x:v>
      </x:c>
    </x:row>
    <x:row r="2156" ht="96" customHeight="1">
      <x:c r="A2156" s="115" t="str">
        <x:v>EXT-MONDE-T044-V01</x:v>
      </x:c>
      <x:c r="B2156" s="115" t="str">
        <x:v>EXT-MONDE-T044</x:v>
      </x:c>
      <x:c r="C2156" s="115" t="str">
        <x:v>HLM visitables</x:v>
      </x:c>
      <x:c r="D2156" s="115" t="str">
        <x:v>Ensemble HLM mixte</x:v>
      </x:c>
      <x:c r="E2156" s="115" t="n">
        <x:v>1</x:v>
      </x:c>
      <x:c r="F2156" s="115" t="str">
        <x:v>Inspection physique</x:v>
      </x:c>
      <x:c r="G2156" s="115" t="str">
        <x:v>7 niveaux ; 248 pièces ; 1873 segments de mur ; 10 transitions. Inspection physique ; architecture complète encore ouverte.</x:v>
      </x:c>
      <x:c r="H2156" s="115" t="str">
        <x:v>L 135 ; l 145,6 ; hauteur 18,35 m ; choix de composition auteur ; dimensions réelles à documenter</x:v>
      </x:c>
      <x:c r="I2156" s="115" t="str">
        <x:v>À équilibrer</x:v>
      </x:c>
      <x:c r="J2156" s="115" t="str">
        <x:v>Non</x:v>
      </x:c>
      <x:c r="K2156" s="115" t="str">
        <x:v>Pièces décrites, murs, portes, niveaux et mobilier inspectables à l’échelle. Volumes réservés, raccord au seed, butin, rencontres et services de campagne restent à terminer.</x:v>
      </x:c>
    </x:row>
    <x:row r="2157" ht="96" customHeight="1">
      <x:c r="A2157" s="115" t="str">
        <x:v>EXT-MONDE-T044-V02</x:v>
      </x:c>
      <x:c r="B2157" s="115" t="str">
        <x:v>EXT-MONDE-T044</x:v>
      </x:c>
      <x:c r="C2157" s="115" t="str">
        <x:v>HLM visitables</x:v>
      </x:c>
      <x:c r="D2157" s="115" t="str">
        <x:v>Ensemble HLM mixte</x:v>
      </x:c>
      <x:c r="E2157" s="115" t="n">
        <x:v>2</x:v>
      </x:c>
      <x:c r="F2157" s="115" t="str">
        <x:v>Inspection physique</x:v>
      </x:c>
      <x:c r="G2157" s="115" t="str">
        <x:v>7 niveaux ; 248 pièces ; 1873 segments de mur ; 10 transitions. Inspection physique ; architecture complète encore ouverte.</x:v>
      </x:c>
      <x:c r="H2157" s="115" t="str">
        <x:v>L 135,25 ; l 146,46 ; hauteur 18,45 m ; choix de composition auteur ; dimensions réelles à documenter</x:v>
      </x:c>
      <x:c r="I2157" s="115" t="str">
        <x:v>À équilibrer</x:v>
      </x:c>
      <x:c r="J2157" s="115" t="str">
        <x:v>Non</x:v>
      </x:c>
      <x:c r="K2157" s="115" t="str">
        <x:v>Pièces décrites, murs, portes, niveaux et mobilier inspectables à l’échelle. Volumes réservés, raccord au seed, butin, rencontres et services de campagne restent à terminer.</x:v>
      </x:c>
    </x:row>
    <x:row r="2158" ht="96" customHeight="1">
      <x:c r="A2158" s="115" t="str">
        <x:v>EXT-MONDE-T044-V03</x:v>
      </x:c>
      <x:c r="B2158" s="115" t="str">
        <x:v>EXT-MONDE-T044</x:v>
      </x:c>
      <x:c r="C2158" s="115" t="str">
        <x:v>HLM visitables</x:v>
      </x:c>
      <x:c r="D2158" s="115" t="str">
        <x:v>Ensemble HLM mixte</x:v>
      </x:c>
      <x:c r="E2158" s="115" t="n">
        <x:v>3</x:v>
      </x:c>
      <x:c r="F2158" s="115" t="str">
        <x:v>Inspection physique</x:v>
      </x:c>
      <x:c r="G2158" s="115" t="str">
        <x:v>7 niveaux ; 248 pièces ; 1873 segments de mur ; 10 transitions. Inspection physique ; architecture complète encore ouverte.</x:v>
      </x:c>
      <x:c r="H2158" s="115" t="str">
        <x:v>L 135,5 ; l 147,32 ; hauteur 18,55 m ; choix de composition auteur ; dimensions réelles à documenter</x:v>
      </x:c>
      <x:c r="I2158" s="115" t="str">
        <x:v>À équilibrer</x:v>
      </x:c>
      <x:c r="J2158" s="115" t="str">
        <x:v>Non</x:v>
      </x:c>
      <x:c r="K2158" s="115" t="str">
        <x:v>Pièces décrites, murs, portes, niveaux et mobilier inspectables à l’échelle. Volumes réservés, raccord au seed, butin, rencontres et services de campagne restent à terminer.</x:v>
      </x:c>
    </x:row>
    <x:row r="2159" ht="96" customHeight="1">
      <x:c r="A2159" s="115" t="str">
        <x:v>EXT-MONDE-T044-V04</x:v>
      </x:c>
      <x:c r="B2159" s="115" t="str">
        <x:v>EXT-MONDE-T044</x:v>
      </x:c>
      <x:c r="C2159" s="115" t="str">
        <x:v>HLM visitables</x:v>
      </x:c>
      <x:c r="D2159" s="115" t="str">
        <x:v>Ensemble HLM mixte</x:v>
      </x:c>
      <x:c r="E2159" s="115" t="n">
        <x:v>4</x:v>
      </x:c>
      <x:c r="F2159" s="115" t="str">
        <x:v>Inspection physique</x:v>
      </x:c>
      <x:c r="G2159" s="115" t="str">
        <x:v>7 niveaux ; 248 pièces ; 1873 segments de mur ; 10 transitions. Inspection physique ; architecture complète encore ouverte.</x:v>
      </x:c>
      <x:c r="H2159" s="115" t="str">
        <x:v>L 135,75 ; l 148,18 ; hauteur 18,35 m ; choix de composition auteur ; dimensions réelles à documenter</x:v>
      </x:c>
      <x:c r="I2159" s="115" t="str">
        <x:v>À équilibrer</x:v>
      </x:c>
      <x:c r="J2159" s="115" t="str">
        <x:v>Non</x:v>
      </x:c>
      <x:c r="K2159" s="115" t="str">
        <x:v>Pièces décrites, murs, portes, niveaux et mobilier inspectables à l’échelle. Volumes réservés, raccord au seed, butin, rencontres et services de campagne restent à terminer.</x:v>
      </x:c>
    </x:row>
    <x:row r="2160" ht="96" customHeight="1">
      <x:c r="A2160" s="115" t="str">
        <x:v>EXT-MONDE-T044-V05</x:v>
      </x:c>
      <x:c r="B2160" s="115" t="str">
        <x:v>EXT-MONDE-T044</x:v>
      </x:c>
      <x:c r="C2160" s="115" t="str">
        <x:v>HLM visitables</x:v>
      </x:c>
      <x:c r="D2160" s="115" t="str">
        <x:v>Ensemble HLM mixte</x:v>
      </x:c>
      <x:c r="E2160" s="115" t="n">
        <x:v>5</x:v>
      </x:c>
      <x:c r="F2160" s="115" t="str">
        <x:v>Inspection physique</x:v>
      </x:c>
      <x:c r="G2160" s="115" t="str">
        <x:v>7 niveaux ; 248 pièces ; 1873 segments de mur ; 10 transitions. Inspection physique ; architecture complète encore ouverte.</x:v>
      </x:c>
      <x:c r="H2160" s="115" t="str">
        <x:v>L 136 ; l 149,04 ; hauteur 18,45 m ; choix de composition auteur ; dimensions réelles à documenter</x:v>
      </x:c>
      <x:c r="I2160" s="115" t="str">
        <x:v>À équilibrer</x:v>
      </x:c>
      <x:c r="J2160" s="115" t="str">
        <x:v>Non</x:v>
      </x:c>
      <x:c r="K2160" s="115" t="str">
        <x:v>Pièces décrites, murs, portes, niveaux et mobilier inspectables à l’échelle. Volumes réservés, raccord au seed, butin, rencontres et services de campagne restent à terminer.</x:v>
      </x:c>
    </x:row>
    <x:row r="2161" ht="96" customHeight="1">
      <x:c r="A2161" s="115" t="str">
        <x:v>EXT-MONDE-T044-V06</x:v>
      </x:c>
      <x:c r="B2161" s="115" t="str">
        <x:v>EXT-MONDE-T044</x:v>
      </x:c>
      <x:c r="C2161" s="115" t="str">
        <x:v>HLM visitables</x:v>
      </x:c>
      <x:c r="D2161" s="115" t="str">
        <x:v>Ensemble HLM mixte</x:v>
      </x:c>
      <x:c r="E2161" s="115" t="n">
        <x:v>6</x:v>
      </x:c>
      <x:c r="F2161" s="115" t="str">
        <x:v>Inspection physique</x:v>
      </x:c>
      <x:c r="G2161" s="115" t="str">
        <x:v>7 niveaux ; 248 pièces ; 1873 segments de mur ; 10 transitions. Inspection physique ; architecture complète encore ouverte.</x:v>
      </x:c>
      <x:c r="H2161" s="115" t="str">
        <x:v>L 136,25 ; l 149,1 ; hauteur 18,55 m ; choix de composition auteur ; dimensions réelles à documenter</x:v>
      </x:c>
      <x:c r="I2161" s="115" t="str">
        <x:v>À équilibrer</x:v>
      </x:c>
      <x:c r="J2161" s="115" t="str">
        <x:v>Non</x:v>
      </x:c>
      <x:c r="K2161" s="115" t="str">
        <x:v>Pièces décrites, murs, portes, niveaux et mobilier inspectables à l’échelle. Volumes réservés, raccord au seed, butin, rencontres et services de campagne restent à terminer.</x:v>
      </x:c>
    </x:row>
    <x:row r="2162" ht="96" customHeight="1">
      <x:c r="A2162" s="115" t="str">
        <x:v>EXT-MONDE-T044-V07</x:v>
      </x:c>
      <x:c r="B2162" s="115" t="str">
        <x:v>EXT-MONDE-T044</x:v>
      </x:c>
      <x:c r="C2162" s="115" t="str">
        <x:v>HLM visitables</x:v>
      </x:c>
      <x:c r="D2162" s="115" t="str">
        <x:v>Ensemble HLM mixte</x:v>
      </x:c>
      <x:c r="E2162" s="115" t="n">
        <x:v>7</x:v>
      </x:c>
      <x:c r="F2162" s="115" t="str">
        <x:v>Inspection physique</x:v>
      </x:c>
      <x:c r="G2162" s="115" t="str">
        <x:v>7 niveaux ; 248 pièces ; 1873 segments de mur ; 10 transitions. Inspection physique ; architecture complète encore ouverte.</x:v>
      </x:c>
      <x:c r="H2162" s="115" t="str">
        <x:v>L 136,5 ; l 149,96 ; hauteur 18,35 m ; choix de composition auteur ; dimensions réelles à documenter</x:v>
      </x:c>
      <x:c r="I2162" s="115" t="str">
        <x:v>À équilibrer</x:v>
      </x:c>
      <x:c r="J2162" s="115" t="str">
        <x:v>Non</x:v>
      </x:c>
      <x:c r="K2162" s="115" t="str">
        <x:v>Pièces décrites, murs, portes, niveaux et mobilier inspectables à l’échelle. Volumes réservés, raccord au seed, butin, rencontres et services de campagne restent à terminer.</x:v>
      </x:c>
    </x:row>
    <x:row r="2163" ht="96" customHeight="1">
      <x:c r="A2163" s="115" t="str">
        <x:v>EXT-MONDE-T044-V08</x:v>
      </x:c>
      <x:c r="B2163" s="115" t="str">
        <x:v>EXT-MONDE-T044</x:v>
      </x:c>
      <x:c r="C2163" s="115" t="str">
        <x:v>HLM visitables</x:v>
      </x:c>
      <x:c r="D2163" s="115" t="str">
        <x:v>Ensemble HLM mixte</x:v>
      </x:c>
      <x:c r="E2163" s="115" t="n">
        <x:v>8</x:v>
      </x:c>
      <x:c r="F2163" s="115" t="str">
        <x:v>Inspection physique</x:v>
      </x:c>
      <x:c r="G2163" s="115" t="str">
        <x:v>7 niveaux ; 248 pièces ; 1873 segments de mur ; 10 transitions. Inspection physique ; architecture complète encore ouverte.</x:v>
      </x:c>
      <x:c r="H2163" s="115" t="str">
        <x:v>L 136,75 ; l 150,82 ; hauteur 18,45 m ; choix de composition auteur ; dimensions réelles à documenter</x:v>
      </x:c>
      <x:c r="I2163" s="115" t="str">
        <x:v>À équilibrer</x:v>
      </x:c>
      <x:c r="J2163" s="115" t="str">
        <x:v>Non</x:v>
      </x:c>
      <x:c r="K2163" s="115" t="str">
        <x:v>Pièces décrites, murs, portes, niveaux et mobilier inspectables à l’échelle. Volumes réservés, raccord au seed, butin, rencontres et services de campagne restent à terminer.</x:v>
      </x:c>
    </x:row>
    <x:row r="2164" ht="96" customHeight="1">
      <x:c r="A2164" s="115" t="str">
        <x:v>EXT-MONDE-T044-V09</x:v>
      </x:c>
      <x:c r="B2164" s="115" t="str">
        <x:v>EXT-MONDE-T044</x:v>
      </x:c>
      <x:c r="C2164" s="115" t="str">
        <x:v>HLM visitables</x:v>
      </x:c>
      <x:c r="D2164" s="115" t="str">
        <x:v>Ensemble HLM mixte</x:v>
      </x:c>
      <x:c r="E2164" s="115" t="n">
        <x:v>9</x:v>
      </x:c>
      <x:c r="F2164" s="115" t="str">
        <x:v>Inspection physique</x:v>
      </x:c>
      <x:c r="G2164" s="115" t="str">
        <x:v>7 niveaux ; 248 pièces ; 1873 segments de mur ; 10 transitions. Inspection physique ; architecture complète encore ouverte.</x:v>
      </x:c>
      <x:c r="H2164" s="115" t="str">
        <x:v>L 137 ; l 151,68 ; hauteur 18,55 m ; choix de composition auteur ; dimensions réelles à documenter</x:v>
      </x:c>
      <x:c r="I2164" s="115" t="str">
        <x:v>À équilibrer</x:v>
      </x:c>
      <x:c r="J2164" s="115" t="str">
        <x:v>Non</x:v>
      </x:c>
      <x:c r="K2164" s="115" t="str">
        <x:v>Pièces décrites, murs, portes, niveaux et mobilier inspectables à l’échelle. Volumes réservés, raccord au seed, butin, rencontres et services de campagne restent à terminer.</x:v>
      </x:c>
    </x:row>
    <x:row r="2165" ht="96" customHeight="1">
      <x:c r="A2165" s="115" t="str">
        <x:v>EXT-MONDE-T044-V10</x:v>
      </x:c>
      <x:c r="B2165" s="115" t="str">
        <x:v>EXT-MONDE-T044</x:v>
      </x:c>
      <x:c r="C2165" s="115" t="str">
        <x:v>HLM visitables</x:v>
      </x:c>
      <x:c r="D2165" s="115" t="str">
        <x:v>Ensemble HLM mixte</x:v>
      </x:c>
      <x:c r="E2165" s="115" t="n">
        <x:v>10</x:v>
      </x:c>
      <x:c r="F2165" s="115" t="str">
        <x:v>Inspection physique</x:v>
      </x:c>
      <x:c r="G2165" s="115" t="str">
        <x:v>7 niveaux ; 248 pièces ; 1873 segments de mur ; 10 transitions. Inspection physique ; architecture complète encore ouverte.</x:v>
      </x:c>
      <x:c r="H2165" s="115" t="str">
        <x:v>L 137,25 ; l 152,54 ; hauteur 18,35 m ; choix de composition auteur ; dimensions réelles à documenter</x:v>
      </x:c>
      <x:c r="I2165" s="115" t="str">
        <x:v>À équilibrer</x:v>
      </x:c>
      <x:c r="J2165" s="115" t="str">
        <x:v>Non</x:v>
      </x:c>
      <x:c r="K2165" s="115" t="str">
        <x:v>Pièces décrites, murs, portes, niveaux et mobilier inspectables à l’échelle. Volumes réservés, raccord au seed, butin, rencontres et services de campagne restent à terminer.</x:v>
      </x:c>
    </x:row>
    <x:row r="2166" ht="96" customHeight="1">
      <x:c r="A2166" s="115" t="str">
        <x:v>EXT-MONDE-T044-V11</x:v>
      </x:c>
      <x:c r="B2166" s="115" t="str">
        <x:v>EXT-MONDE-T044</x:v>
      </x:c>
      <x:c r="C2166" s="115" t="str">
        <x:v>HLM visitables</x:v>
      </x:c>
      <x:c r="D2166" s="115" t="str">
        <x:v>Ensemble HLM mixte</x:v>
      </x:c>
      <x:c r="E2166" s="115" t="n">
        <x:v>11</x:v>
      </x:c>
      <x:c r="F2166" s="115" t="str">
        <x:v>Inspection physique</x:v>
      </x:c>
      <x:c r="G2166" s="115" t="str">
        <x:v>8 niveaux ; 296 pièces ; 2231 segments de mur ; 12 transitions. Inspection physique ; architecture complète encore ouverte.</x:v>
      </x:c>
      <x:c r="H2166" s="115" t="str">
        <x:v>L 135 ; l 145,92 ; hauteur 21,35 m ; choix de composition auteur ; dimensions réelles à documenter</x:v>
      </x:c>
      <x:c r="I2166" s="115" t="str">
        <x:v>À équilibrer</x:v>
      </x:c>
      <x:c r="J2166" s="115" t="str">
        <x:v>Non</x:v>
      </x:c>
      <x:c r="K2166" s="115" t="str">
        <x:v>Pièces décrites, murs, portes, niveaux et mobilier inspectables à l’échelle. Volumes réservés, raccord au seed, butin, rencontres et services de campagne restent à terminer.</x:v>
      </x:c>
    </x:row>
    <x:row r="2167" ht="96" customHeight="1">
      <x:c r="A2167" s="115" t="str">
        <x:v>EXT-MONDE-T044-V12</x:v>
      </x:c>
      <x:c r="B2167" s="115" t="str">
        <x:v>EXT-MONDE-T044</x:v>
      </x:c>
      <x:c r="C2167" s="115" t="str">
        <x:v>HLM visitables</x:v>
      </x:c>
      <x:c r="D2167" s="115" t="str">
        <x:v>Ensemble HLM mixte</x:v>
      </x:c>
      <x:c r="E2167" s="115" t="n">
        <x:v>12</x:v>
      </x:c>
      <x:c r="F2167" s="115" t="str">
        <x:v>Inspection physique</x:v>
      </x:c>
      <x:c r="G2167" s="115" t="str">
        <x:v>8 niveaux ; 296 pièces ; 2231 segments de mur ; 12 transitions. Inspection physique ; architecture complète encore ouverte.</x:v>
      </x:c>
      <x:c r="H2167" s="115" t="str">
        <x:v>L 135,25 ; l 146,78 ; hauteur 21,45 m ; choix de composition auteur ; dimensions réelles à documenter</x:v>
      </x:c>
      <x:c r="I2167" s="115" t="str">
        <x:v>À équilibrer</x:v>
      </x:c>
      <x:c r="J2167" s="115" t="str">
        <x:v>Non</x:v>
      </x:c>
      <x:c r="K2167" s="115" t="str">
        <x:v>Pièces décrites, murs, portes, niveaux et mobilier inspectables à l’échelle. Volumes réservés, raccord au seed, butin, rencontres et services de campagne restent à terminer.</x:v>
      </x:c>
    </x:row>
    <x:row r="2168" ht="96" customHeight="1">
      <x:c r="A2168" s="115" t="str">
        <x:v>EXT-MONDE-T044-V13</x:v>
      </x:c>
      <x:c r="B2168" s="115" t="str">
        <x:v>EXT-MONDE-T044</x:v>
      </x:c>
      <x:c r="C2168" s="115" t="str">
        <x:v>HLM visitables</x:v>
      </x:c>
      <x:c r="D2168" s="115" t="str">
        <x:v>Ensemble HLM mixte</x:v>
      </x:c>
      <x:c r="E2168" s="115" t="n">
        <x:v>13</x:v>
      </x:c>
      <x:c r="F2168" s="115" t="str">
        <x:v>Inspection physique</x:v>
      </x:c>
      <x:c r="G2168" s="115" t="str">
        <x:v>8 niveaux ; 296 pièces ; 2231 segments de mur ; 12 transitions. Inspection physique ; architecture complète encore ouverte.</x:v>
      </x:c>
      <x:c r="H2168" s="115" t="str">
        <x:v>L 135,5 ; l 147,64 ; hauteur 21,55 m ; choix de composition auteur ; dimensions réelles à documenter</x:v>
      </x:c>
      <x:c r="I2168" s="115" t="str">
        <x:v>À équilibrer</x:v>
      </x:c>
      <x:c r="J2168" s="115" t="str">
        <x:v>Non</x:v>
      </x:c>
      <x:c r="K2168" s="115" t="str">
        <x:v>Pièces décrites, murs, portes, niveaux et mobilier inspectables à l’échelle. Volumes réservés, raccord au seed, butin, rencontres et services de campagne restent à terminer.</x:v>
      </x:c>
    </x:row>
    <x:row r="2169" ht="96" customHeight="1">
      <x:c r="A2169" s="115" t="str">
        <x:v>EXT-MONDE-T044-V14</x:v>
      </x:c>
      <x:c r="B2169" s="115" t="str">
        <x:v>EXT-MONDE-T044</x:v>
      </x:c>
      <x:c r="C2169" s="115" t="str">
        <x:v>HLM visitables</x:v>
      </x:c>
      <x:c r="D2169" s="115" t="str">
        <x:v>Ensemble HLM mixte</x:v>
      </x:c>
      <x:c r="E2169" s="115" t="n">
        <x:v>14</x:v>
      </x:c>
      <x:c r="F2169" s="115" t="str">
        <x:v>Inspection physique</x:v>
      </x:c>
      <x:c r="G2169" s="115" t="str">
        <x:v>8 niveaux ; 296 pièces ; 2231 segments de mur ; 12 transitions. Inspection physique ; architecture complète encore ouverte.</x:v>
      </x:c>
      <x:c r="H2169" s="115" t="str">
        <x:v>L 135,75 ; l 148,5 ; hauteur 21,35 m ; choix de composition auteur ; dimensions réelles à documenter</x:v>
      </x:c>
      <x:c r="I2169" s="115" t="str">
        <x:v>À équilibrer</x:v>
      </x:c>
      <x:c r="J2169" s="115" t="str">
        <x:v>Non</x:v>
      </x:c>
      <x:c r="K2169" s="115" t="str">
        <x:v>Pièces décrites, murs, portes, niveaux et mobilier inspectables à l’échelle. Volumes réservés, raccord au seed, butin, rencontres et services de campagne restent à terminer.</x:v>
      </x:c>
    </x:row>
    <x:row r="2170" ht="96" customHeight="1">
      <x:c r="A2170" s="115" t="str">
        <x:v>EXT-MONDE-T044-V15</x:v>
      </x:c>
      <x:c r="B2170" s="115" t="str">
        <x:v>EXT-MONDE-T044</x:v>
      </x:c>
      <x:c r="C2170" s="115" t="str">
        <x:v>HLM visitables</x:v>
      </x:c>
      <x:c r="D2170" s="115" t="str">
        <x:v>Ensemble HLM mixte</x:v>
      </x:c>
      <x:c r="E2170" s="115" t="n">
        <x:v>15</x:v>
      </x:c>
      <x:c r="F2170" s="115" t="str">
        <x:v>Inspection physique</x:v>
      </x:c>
      <x:c r="G2170" s="115" t="str">
        <x:v>8 niveaux ; 296 pièces ; 2231 segments de mur ; 12 transitions. Inspection physique ; architecture complète encore ouverte.</x:v>
      </x:c>
      <x:c r="H2170" s="115" t="str">
        <x:v>L 136 ; l 149,36 ; hauteur 21,45 m ; choix de composition auteur ; dimensions réelles à documenter</x:v>
      </x:c>
      <x:c r="I2170" s="115" t="str">
        <x:v>À équilibrer</x:v>
      </x:c>
      <x:c r="J2170" s="115" t="str">
        <x:v>Non</x:v>
      </x:c>
      <x:c r="K2170" s="115" t="str">
        <x:v>Pièces décrites, murs, portes, niveaux et mobilier inspectables à l’échelle. Volumes réservés, raccord au seed, butin, rencontres et services de campagne restent à terminer.</x:v>
      </x:c>
    </x:row>
    <x:row r="2171" ht="96" customHeight="1">
      <x:c r="A2171" s="115" t="str">
        <x:v>EXT-MONDE-T044-V16</x:v>
      </x:c>
      <x:c r="B2171" s="115" t="str">
        <x:v>EXT-MONDE-T044</x:v>
      </x:c>
      <x:c r="C2171" s="115" t="str">
        <x:v>HLM visitables</x:v>
      </x:c>
      <x:c r="D2171" s="115" t="str">
        <x:v>Ensemble HLM mixte</x:v>
      </x:c>
      <x:c r="E2171" s="115" t="n">
        <x:v>16</x:v>
      </x:c>
      <x:c r="F2171" s="115" t="str">
        <x:v>Inspection physique</x:v>
      </x:c>
      <x:c r="G2171" s="115" t="str">
        <x:v>8 niveaux ; 296 pièces ; 2231 segments de mur ; 12 transitions. Inspection physique ; architecture complète encore ouverte.</x:v>
      </x:c>
      <x:c r="H2171" s="115" t="str">
        <x:v>L 136,25 ; l 149,42 ; hauteur 21,55 m ; choix de composition auteur ; dimensions réelles à documenter</x:v>
      </x:c>
      <x:c r="I2171" s="115" t="str">
        <x:v>À équilibrer</x:v>
      </x:c>
      <x:c r="J2171" s="115" t="str">
        <x:v>Non</x:v>
      </x:c>
      <x:c r="K2171" s="115" t="str">
        <x:v>Pièces décrites, murs, portes, niveaux et mobilier inspectables à l’échelle. Volumes réservés, raccord au seed, butin, rencontres et services de campagne restent à terminer.</x:v>
      </x:c>
    </x:row>
    <x:row r="2172" ht="96" customHeight="1">
      <x:c r="A2172" s="115" t="str">
        <x:v>EXT-MONDE-T044-V17</x:v>
      </x:c>
      <x:c r="B2172" s="115" t="str">
        <x:v>EXT-MONDE-T044</x:v>
      </x:c>
      <x:c r="C2172" s="115" t="str">
        <x:v>HLM visitables</x:v>
      </x:c>
      <x:c r="D2172" s="115" t="str">
        <x:v>Ensemble HLM mixte</x:v>
      </x:c>
      <x:c r="E2172" s="115" t="n">
        <x:v>17</x:v>
      </x:c>
      <x:c r="F2172" s="115" t="str">
        <x:v>Inspection physique</x:v>
      </x:c>
      <x:c r="G2172" s="115" t="str">
        <x:v>8 niveaux ; 296 pièces ; 2231 segments de mur ; 12 transitions. Inspection physique ; architecture complète encore ouverte.</x:v>
      </x:c>
      <x:c r="H2172" s="115" t="str">
        <x:v>L 136,5 ; l 150,28 ; hauteur 21,35 m ; choix de composition auteur ; dimensions réelles à documenter</x:v>
      </x:c>
      <x:c r="I2172" s="115" t="str">
        <x:v>À équilibrer</x:v>
      </x:c>
      <x:c r="J2172" s="115" t="str">
        <x:v>Non</x:v>
      </x:c>
      <x:c r="K2172" s="115" t="str">
        <x:v>Pièces décrites, murs, portes, niveaux et mobilier inspectables à l’échelle. Volumes réservés, raccord au seed, butin, rencontres et services de campagne restent à terminer.</x:v>
      </x:c>
    </x:row>
    <x:row r="2173" ht="96" customHeight="1">
      <x:c r="A2173" s="115" t="str">
        <x:v>EXT-MONDE-T044-V18</x:v>
      </x:c>
      <x:c r="B2173" s="115" t="str">
        <x:v>EXT-MONDE-T044</x:v>
      </x:c>
      <x:c r="C2173" s="115" t="str">
        <x:v>HLM visitables</x:v>
      </x:c>
      <x:c r="D2173" s="115" t="str">
        <x:v>Ensemble HLM mixte</x:v>
      </x:c>
      <x:c r="E2173" s="115" t="n">
        <x:v>18</x:v>
      </x:c>
      <x:c r="F2173" s="115" t="str">
        <x:v>Inspection physique</x:v>
      </x:c>
      <x:c r="G2173" s="115" t="str">
        <x:v>8 niveaux ; 296 pièces ; 2231 segments de mur ; 12 transitions. Inspection physique ; architecture complète encore ouverte.</x:v>
      </x:c>
      <x:c r="H2173" s="115" t="str">
        <x:v>L 136,75 ; l 151,14 ; hauteur 21,45 m ; choix de composition auteur ; dimensions réelles à documenter</x:v>
      </x:c>
      <x:c r="I2173" s="115" t="str">
        <x:v>À équilibrer</x:v>
      </x:c>
      <x:c r="J2173" s="115" t="str">
        <x:v>Non</x:v>
      </x:c>
      <x:c r="K2173" s="115" t="str">
        <x:v>Pièces décrites, murs, portes, niveaux et mobilier inspectables à l’échelle. Volumes réservés, raccord au seed, butin, rencontres et services de campagne restent à terminer.</x:v>
      </x:c>
    </x:row>
    <x:row r="2174" ht="96" customHeight="1">
      <x:c r="A2174" s="115" t="str">
        <x:v>EXT-MONDE-T044-V19</x:v>
      </x:c>
      <x:c r="B2174" s="115" t="str">
        <x:v>EXT-MONDE-T044</x:v>
      </x:c>
      <x:c r="C2174" s="115" t="str">
        <x:v>HLM visitables</x:v>
      </x:c>
      <x:c r="D2174" s="115" t="str">
        <x:v>Ensemble HLM mixte</x:v>
      </x:c>
      <x:c r="E2174" s="115" t="n">
        <x:v>19</x:v>
      </x:c>
      <x:c r="F2174" s="115" t="str">
        <x:v>Inspection physique</x:v>
      </x:c>
      <x:c r="G2174" s="115" t="str">
        <x:v>8 niveaux ; 296 pièces ; 2231 segments de mur ; 12 transitions. Inspection physique ; architecture complète encore ouverte.</x:v>
      </x:c>
      <x:c r="H2174" s="115" t="str">
        <x:v>L 137 ; l 152 ; hauteur 21,55 m ; choix de composition auteur ; dimensions réelles à documenter</x:v>
      </x:c>
      <x:c r="I2174" s="115" t="str">
        <x:v>À équilibrer</x:v>
      </x:c>
      <x:c r="J2174" s="115" t="str">
        <x:v>Non</x:v>
      </x:c>
      <x:c r="K2174" s="115" t="str">
        <x:v>Pièces décrites, murs, portes, niveaux et mobilier inspectables à l’échelle. Volumes réservés, raccord au seed, butin, rencontres et services de campagne restent à terminer.</x:v>
      </x:c>
    </x:row>
    <x:row r="2175" ht="96" customHeight="1">
      <x:c r="A2175" s="115" t="str">
        <x:v>EXT-MONDE-T044-V20</x:v>
      </x:c>
      <x:c r="B2175" s="115" t="str">
        <x:v>EXT-MONDE-T044</x:v>
      </x:c>
      <x:c r="C2175" s="115" t="str">
        <x:v>HLM visitables</x:v>
      </x:c>
      <x:c r="D2175" s="115" t="str">
        <x:v>Ensemble HLM mixte</x:v>
      </x:c>
      <x:c r="E2175" s="115" t="n">
        <x:v>20</x:v>
      </x:c>
      <x:c r="F2175" s="115" t="str">
        <x:v>Inspection physique</x:v>
      </x:c>
      <x:c r="G2175" s="115" t="str">
        <x:v>8 niveaux ; 296 pièces ; 2231 segments de mur ; 12 transitions. Inspection physique ; architecture complète encore ouverte.</x:v>
      </x:c>
      <x:c r="H2175" s="115" t="str">
        <x:v>L 137,25 ; l 152,86 ; hauteur 21,35 m ; choix de composition auteur ; dimensions réelles à documenter</x:v>
      </x:c>
      <x:c r="I2175" s="115" t="str">
        <x:v>À équilibrer</x:v>
      </x:c>
      <x:c r="J2175" s="115" t="str">
        <x:v>Non</x:v>
      </x:c>
      <x:c r="K2175" s="115" t="str">
        <x:v>Pièces décrites, murs, portes, niveaux et mobilier inspectables à l’échelle. Volumes réservés, raccord au seed, butin, rencontres et services de campagne restent à terminer.</x:v>
      </x:c>
    </x:row>
    <x:row r="2176" ht="96" customHeight="1">
      <x:c r="A2176" s="115" t="str">
        <x:v>EXT-MONDE-T044-V21</x:v>
      </x:c>
      <x:c r="B2176" s="115" t="str">
        <x:v>EXT-MONDE-T044</x:v>
      </x:c>
      <x:c r="C2176" s="115" t="str">
        <x:v>HLM visitables</x:v>
      </x:c>
      <x:c r="D2176" s="115" t="str">
        <x:v>Ensemble HLM mixte</x:v>
      </x:c>
      <x:c r="E2176" s="115" t="n">
        <x:v>21</x:v>
      </x:c>
      <x:c r="F2176" s="115" t="str">
        <x:v>Inspection physique</x:v>
      </x:c>
      <x:c r="G2176" s="115" t="str">
        <x:v>9 niveaux ; 344 pièces ; 2589 segments de mur ; 14 transitions. Inspection physique ; architecture complète encore ouverte.</x:v>
      </x:c>
      <x:c r="H2176" s="115" t="str">
        <x:v>L 135 ; l 146,24 ; hauteur 24,35 m ; choix de composition auteur ; dimensions réelles à documenter</x:v>
      </x:c>
      <x:c r="I2176" s="115" t="str">
        <x:v>À équilibrer</x:v>
      </x:c>
      <x:c r="J2176" s="115" t="str">
        <x:v>Non</x:v>
      </x:c>
      <x:c r="K2176" s="115" t="str">
        <x:v>Pièces décrites, murs, portes, niveaux et mobilier inspectables à l’échelle. Volumes réservés, raccord au seed, butin, rencontres et services de campagne restent à terminer.</x:v>
      </x:c>
    </x:row>
    <x:row r="2177" ht="96" customHeight="1">
      <x:c r="A2177" s="115" t="str">
        <x:v>EXT-MONDE-T044-V22</x:v>
      </x:c>
      <x:c r="B2177" s="115" t="str">
        <x:v>EXT-MONDE-T044</x:v>
      </x:c>
      <x:c r="C2177" s="115" t="str">
        <x:v>HLM visitables</x:v>
      </x:c>
      <x:c r="D2177" s="115" t="str">
        <x:v>Ensemble HLM mixte</x:v>
      </x:c>
      <x:c r="E2177" s="115" t="n">
        <x:v>22</x:v>
      </x:c>
      <x:c r="F2177" s="115" t="str">
        <x:v>Inspection physique</x:v>
      </x:c>
      <x:c r="G2177" s="115" t="str">
        <x:v>9 niveaux ; 344 pièces ; 2589 segments de mur ; 14 transitions. Inspection physique ; architecture complète encore ouverte.</x:v>
      </x:c>
      <x:c r="H2177" s="115" t="str">
        <x:v>L 135,25 ; l 147,1 ; hauteur 24,45 m ; choix de composition auteur ; dimensions réelles à documenter</x:v>
      </x:c>
      <x:c r="I2177" s="115" t="str">
        <x:v>À équilibrer</x:v>
      </x:c>
      <x:c r="J2177" s="115" t="str">
        <x:v>Non</x:v>
      </x:c>
      <x:c r="K2177" s="115" t="str">
        <x:v>Pièces décrites, murs, portes, niveaux et mobilier inspectables à l’échelle. Volumes réservés, raccord au seed, butin, rencontres et services de campagne restent à terminer.</x:v>
      </x:c>
    </x:row>
    <x:row r="2178" ht="96" customHeight="1">
      <x:c r="A2178" s="115" t="str">
        <x:v>EXT-MONDE-T044-V23</x:v>
      </x:c>
      <x:c r="B2178" s="115" t="str">
        <x:v>EXT-MONDE-T044</x:v>
      </x:c>
      <x:c r="C2178" s="115" t="str">
        <x:v>HLM visitables</x:v>
      </x:c>
      <x:c r="D2178" s="115" t="str">
        <x:v>Ensemble HLM mixte</x:v>
      </x:c>
      <x:c r="E2178" s="115" t="n">
        <x:v>23</x:v>
      </x:c>
      <x:c r="F2178" s="115" t="str">
        <x:v>Inspection physique</x:v>
      </x:c>
      <x:c r="G2178" s="115" t="str">
        <x:v>9 niveaux ; 344 pièces ; 2589 segments de mur ; 14 transitions. Inspection physique ; architecture complète encore ouverte.</x:v>
      </x:c>
      <x:c r="H2178" s="115" t="str">
        <x:v>L 135,5 ; l 147,96 ; hauteur 24,55 m ; choix de composition auteur ; dimensions réelles à documenter</x:v>
      </x:c>
      <x:c r="I2178" s="115" t="str">
        <x:v>À équilibrer</x:v>
      </x:c>
      <x:c r="J2178" s="115" t="str">
        <x:v>Non</x:v>
      </x:c>
      <x:c r="K2178" s="115" t="str">
        <x:v>Pièces décrites, murs, portes, niveaux et mobilier inspectables à l’échelle. Volumes réservés, raccord au seed, butin, rencontres et services de campagne restent à terminer.</x:v>
      </x:c>
    </x:row>
    <x:row r="2179" ht="96" customHeight="1">
      <x:c r="A2179" s="115" t="str">
        <x:v>EXT-MONDE-T044-V24</x:v>
      </x:c>
      <x:c r="B2179" s="115" t="str">
        <x:v>EXT-MONDE-T044</x:v>
      </x:c>
      <x:c r="C2179" s="115" t="str">
        <x:v>HLM visitables</x:v>
      </x:c>
      <x:c r="D2179" s="115" t="str">
        <x:v>Ensemble HLM mixte</x:v>
      </x:c>
      <x:c r="E2179" s="115" t="n">
        <x:v>24</x:v>
      </x:c>
      <x:c r="F2179" s="115" t="str">
        <x:v>Inspection physique</x:v>
      </x:c>
      <x:c r="G2179" s="115" t="str">
        <x:v>9 niveaux ; 344 pièces ; 2589 segments de mur ; 14 transitions. Inspection physique ; architecture complète encore ouverte.</x:v>
      </x:c>
      <x:c r="H2179" s="115" t="str">
        <x:v>L 135,75 ; l 148,82 ; hauteur 24,35 m ; choix de composition auteur ; dimensions réelles à documenter</x:v>
      </x:c>
      <x:c r="I2179" s="115" t="str">
        <x:v>À équilibrer</x:v>
      </x:c>
      <x:c r="J2179" s="115" t="str">
        <x:v>Non</x:v>
      </x:c>
      <x:c r="K2179" s="115" t="str">
        <x:v>Pièces décrites, murs, portes, niveaux et mobilier inspectables à l’échelle. Volumes réservés, raccord au seed, butin, rencontres et services de campagne restent à terminer.</x:v>
      </x:c>
    </x:row>
    <x:row r="2180" ht="96" customHeight="1">
      <x:c r="A2180" s="115" t="str">
        <x:v>EXT-MONDE-T044-V25</x:v>
      </x:c>
      <x:c r="B2180" s="115" t="str">
        <x:v>EXT-MONDE-T044</x:v>
      </x:c>
      <x:c r="C2180" s="115" t="str">
        <x:v>HLM visitables</x:v>
      </x:c>
      <x:c r="D2180" s="115" t="str">
        <x:v>Ensemble HLM mixte</x:v>
      </x:c>
      <x:c r="E2180" s="115" t="n">
        <x:v>25</x:v>
      </x:c>
      <x:c r="F2180" s="115" t="str">
        <x:v>Inspection physique</x:v>
      </x:c>
      <x:c r="G2180" s="115" t="str">
        <x:v>9 niveaux ; 344 pièces ; 2589 segments de mur ; 14 transitions. Inspection physique ; architecture complète encore ouverte.</x:v>
      </x:c>
      <x:c r="H2180" s="115" t="str">
        <x:v>L 136 ; l 149,68 ; hauteur 24,45 m ; choix de composition auteur ; dimensions réelles à documenter</x:v>
      </x:c>
      <x:c r="I2180" s="115" t="str">
        <x:v>À équilibrer</x:v>
      </x:c>
      <x:c r="J2180" s="115" t="str">
        <x:v>Non</x:v>
      </x:c>
      <x:c r="K2180" s="115" t="str">
        <x:v>Pièces décrites, murs, portes, niveaux et mobilier inspectables à l’échelle. Volumes réservés, raccord au seed, butin, rencontres et services de campagne restent à terminer.</x:v>
      </x:c>
    </x:row>
    <x:row r="2181" ht="96" customHeight="1">
      <x:c r="A2181" s="115" t="str">
        <x:v>EXT-MONDE-T044-V26</x:v>
      </x:c>
      <x:c r="B2181" s="115" t="str">
        <x:v>EXT-MONDE-T044</x:v>
      </x:c>
      <x:c r="C2181" s="115" t="str">
        <x:v>HLM visitables</x:v>
      </x:c>
      <x:c r="D2181" s="115" t="str">
        <x:v>Ensemble HLM mixte</x:v>
      </x:c>
      <x:c r="E2181" s="115" t="n">
        <x:v>26</x:v>
      </x:c>
      <x:c r="F2181" s="115" t="str">
        <x:v>Inspection physique</x:v>
      </x:c>
      <x:c r="G2181" s="115" t="str">
        <x:v>9 niveaux ; 344 pièces ; 2589 segments de mur ; 14 transitions. Inspection physique ; architecture complète encore ouverte.</x:v>
      </x:c>
      <x:c r="H2181" s="115" t="str">
        <x:v>L 136,25 ; l 149,74 ; hauteur 24,55 m ; choix de composition auteur ; dimensions réelles à documenter</x:v>
      </x:c>
      <x:c r="I2181" s="115" t="str">
        <x:v>À équilibrer</x:v>
      </x:c>
      <x:c r="J2181" s="115" t="str">
        <x:v>Non</x:v>
      </x:c>
      <x:c r="K2181" s="115" t="str">
        <x:v>Pièces décrites, murs, portes, niveaux et mobilier inspectables à l’échelle. Volumes réservés, raccord au seed, butin, rencontres et services de campagne restent à terminer.</x:v>
      </x:c>
    </x:row>
    <x:row r="2182" ht="96" customHeight="1">
      <x:c r="A2182" s="115" t="str">
        <x:v>EXT-MONDE-T044-V27</x:v>
      </x:c>
      <x:c r="B2182" s="115" t="str">
        <x:v>EXT-MONDE-T044</x:v>
      </x:c>
      <x:c r="C2182" s="115" t="str">
        <x:v>HLM visitables</x:v>
      </x:c>
      <x:c r="D2182" s="115" t="str">
        <x:v>Ensemble HLM mixte</x:v>
      </x:c>
      <x:c r="E2182" s="115" t="n">
        <x:v>27</x:v>
      </x:c>
      <x:c r="F2182" s="115" t="str">
        <x:v>Inspection physique</x:v>
      </x:c>
      <x:c r="G2182" s="115" t="str">
        <x:v>9 niveaux ; 344 pièces ; 2589 segments de mur ; 14 transitions. Inspection physique ; architecture complète encore ouverte.</x:v>
      </x:c>
      <x:c r="H2182" s="115" t="str">
        <x:v>L 136,5 ; l 150,6 ; hauteur 24,35 m ; choix de composition auteur ; dimensions réelles à documenter</x:v>
      </x:c>
      <x:c r="I2182" s="115" t="str">
        <x:v>À équilibrer</x:v>
      </x:c>
      <x:c r="J2182" s="115" t="str">
        <x:v>Non</x:v>
      </x:c>
      <x:c r="K2182" s="115" t="str">
        <x:v>Pièces décrites, murs, portes, niveaux et mobilier inspectables à l’échelle. Volumes réservés, raccord au seed, butin, rencontres et services de campagne restent à terminer.</x:v>
      </x:c>
    </x:row>
    <x:row r="2183" ht="96" customHeight="1">
      <x:c r="A2183" s="115" t="str">
        <x:v>EXT-MONDE-T044-V28</x:v>
      </x:c>
      <x:c r="B2183" s="115" t="str">
        <x:v>EXT-MONDE-T044</x:v>
      </x:c>
      <x:c r="C2183" s="115" t="str">
        <x:v>HLM visitables</x:v>
      </x:c>
      <x:c r="D2183" s="115" t="str">
        <x:v>Ensemble HLM mixte</x:v>
      </x:c>
      <x:c r="E2183" s="115" t="n">
        <x:v>28</x:v>
      </x:c>
      <x:c r="F2183" s="115" t="str">
        <x:v>Inspection physique</x:v>
      </x:c>
      <x:c r="G2183" s="115" t="str">
        <x:v>9 niveaux ; 344 pièces ; 2589 segments de mur ; 14 transitions. Inspection physique ; architecture complète encore ouverte.</x:v>
      </x:c>
      <x:c r="H2183" s="115" t="str">
        <x:v>L 136,75 ; l 151,46 ; hauteur 24,45 m ; choix de composition auteur ; dimensions réelles à documenter</x:v>
      </x:c>
      <x:c r="I2183" s="115" t="str">
        <x:v>À équilibrer</x:v>
      </x:c>
      <x:c r="J2183" s="115" t="str">
        <x:v>Non</x:v>
      </x:c>
      <x:c r="K2183" s="115" t="str">
        <x:v>Pièces décrites, murs, portes, niveaux et mobilier inspectables à l’échelle. Volumes réservés, raccord au seed, butin, rencontres et services de campagne restent à terminer.</x:v>
      </x:c>
    </x:row>
    <x:row r="2184" ht="96" customHeight="1">
      <x:c r="A2184" s="115" t="str">
        <x:v>EXT-MONDE-T044-V29</x:v>
      </x:c>
      <x:c r="B2184" s="115" t="str">
        <x:v>EXT-MONDE-T044</x:v>
      </x:c>
      <x:c r="C2184" s="115" t="str">
        <x:v>HLM visitables</x:v>
      </x:c>
      <x:c r="D2184" s="115" t="str">
        <x:v>Ensemble HLM mixte</x:v>
      </x:c>
      <x:c r="E2184" s="115" t="n">
        <x:v>29</x:v>
      </x:c>
      <x:c r="F2184" s="115" t="str">
        <x:v>Inspection physique</x:v>
      </x:c>
      <x:c r="G2184" s="115" t="str">
        <x:v>9 niveaux ; 344 pièces ; 2589 segments de mur ; 14 transitions. Inspection physique ; architecture complète encore ouverte.</x:v>
      </x:c>
      <x:c r="H2184" s="115" t="str">
        <x:v>L 137 ; l 152,32 ; hauteur 24,55 m ; choix de composition auteur ; dimensions réelles à documenter</x:v>
      </x:c>
      <x:c r="I2184" s="115" t="str">
        <x:v>À équilibrer</x:v>
      </x:c>
      <x:c r="J2184" s="115" t="str">
        <x:v>Non</x:v>
      </x:c>
      <x:c r="K2184" s="115" t="str">
        <x:v>Pièces décrites, murs, portes, niveaux et mobilier inspectables à l’échelle. Volumes réservés, raccord au seed, butin, rencontres et services de campagne restent à terminer.</x:v>
      </x:c>
    </x:row>
    <x:row r="2185" ht="96" customHeight="1">
      <x:c r="A2185" s="115" t="str">
        <x:v>EXT-MONDE-T044-V30</x:v>
      </x:c>
      <x:c r="B2185" s="115" t="str">
        <x:v>EXT-MONDE-T044</x:v>
      </x:c>
      <x:c r="C2185" s="115" t="str">
        <x:v>HLM visitables</x:v>
      </x:c>
      <x:c r="D2185" s="115" t="str">
        <x:v>Ensemble HLM mixte</x:v>
      </x:c>
      <x:c r="E2185" s="115" t="n">
        <x:v>30</x:v>
      </x:c>
      <x:c r="F2185" s="115" t="str">
        <x:v>Inspection physique</x:v>
      </x:c>
      <x:c r="G2185" s="115" t="str">
        <x:v>9 niveaux ; 344 pièces ; 2589 segments de mur ; 14 transitions. Inspection physique ; architecture complète encore ouverte.</x:v>
      </x:c>
      <x:c r="H2185" s="115" t="str">
        <x:v>L 137,25 ; l 153,18 ; hauteur 24,35 m ; choix de composition auteur ; dimensions réelles à documenter</x:v>
      </x:c>
      <x:c r="I2185" s="115" t="str">
        <x:v>À équilibrer</x:v>
      </x:c>
      <x:c r="J2185" s="115" t="str">
        <x:v>Non</x:v>
      </x:c>
      <x:c r="K2185" s="115" t="str">
        <x:v>Pièces décrites, murs, portes, niveaux et mobilier inspectables à l’échelle. Volumes réservés, raccord au seed, butin, rencontres et services de campagne restent à terminer.</x:v>
      </x:c>
    </x:row>
    <x:row r="2186" ht="96" customHeight="1">
      <x:c r="A2186" s="115" t="str">
        <x:v>EXT-MONDE-T044-V31</x:v>
      </x:c>
      <x:c r="B2186" s="115" t="str">
        <x:v>EXT-MONDE-T044</x:v>
      </x:c>
      <x:c r="C2186" s="115" t="str">
        <x:v>HLM visitables</x:v>
      </x:c>
      <x:c r="D2186" s="115" t="str">
        <x:v>Ensemble HLM mixte</x:v>
      </x:c>
      <x:c r="E2186" s="115" t="n">
        <x:v>31</x:v>
      </x:c>
      <x:c r="F2186" s="115" t="str">
        <x:v>Inspection physique</x:v>
      </x:c>
      <x:c r="G2186" s="115" t="str">
        <x:v>7 niveaux ; 248 pièces ; 1873 segments de mur ; 10 transitions. Inspection physique ; architecture complète encore ouverte.</x:v>
      </x:c>
      <x:c r="H2186" s="115" t="str">
        <x:v>L 135 ; l 146,56 ; hauteur 18,35 m ; choix de composition auteur ; dimensions réelles à documenter</x:v>
      </x:c>
      <x:c r="I2186" s="115" t="str">
        <x:v>À équilibrer</x:v>
      </x:c>
      <x:c r="J2186" s="115" t="str">
        <x:v>Non</x:v>
      </x:c>
      <x:c r="K2186" s="115" t="str">
        <x:v>Pièces décrites, murs, portes, niveaux et mobilier inspectables à l’échelle. Volumes réservés, raccord au seed, butin, rencontres et services de campagne restent à terminer.</x:v>
      </x:c>
    </x:row>
    <x:row r="2187" ht="96" customHeight="1">
      <x:c r="A2187" s="115" t="str">
        <x:v>EXT-MONDE-T044-V32</x:v>
      </x:c>
      <x:c r="B2187" s="115" t="str">
        <x:v>EXT-MONDE-T044</x:v>
      </x:c>
      <x:c r="C2187" s="115" t="str">
        <x:v>HLM visitables</x:v>
      </x:c>
      <x:c r="D2187" s="115" t="str">
        <x:v>Ensemble HLM mixte</x:v>
      </x:c>
      <x:c r="E2187" s="115" t="n">
        <x:v>32</x:v>
      </x:c>
      <x:c r="F2187" s="115" t="str">
        <x:v>Inspection physique</x:v>
      </x:c>
      <x:c r="G2187" s="115" t="str">
        <x:v>7 niveaux ; 248 pièces ; 1873 segments de mur ; 10 transitions. Inspection physique ; architecture complète encore ouverte.</x:v>
      </x:c>
      <x:c r="H2187" s="115" t="str">
        <x:v>L 135,25 ; l 147,42 ; hauteur 18,45 m ; choix de composition auteur ; dimensions réelles à documenter</x:v>
      </x:c>
      <x:c r="I2187" s="115" t="str">
        <x:v>À équilibrer</x:v>
      </x:c>
      <x:c r="J2187" s="115" t="str">
        <x:v>Non</x:v>
      </x:c>
      <x:c r="K2187" s="115" t="str">
        <x:v>Pièces décrites, murs, portes, niveaux et mobilier inspectables à l’échelle. Volumes réservés, raccord au seed, butin, rencontres et services de campagne restent à terminer.</x:v>
      </x:c>
    </x:row>
    <x:row r="2188" ht="96" customHeight="1">
      <x:c r="A2188" s="115" t="str">
        <x:v>EXT-MONDE-T044-V33</x:v>
      </x:c>
      <x:c r="B2188" s="115" t="str">
        <x:v>EXT-MONDE-T044</x:v>
      </x:c>
      <x:c r="C2188" s="115" t="str">
        <x:v>HLM visitables</x:v>
      </x:c>
      <x:c r="D2188" s="115" t="str">
        <x:v>Ensemble HLM mixte</x:v>
      </x:c>
      <x:c r="E2188" s="115" t="n">
        <x:v>33</x:v>
      </x:c>
      <x:c r="F2188" s="115" t="str">
        <x:v>Inspection physique</x:v>
      </x:c>
      <x:c r="G2188" s="115" t="str">
        <x:v>7 niveaux ; 248 pièces ; 1873 segments de mur ; 10 transitions. Inspection physique ; architecture complète encore ouverte.</x:v>
      </x:c>
      <x:c r="H2188" s="115" t="str">
        <x:v>L 135,5 ; l 148,28 ; hauteur 18,55 m ; choix de composition auteur ; dimensions réelles à documenter</x:v>
      </x:c>
      <x:c r="I2188" s="115" t="str">
        <x:v>À équilibrer</x:v>
      </x:c>
      <x:c r="J2188" s="115" t="str">
        <x:v>Non</x:v>
      </x:c>
      <x:c r="K2188" s="115" t="str">
        <x:v>Pièces décrites, murs, portes, niveaux et mobilier inspectables à l’échelle. Volumes réservés, raccord au seed, butin, rencontres et services de campagne restent à terminer.</x:v>
      </x:c>
    </x:row>
    <x:row r="2189" ht="96" customHeight="1">
      <x:c r="A2189" s="115" t="str">
        <x:v>EXT-MONDE-T044-V34</x:v>
      </x:c>
      <x:c r="B2189" s="115" t="str">
        <x:v>EXT-MONDE-T044</x:v>
      </x:c>
      <x:c r="C2189" s="115" t="str">
        <x:v>HLM visitables</x:v>
      </x:c>
      <x:c r="D2189" s="115" t="str">
        <x:v>Ensemble HLM mixte</x:v>
      </x:c>
      <x:c r="E2189" s="115" t="n">
        <x:v>34</x:v>
      </x:c>
      <x:c r="F2189" s="115" t="str">
        <x:v>Inspection physique</x:v>
      </x:c>
      <x:c r="G2189" s="115" t="str">
        <x:v>7 niveaux ; 248 pièces ; 1873 segments de mur ; 10 transitions. Inspection physique ; architecture complète encore ouverte.</x:v>
      </x:c>
      <x:c r="H2189" s="115" t="str">
        <x:v>L 135,75 ; l 149,14 ; hauteur 18,35 m ; choix de composition auteur ; dimensions réelles à documenter</x:v>
      </x:c>
      <x:c r="I2189" s="115" t="str">
        <x:v>À équilibrer</x:v>
      </x:c>
      <x:c r="J2189" s="115" t="str">
        <x:v>Non</x:v>
      </x:c>
      <x:c r="K2189" s="115" t="str">
        <x:v>Pièces décrites, murs, portes, niveaux et mobilier inspectables à l’échelle. Volumes réservés, raccord au seed, butin, rencontres et services de campagne restent à terminer.</x:v>
      </x:c>
    </x:row>
    <x:row r="2190" ht="96" customHeight="1">
      <x:c r="A2190" s="115" t="str">
        <x:v>EXT-MONDE-T044-V35</x:v>
      </x:c>
      <x:c r="B2190" s="115" t="str">
        <x:v>EXT-MONDE-T044</x:v>
      </x:c>
      <x:c r="C2190" s="115" t="str">
        <x:v>HLM visitables</x:v>
      </x:c>
      <x:c r="D2190" s="115" t="str">
        <x:v>Ensemble HLM mixte</x:v>
      </x:c>
      <x:c r="E2190" s="115" t="n">
        <x:v>35</x:v>
      </x:c>
      <x:c r="F2190" s="115" t="str">
        <x:v>Inspection physique</x:v>
      </x:c>
      <x:c r="G2190" s="115" t="str">
        <x:v>7 niveaux ; 248 pièces ; 1873 segments de mur ; 10 transitions. Inspection physique ; architecture complète encore ouverte.</x:v>
      </x:c>
      <x:c r="H2190" s="115" t="str">
        <x:v>L 136 ; l 150 ; hauteur 18,45 m ; choix de composition auteur ; dimensions réelles à documenter</x:v>
      </x:c>
      <x:c r="I2190" s="115" t="str">
        <x:v>À équilibrer</x:v>
      </x:c>
      <x:c r="J2190" s="115" t="str">
        <x:v>Non</x:v>
      </x:c>
      <x:c r="K2190" s="115" t="str">
        <x:v>Pièces décrites, murs, portes, niveaux et mobilier inspectables à l’échelle. Volumes réservés, raccord au seed, butin, rencontres et services de campagne restent à terminer.</x:v>
      </x:c>
    </x:row>
    <x:row r="2191" ht="96" customHeight="1">
      <x:c r="A2191" s="115" t="str">
        <x:v>EXT-MONDE-T044-V36</x:v>
      </x:c>
      <x:c r="B2191" s="115" t="str">
        <x:v>EXT-MONDE-T044</x:v>
      </x:c>
      <x:c r="C2191" s="115" t="str">
        <x:v>HLM visitables</x:v>
      </x:c>
      <x:c r="D2191" s="115" t="str">
        <x:v>Ensemble HLM mixte</x:v>
      </x:c>
      <x:c r="E2191" s="115" t="n">
        <x:v>36</x:v>
      </x:c>
      <x:c r="F2191" s="115" t="str">
        <x:v>Inspection physique</x:v>
      </x:c>
      <x:c r="G2191" s="115" t="str">
        <x:v>7 niveaux ; 248 pièces ; 1873 segments de mur ; 10 transitions. Inspection physique ; architecture complète encore ouverte.</x:v>
      </x:c>
      <x:c r="H2191" s="115" t="str">
        <x:v>L 136,25 ; l 150,06 ; hauteur 18,55 m ; choix de composition auteur ; dimensions réelles à documenter</x:v>
      </x:c>
      <x:c r="I2191" s="115" t="str">
        <x:v>À équilibrer</x:v>
      </x:c>
      <x:c r="J2191" s="115" t="str">
        <x:v>Non</x:v>
      </x:c>
      <x:c r="K2191" s="115" t="str">
        <x:v>Pièces décrites, murs, portes, niveaux et mobilier inspectables à l’échelle. Volumes réservés, raccord au seed, butin, rencontres et services de campagne restent à terminer.</x:v>
      </x:c>
    </x:row>
    <x:row r="2192" ht="96" customHeight="1">
      <x:c r="A2192" s="115" t="str">
        <x:v>EXT-MONDE-T044-V37</x:v>
      </x:c>
      <x:c r="B2192" s="115" t="str">
        <x:v>EXT-MONDE-T044</x:v>
      </x:c>
      <x:c r="C2192" s="115" t="str">
        <x:v>HLM visitables</x:v>
      </x:c>
      <x:c r="D2192" s="115" t="str">
        <x:v>Ensemble HLM mixte</x:v>
      </x:c>
      <x:c r="E2192" s="115" t="n">
        <x:v>37</x:v>
      </x:c>
      <x:c r="F2192" s="115" t="str">
        <x:v>Inspection physique</x:v>
      </x:c>
      <x:c r="G2192" s="115" t="str">
        <x:v>7 niveaux ; 248 pièces ; 1873 segments de mur ; 10 transitions. Inspection physique ; architecture complète encore ouverte.</x:v>
      </x:c>
      <x:c r="H2192" s="115" t="str">
        <x:v>L 136,5 ; l 150,92 ; hauteur 18,35 m ; choix de composition auteur ; dimensions réelles à documenter</x:v>
      </x:c>
      <x:c r="I2192" s="115" t="str">
        <x:v>À équilibrer</x:v>
      </x:c>
      <x:c r="J2192" s="115" t="str">
        <x:v>Non</x:v>
      </x:c>
      <x:c r="K2192" s="115" t="str">
        <x:v>Pièces décrites, murs, portes, niveaux et mobilier inspectables à l’échelle. Volumes réservés, raccord au seed, butin, rencontres et services de campagne restent à terminer.</x:v>
      </x:c>
    </x:row>
    <x:row r="2193" ht="96" customHeight="1">
      <x:c r="A2193" s="115" t="str">
        <x:v>EXT-MONDE-T044-V38</x:v>
      </x:c>
      <x:c r="B2193" s="115" t="str">
        <x:v>EXT-MONDE-T044</x:v>
      </x:c>
      <x:c r="C2193" s="115" t="str">
        <x:v>HLM visitables</x:v>
      </x:c>
      <x:c r="D2193" s="115" t="str">
        <x:v>Ensemble HLM mixte</x:v>
      </x:c>
      <x:c r="E2193" s="115" t="n">
        <x:v>38</x:v>
      </x:c>
      <x:c r="F2193" s="115" t="str">
        <x:v>Inspection physique</x:v>
      </x:c>
      <x:c r="G2193" s="115" t="str">
        <x:v>7 niveaux ; 248 pièces ; 1873 segments de mur ; 10 transitions. Inspection physique ; architecture complète encore ouverte.</x:v>
      </x:c>
      <x:c r="H2193" s="115" t="str">
        <x:v>L 136,75 ; l 151,78 ; hauteur 18,45 m ; choix de composition auteur ; dimensions réelles à documenter</x:v>
      </x:c>
      <x:c r="I2193" s="115" t="str">
        <x:v>À équilibrer</x:v>
      </x:c>
      <x:c r="J2193" s="115" t="str">
        <x:v>Non</x:v>
      </x:c>
      <x:c r="K2193" s="115" t="str">
        <x:v>Pièces décrites, murs, portes, niveaux et mobilier inspectables à l’échelle. Volumes réservés, raccord au seed, butin, rencontres et services de campagne restent à terminer.</x:v>
      </x:c>
    </x:row>
    <x:row r="2194" ht="96" customHeight="1">
      <x:c r="A2194" s="115" t="str">
        <x:v>EXT-MONDE-T044-V39</x:v>
      </x:c>
      <x:c r="B2194" s="115" t="str">
        <x:v>EXT-MONDE-T044</x:v>
      </x:c>
      <x:c r="C2194" s="115" t="str">
        <x:v>HLM visitables</x:v>
      </x:c>
      <x:c r="D2194" s="115" t="str">
        <x:v>Ensemble HLM mixte</x:v>
      </x:c>
      <x:c r="E2194" s="115" t="n">
        <x:v>39</x:v>
      </x:c>
      <x:c r="F2194" s="115" t="str">
        <x:v>Inspection physique</x:v>
      </x:c>
      <x:c r="G2194" s="115" t="str">
        <x:v>7 niveaux ; 248 pièces ; 1873 segments de mur ; 10 transitions. Inspection physique ; architecture complète encore ouverte.</x:v>
      </x:c>
      <x:c r="H2194" s="115" t="str">
        <x:v>L 137 ; l 152,64 ; hauteur 18,55 m ; choix de composition auteur ; dimensions réelles à documenter</x:v>
      </x:c>
      <x:c r="I2194" s="115" t="str">
        <x:v>À équilibrer</x:v>
      </x:c>
      <x:c r="J2194" s="115" t="str">
        <x:v>Non</x:v>
      </x:c>
      <x:c r="K2194" s="115" t="str">
        <x:v>Pièces décrites, murs, portes, niveaux et mobilier inspectables à l’échelle. Volumes réservés, raccord au seed, butin, rencontres et services de campagne restent à terminer.</x:v>
      </x:c>
    </x:row>
    <x:row r="2195" ht="96" customHeight="1">
      <x:c r="A2195" s="115" t="str">
        <x:v>EXT-MONDE-T044-V40</x:v>
      </x:c>
      <x:c r="B2195" s="115" t="str">
        <x:v>EXT-MONDE-T044</x:v>
      </x:c>
      <x:c r="C2195" s="115" t="str">
        <x:v>HLM visitables</x:v>
      </x:c>
      <x:c r="D2195" s="115" t="str">
        <x:v>Ensemble HLM mixte</x:v>
      </x:c>
      <x:c r="E2195" s="115" t="n">
        <x:v>40</x:v>
      </x:c>
      <x:c r="F2195" s="115" t="str">
        <x:v>Inspection physique</x:v>
      </x:c>
      <x:c r="G2195" s="115" t="str">
        <x:v>7 niveaux ; 248 pièces ; 1873 segments de mur ; 10 transitions. Inspection physique ; architecture complète encore ouverte.</x:v>
      </x:c>
      <x:c r="H2195" s="115" t="str">
        <x:v>L 137,25 ; l 153,5 ; hauteur 18,35 m ; choix de composition auteur ; dimensions réelles à documenter</x:v>
      </x:c>
      <x:c r="I2195" s="115" t="str">
        <x:v>À équilibrer</x:v>
      </x:c>
      <x:c r="J2195" s="115" t="str">
        <x:v>Non</x:v>
      </x:c>
      <x:c r="K2195" s="115" t="str">
        <x:v>Pièces décrites, murs, portes, niveaux et mobilier inspectables à l’échelle. Volumes réservés, raccord au seed, butin, rencontres et services de campagne restent à terminer.</x:v>
      </x:c>
    </x:row>
    <x:row r="2196" ht="96" customHeight="1">
      <x:c r="A2196" s="115" t="str">
        <x:v>EXT-MONDE-T044-V41</x:v>
      </x:c>
      <x:c r="B2196" s="115" t="str">
        <x:v>EXT-MONDE-T044</x:v>
      </x:c>
      <x:c r="C2196" s="115" t="str">
        <x:v>HLM visitables</x:v>
      </x:c>
      <x:c r="D2196" s="115" t="str">
        <x:v>Ensemble HLM mixte</x:v>
      </x:c>
      <x:c r="E2196" s="115" t="n">
        <x:v>41</x:v>
      </x:c>
      <x:c r="F2196" s="115" t="str">
        <x:v>Inspection physique</x:v>
      </x:c>
      <x:c r="G2196" s="115" t="str">
        <x:v>8 niveaux ; 296 pièces ; 2231 segments de mur ; 12 transitions. Inspection physique ; architecture complète encore ouverte.</x:v>
      </x:c>
      <x:c r="H2196" s="115" t="str">
        <x:v>L 135 ; l 146,88 ; hauteur 21,35 m ; choix de composition auteur ; dimensions réelles à documenter</x:v>
      </x:c>
      <x:c r="I2196" s="115" t="str">
        <x:v>À équilibrer</x:v>
      </x:c>
      <x:c r="J2196" s="115" t="str">
        <x:v>Non</x:v>
      </x:c>
      <x:c r="K2196" s="115" t="str">
        <x:v>Pièces décrites, murs, portes, niveaux et mobilier inspectables à l’échelle. Volumes réservés, raccord au seed, butin, rencontres et services de campagne restent à terminer.</x:v>
      </x:c>
    </x:row>
    <x:row r="2197" ht="96" customHeight="1">
      <x:c r="A2197" s="115" t="str">
        <x:v>EXT-MONDE-T044-V42</x:v>
      </x:c>
      <x:c r="B2197" s="115" t="str">
        <x:v>EXT-MONDE-T044</x:v>
      </x:c>
      <x:c r="C2197" s="115" t="str">
        <x:v>HLM visitables</x:v>
      </x:c>
      <x:c r="D2197" s="115" t="str">
        <x:v>Ensemble HLM mixte</x:v>
      </x:c>
      <x:c r="E2197" s="115" t="n">
        <x:v>42</x:v>
      </x:c>
      <x:c r="F2197" s="115" t="str">
        <x:v>Inspection physique</x:v>
      </x:c>
      <x:c r="G2197" s="115" t="str">
        <x:v>8 niveaux ; 296 pièces ; 2231 segments de mur ; 12 transitions. Inspection physique ; architecture complète encore ouverte.</x:v>
      </x:c>
      <x:c r="H2197" s="115" t="str">
        <x:v>L 135,25 ; l 147,74 ; hauteur 21,45 m ; choix de composition auteur ; dimensions réelles à documenter</x:v>
      </x:c>
      <x:c r="I2197" s="115" t="str">
        <x:v>À équilibrer</x:v>
      </x:c>
      <x:c r="J2197" s="115" t="str">
        <x:v>Non</x:v>
      </x:c>
      <x:c r="K2197" s="115" t="str">
        <x:v>Pièces décrites, murs, portes, niveaux et mobilier inspectables à l’échelle. Volumes réservés, raccord au seed, butin, rencontres et services de campagne restent à terminer.</x:v>
      </x:c>
    </x:row>
    <x:row r="2198" ht="96" customHeight="1">
      <x:c r="A2198" s="115" t="str">
        <x:v>EXT-MONDE-T044-V43</x:v>
      </x:c>
      <x:c r="B2198" s="115" t="str">
        <x:v>EXT-MONDE-T044</x:v>
      </x:c>
      <x:c r="C2198" s="115" t="str">
        <x:v>HLM visitables</x:v>
      </x:c>
      <x:c r="D2198" s="115" t="str">
        <x:v>Ensemble HLM mixte</x:v>
      </x:c>
      <x:c r="E2198" s="115" t="n">
        <x:v>43</x:v>
      </x:c>
      <x:c r="F2198" s="115" t="str">
        <x:v>Inspection physique</x:v>
      </x:c>
      <x:c r="G2198" s="115" t="str">
        <x:v>8 niveaux ; 296 pièces ; 2231 segments de mur ; 12 transitions. Inspection physique ; architecture complète encore ouverte.</x:v>
      </x:c>
      <x:c r="H2198" s="115" t="str">
        <x:v>L 135,5 ; l 148,6 ; hauteur 21,55 m ; choix de composition auteur ; dimensions réelles à documenter</x:v>
      </x:c>
      <x:c r="I2198" s="115" t="str">
        <x:v>À équilibrer</x:v>
      </x:c>
      <x:c r="J2198" s="115" t="str">
        <x:v>Non</x:v>
      </x:c>
      <x:c r="K2198" s="115" t="str">
        <x:v>Pièces décrites, murs, portes, niveaux et mobilier inspectables à l’échelle. Volumes réservés, raccord au seed, butin, rencontres et services de campagne restent à terminer.</x:v>
      </x:c>
    </x:row>
    <x:row r="2199" ht="96" customHeight="1">
      <x:c r="A2199" s="115" t="str">
        <x:v>EXT-MONDE-T044-V44</x:v>
      </x:c>
      <x:c r="B2199" s="115" t="str">
        <x:v>EXT-MONDE-T044</x:v>
      </x:c>
      <x:c r="C2199" s="115" t="str">
        <x:v>HLM visitables</x:v>
      </x:c>
      <x:c r="D2199" s="115" t="str">
        <x:v>Ensemble HLM mixte</x:v>
      </x:c>
      <x:c r="E2199" s="115" t="n">
        <x:v>44</x:v>
      </x:c>
      <x:c r="F2199" s="115" t="str">
        <x:v>Inspection physique</x:v>
      </x:c>
      <x:c r="G2199" s="115" t="str">
        <x:v>8 niveaux ; 296 pièces ; 2231 segments de mur ; 12 transitions. Inspection physique ; architecture complète encore ouverte.</x:v>
      </x:c>
      <x:c r="H2199" s="115" t="str">
        <x:v>L 135,75 ; l 149,46 ; hauteur 21,35 m ; choix de composition auteur ; dimensions réelles à documenter</x:v>
      </x:c>
      <x:c r="I2199" s="115" t="str">
        <x:v>À équilibrer</x:v>
      </x:c>
      <x:c r="J2199" s="115" t="str">
        <x:v>Non</x:v>
      </x:c>
      <x:c r="K2199" s="115" t="str">
        <x:v>Pièces décrites, murs, portes, niveaux et mobilier inspectables à l’échelle. Volumes réservés, raccord au seed, butin, rencontres et services de campagne restent à terminer.</x:v>
      </x:c>
    </x:row>
    <x:row r="2200" ht="96" customHeight="1">
      <x:c r="A2200" s="115" t="str">
        <x:v>EXT-MONDE-T044-V45</x:v>
      </x:c>
      <x:c r="B2200" s="115" t="str">
        <x:v>EXT-MONDE-T044</x:v>
      </x:c>
      <x:c r="C2200" s="115" t="str">
        <x:v>HLM visitables</x:v>
      </x:c>
      <x:c r="D2200" s="115" t="str">
        <x:v>Ensemble HLM mixte</x:v>
      </x:c>
      <x:c r="E2200" s="115" t="n">
        <x:v>45</x:v>
      </x:c>
      <x:c r="F2200" s="115" t="str">
        <x:v>Inspection physique</x:v>
      </x:c>
      <x:c r="G2200" s="115" t="str">
        <x:v>8 niveaux ; 296 pièces ; 2231 segments de mur ; 12 transitions. Inspection physique ; architecture complète encore ouverte.</x:v>
      </x:c>
      <x:c r="H2200" s="115" t="str">
        <x:v>L 136 ; l 150,32 ; hauteur 21,45 m ; choix de composition auteur ; dimensions réelles à documenter</x:v>
      </x:c>
      <x:c r="I2200" s="115" t="str">
        <x:v>À équilibrer</x:v>
      </x:c>
      <x:c r="J2200" s="115" t="str">
        <x:v>Non</x:v>
      </x:c>
      <x:c r="K2200" s="115" t="str">
        <x:v>Pièces décrites, murs, portes, niveaux et mobilier inspectables à l’échelle. Volumes réservés, raccord au seed, butin, rencontres et services de campagne restent à terminer.</x:v>
      </x:c>
    </x:row>
    <x:row r="2201" ht="96" customHeight="1">
      <x:c r="A2201" s="115" t="str">
        <x:v>EXT-MONDE-T044-V46</x:v>
      </x:c>
      <x:c r="B2201" s="115" t="str">
        <x:v>EXT-MONDE-T044</x:v>
      </x:c>
      <x:c r="C2201" s="115" t="str">
        <x:v>HLM visitables</x:v>
      </x:c>
      <x:c r="D2201" s="115" t="str">
        <x:v>Ensemble HLM mixte</x:v>
      </x:c>
      <x:c r="E2201" s="115" t="n">
        <x:v>46</x:v>
      </x:c>
      <x:c r="F2201" s="115" t="str">
        <x:v>Inspection physique</x:v>
      </x:c>
      <x:c r="G2201" s="115" t="str">
        <x:v>8 niveaux ; 296 pièces ; 2231 segments de mur ; 12 transitions. Inspection physique ; architecture complète encore ouverte.</x:v>
      </x:c>
      <x:c r="H2201" s="115" t="str">
        <x:v>L 136,25 ; l 150,38 ; hauteur 21,55 m ; choix de composition auteur ; dimensions réelles à documenter</x:v>
      </x:c>
      <x:c r="I2201" s="115" t="str">
        <x:v>À équilibrer</x:v>
      </x:c>
      <x:c r="J2201" s="115" t="str">
        <x:v>Non</x:v>
      </x:c>
      <x:c r="K2201" s="115" t="str">
        <x:v>Pièces décrites, murs, portes, niveaux et mobilier inspectables à l’échelle. Volumes réservés, raccord au seed, butin, rencontres et services de campagne restent à terminer.</x:v>
      </x:c>
    </x:row>
    <x:row r="2202" ht="96" customHeight="1">
      <x:c r="A2202" s="115" t="str">
        <x:v>EXT-MONDE-T044-V47</x:v>
      </x:c>
      <x:c r="B2202" s="115" t="str">
        <x:v>EXT-MONDE-T044</x:v>
      </x:c>
      <x:c r="C2202" s="115" t="str">
        <x:v>HLM visitables</x:v>
      </x:c>
      <x:c r="D2202" s="115" t="str">
        <x:v>Ensemble HLM mixte</x:v>
      </x:c>
      <x:c r="E2202" s="115" t="n">
        <x:v>47</x:v>
      </x:c>
      <x:c r="F2202" s="115" t="str">
        <x:v>Inspection physique</x:v>
      </x:c>
      <x:c r="G2202" s="115" t="str">
        <x:v>8 niveaux ; 296 pièces ; 2231 segments de mur ; 12 transitions. Inspection physique ; architecture complète encore ouverte.</x:v>
      </x:c>
      <x:c r="H2202" s="115" t="str">
        <x:v>L 136,5 ; l 151,24 ; hauteur 21,35 m ; choix de composition auteur ; dimensions réelles à documenter</x:v>
      </x:c>
      <x:c r="I2202" s="115" t="str">
        <x:v>À équilibrer</x:v>
      </x:c>
      <x:c r="J2202" s="115" t="str">
        <x:v>Non</x:v>
      </x:c>
      <x:c r="K2202" s="115" t="str">
        <x:v>Pièces décrites, murs, portes, niveaux et mobilier inspectables à l’échelle. Volumes réservés, raccord au seed, butin, rencontres et services de campagne restent à terminer.</x:v>
      </x:c>
    </x:row>
    <x:row r="2203" ht="96" customHeight="1">
      <x:c r="A2203" s="115" t="str">
        <x:v>EXT-MONDE-T044-V48</x:v>
      </x:c>
      <x:c r="B2203" s="115" t="str">
        <x:v>EXT-MONDE-T044</x:v>
      </x:c>
      <x:c r="C2203" s="115" t="str">
        <x:v>HLM visitables</x:v>
      </x:c>
      <x:c r="D2203" s="115" t="str">
        <x:v>Ensemble HLM mixte</x:v>
      </x:c>
      <x:c r="E2203" s="115" t="n">
        <x:v>48</x:v>
      </x:c>
      <x:c r="F2203" s="115" t="str">
        <x:v>Inspection physique</x:v>
      </x:c>
      <x:c r="G2203" s="115" t="str">
        <x:v>8 niveaux ; 296 pièces ; 2231 segments de mur ; 12 transitions. Inspection physique ; architecture complète encore ouverte.</x:v>
      </x:c>
      <x:c r="H2203" s="115" t="str">
        <x:v>L 136,75 ; l 152,1 ; hauteur 21,45 m ; choix de composition auteur ; dimensions réelles à documenter</x:v>
      </x:c>
      <x:c r="I2203" s="115" t="str">
        <x:v>À équilibrer</x:v>
      </x:c>
      <x:c r="J2203" s="115" t="str">
        <x:v>Non</x:v>
      </x:c>
      <x:c r="K2203" s="115" t="str">
        <x:v>Pièces décrites, murs, portes, niveaux et mobilier inspectables à l’échelle. Volumes réservés, raccord au seed, butin, rencontres et services de campagne restent à terminer.</x:v>
      </x:c>
    </x:row>
    <x:row r="2204" ht="96" customHeight="1">
      <x:c r="A2204" s="115" t="str">
        <x:v>EXT-MONDE-T044-V49</x:v>
      </x:c>
      <x:c r="B2204" s="115" t="str">
        <x:v>EXT-MONDE-T044</x:v>
      </x:c>
      <x:c r="C2204" s="115" t="str">
        <x:v>HLM visitables</x:v>
      </x:c>
      <x:c r="D2204" s="115" t="str">
        <x:v>Ensemble HLM mixte</x:v>
      </x:c>
      <x:c r="E2204" s="115" t="n">
        <x:v>49</x:v>
      </x:c>
      <x:c r="F2204" s="115" t="str">
        <x:v>Inspection physique</x:v>
      </x:c>
      <x:c r="G2204" s="115" t="str">
        <x:v>8 niveaux ; 296 pièces ; 2231 segments de mur ; 12 transitions. Inspection physique ; architecture complète encore ouverte.</x:v>
      </x:c>
      <x:c r="H2204" s="115" t="str">
        <x:v>L 137 ; l 152,96 ; hauteur 21,55 m ; choix de composition auteur ; dimensions réelles à documenter</x:v>
      </x:c>
      <x:c r="I2204" s="115" t="str">
        <x:v>À équilibrer</x:v>
      </x:c>
      <x:c r="J2204" s="115" t="str">
        <x:v>Non</x:v>
      </x:c>
      <x:c r="K2204" s="115" t="str">
        <x:v>Pièces décrites, murs, portes, niveaux et mobilier inspectables à l’échelle. Volumes réservés, raccord au seed, butin, rencontres et services de campagne restent à terminer.</x:v>
      </x:c>
    </x:row>
    <x:row r="2205" ht="96" customHeight="1">
      <x:c r="A2205" s="115" t="str">
        <x:v>EXT-MONDE-T044-V50</x:v>
      </x:c>
      <x:c r="B2205" s="115" t="str">
        <x:v>EXT-MONDE-T044</x:v>
      </x:c>
      <x:c r="C2205" s="115" t="str">
        <x:v>HLM visitables</x:v>
      </x:c>
      <x:c r="D2205" s="115" t="str">
        <x:v>Ensemble HLM mixte</x:v>
      </x:c>
      <x:c r="E2205" s="115" t="n">
        <x:v>50</x:v>
      </x:c>
      <x:c r="F2205" s="115" t="str">
        <x:v>Inspection physique</x:v>
      </x:c>
      <x:c r="G2205" s="115" t="str">
        <x:v>8 niveaux ; 296 pièces ; 2231 segments de mur ; 12 transitions. Inspection physique ; architecture complète encore ouverte.</x:v>
      </x:c>
      <x:c r="H2205" s="115" t="str">
        <x:v>L 137,25 ; l 153,82 ; hauteur 21,35 m ; choix de composition auteur ; dimensions réelles à documenter</x:v>
      </x:c>
      <x:c r="I2205" s="115" t="str">
        <x:v>À équilibrer</x:v>
      </x:c>
      <x:c r="J2205" s="115" t="str">
        <x:v>Non</x:v>
      </x:c>
      <x:c r="K2205" s="115" t="str">
        <x:v>Pièces décrites, murs, portes, niveaux et mobilier inspectables à l’échelle. Volumes réservés, raccord au seed, butin, rencontres et services de campagne restent à terminer.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3,2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3,2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3,2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3,2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3,2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3,2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3,2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3,2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3,2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3,2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3,2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3,2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3,2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3,2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3,2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3,2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3,2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3,2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3,2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3,2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3,2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3,2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3,2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3,2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3,2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3,2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3,2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3,2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3,2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3,2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3,2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3,2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3,2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3,2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3,2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3,2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3,2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3,2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3,2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3,2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3,2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3,2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3,2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3,2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3,2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3,2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3,2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3,2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3,2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3,2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3,2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3,2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3,2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3,2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3,2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3,2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3,2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3,2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3,2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3,2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3,2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3,2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3,2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3,2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3,2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3,2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3,2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3,2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3,2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3,2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3,2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3,2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3,2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3,2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3,2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3,2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3,2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3,2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3,2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3,2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3,2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3,2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3,2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3,2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3,2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3,2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3,2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3,2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3,2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3,2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3,2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3,2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3,2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3,2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3,2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3,2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3,2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3,2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3,2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3,2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3,4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3,4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3,4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3,4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3,4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3,4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3,4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3,4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3,4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3,4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3,4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3,4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3,4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3,4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3,4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3,4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3,4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3,4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3,4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3,4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3,4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3,4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3,4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3,4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3,4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3,4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3,4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3,4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3,4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3,4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3,4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3,4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3,4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3,4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3,4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3,4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3,4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3,4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3,4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3,4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3,4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3,4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3,4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3,4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3,4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3,4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3,4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3,4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3,4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3,4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3,2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3,2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3,2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3,2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3,2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3,2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3,2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3,2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3,2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3,2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3,2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3,2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3,2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3,2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3,2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3,2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3,2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3,2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3,2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3,2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3,2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3,2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3,2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3,2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3,2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3,2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3,2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3,2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3,2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3,2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3,2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3,2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3,2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3,2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3,2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3,2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3,2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3,2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3,2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3,2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3,2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3,2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3,2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3,2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3,2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3,2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3,2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3,2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3,2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3,2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 ht="96" customHeight="1">
      <x:c r="A2406" s="115" t="str">
        <x:v>EXT-MONDE-T049-V01</x:v>
      </x:c>
      <x:c r="B2406" s="115" t="str">
        <x:v>EXT-MONDE-T049</x:v>
      </x:c>
      <x:c r="C2406" s="115" t="str">
        <x:v>Parcs attractions</x:v>
      </x:c>
      <x:c r="D2406" s="115" t="str">
        <x:v>Parc familial</x:v>
      </x:c>
      <x:c r="E2406" s="115" t="n">
        <x:v>1</x:v>
      </x:c>
      <x:c r="F2406" s="115" t="str">
        <x:v>Inspection physique</x:v>
      </x:c>
      <x:c r="G2406" s="115" t="str">
        <x:v>1 niveaux ; 32 pièces ; 248 segments de mur ; 0 transitions. Inspection physique ; architecture complète encore ouverte.</x:v>
      </x:c>
      <x:c r="H2406" s="115" t="str">
        <x:v>L 362 ; l 458 ; hauteur 18 m ; choix de composition auteur ; dimensions réelles à documenter</x:v>
      </x:c>
      <x:c r="I2406" s="115" t="str">
        <x:v>À équilibrer</x:v>
      </x:c>
      <x:c r="J2406" s="115" t="str">
        <x:v>Non</x:v>
      </x:c>
      <x:c r="K2406" s="115" t="str">
        <x:v>Pièces décrites, murs, portes, niveaux et mobilier inspectables à l’échelle. Volumes réservés, raccord au seed, butin, rencontres et services de campagne restent à terminer.</x:v>
      </x:c>
    </x:row>
    <x:row r="2407" ht="96" customHeight="1">
      <x:c r="A2407" s="115" t="str">
        <x:v>EXT-MONDE-T049-V02</x:v>
      </x:c>
      <x:c r="B2407" s="115" t="str">
        <x:v>EXT-MONDE-T049</x:v>
      </x:c>
      <x:c r="C2407" s="115" t="str">
        <x:v>Parcs attractions</x:v>
      </x:c>
      <x:c r="D2407" s="115" t="str">
        <x:v>Parc familial</x:v>
      </x:c>
      <x:c r="E2407" s="115" t="n">
        <x:v>2</x:v>
      </x:c>
      <x:c r="F2407" s="115" t="str">
        <x:v>Inspection physique</x:v>
      </x:c>
      <x:c r="G2407" s="115" t="str">
        <x:v>1 niveaux ; 32 pièces ; 248 segments de mur ; 0 transitions. Inspection physique ; architecture complète encore ouverte.</x:v>
      </x:c>
      <x:c r="H2407" s="115" t="str">
        <x:v>L 362 ; l 458 ; hauteur 18 m ; choix de composition auteur ; dimensions réelles à documenter</x:v>
      </x:c>
      <x:c r="I2407" s="115" t="str">
        <x:v>À équilibrer</x:v>
      </x:c>
      <x:c r="J2407" s="115" t="str">
        <x:v>Non</x:v>
      </x:c>
      <x:c r="K2407" s="115" t="str">
        <x:v>Pièces décrites, murs, portes, niveaux et mobilier inspectables à l’échelle. Volumes réservés, raccord au seed, butin, rencontres et services de campagne restent à terminer.</x:v>
      </x:c>
    </x:row>
    <x:row r="2408" ht="96" customHeight="1">
      <x:c r="A2408" s="115" t="str">
        <x:v>EXT-MONDE-T049-V03</x:v>
      </x:c>
      <x:c r="B2408" s="115" t="str">
        <x:v>EXT-MONDE-T049</x:v>
      </x:c>
      <x:c r="C2408" s="115" t="str">
        <x:v>Parcs attractions</x:v>
      </x:c>
      <x:c r="D2408" s="115" t="str">
        <x:v>Parc familial</x:v>
      </x:c>
      <x:c r="E2408" s="115" t="n">
        <x:v>3</x:v>
      </x:c>
      <x:c r="F2408" s="115" t="str">
        <x:v>Inspection physique</x:v>
      </x:c>
      <x:c r="G2408" s="115" t="str">
        <x:v>1 niveaux ; 32 pièces ; 248 segments de mur ; 0 transitions. Inspection physique ; architecture complète encore ouverte.</x:v>
      </x:c>
      <x:c r="H2408" s="115" t="str">
        <x:v>L 362 ; l 458 ; hauteur 18 m ; choix de composition auteur ; dimensions réelles à documenter</x:v>
      </x:c>
      <x:c r="I2408" s="115" t="str">
        <x:v>À équilibrer</x:v>
      </x:c>
      <x:c r="J2408" s="115" t="str">
        <x:v>Non</x:v>
      </x:c>
      <x:c r="K2408" s="115" t="str">
        <x:v>Pièces décrites, murs, portes, niveaux et mobilier inspectables à l’échelle. Volumes réservés, raccord au seed, butin, rencontres et services de campagne restent à terminer.</x:v>
      </x:c>
    </x:row>
    <x:row r="2409" ht="96" customHeight="1">
      <x:c r="A2409" s="115" t="str">
        <x:v>EXT-MONDE-T049-V04</x:v>
      </x:c>
      <x:c r="B2409" s="115" t="str">
        <x:v>EXT-MONDE-T049</x:v>
      </x:c>
      <x:c r="C2409" s="115" t="str">
        <x:v>Parcs attractions</x:v>
      </x:c>
      <x:c r="D2409" s="115" t="str">
        <x:v>Parc familial</x:v>
      </x:c>
      <x:c r="E2409" s="115" t="n">
        <x:v>4</x:v>
      </x:c>
      <x:c r="F2409" s="115" t="str">
        <x:v>Inspection physique</x:v>
      </x:c>
      <x:c r="G2409" s="115" t="str">
        <x:v>1 niveaux ; 32 pièces ; 248 segments de mur ; 0 transitions. Inspection physique ; architecture complète encore ouverte.</x:v>
      </x:c>
      <x:c r="H2409" s="115" t="str">
        <x:v>L 362 ; l 458 ; hauteur 18 m ; choix de composition auteur ; dimensions réelles à documenter</x:v>
      </x:c>
      <x:c r="I2409" s="115" t="str">
        <x:v>À équilibrer</x:v>
      </x:c>
      <x:c r="J2409" s="115" t="str">
        <x:v>Non</x:v>
      </x:c>
      <x:c r="K2409" s="115" t="str">
        <x:v>Pièces décrites, murs, portes, niveaux et mobilier inspectables à l’échelle. Volumes réservés, raccord au seed, butin, rencontres et services de campagne restent à terminer.</x:v>
      </x:c>
    </x:row>
    <x:row r="2410" ht="96" customHeight="1">
      <x:c r="A2410" s="115" t="str">
        <x:v>EXT-MONDE-T049-V05</x:v>
      </x:c>
      <x:c r="B2410" s="115" t="str">
        <x:v>EXT-MONDE-T049</x:v>
      </x:c>
      <x:c r="C2410" s="115" t="str">
        <x:v>Parcs attractions</x:v>
      </x:c>
      <x:c r="D2410" s="115" t="str">
        <x:v>Parc familial</x:v>
      </x:c>
      <x:c r="E2410" s="115" t="n">
        <x:v>5</x:v>
      </x:c>
      <x:c r="F2410" s="115" t="str">
        <x:v>Inspection physique</x:v>
      </x:c>
      <x:c r="G2410" s="115" t="str">
        <x:v>1 niveaux ; 32 pièces ; 248 segments de mur ; 0 transitions. Inspection physique ; architecture complète encore ouverte.</x:v>
      </x:c>
      <x:c r="H2410" s="115" t="str">
        <x:v>L 362 ; l 458 ; hauteur 18 m ; choix de composition auteur ; dimensions réelles à documenter</x:v>
      </x:c>
      <x:c r="I2410" s="115" t="str">
        <x:v>À équilibrer</x:v>
      </x:c>
      <x:c r="J2410" s="115" t="str">
        <x:v>Non</x:v>
      </x:c>
      <x:c r="K2410" s="115" t="str">
        <x:v>Pièces décrites, murs, portes, niveaux et mobilier inspectables à l’échelle. Volumes réservés, raccord au seed, butin, rencontres et services de campagne restent à terminer.</x:v>
      </x:c>
    </x:row>
    <x:row r="2411" ht="96" customHeight="1">
      <x:c r="A2411" s="115" t="str">
        <x:v>EXT-MONDE-T049-V06</x:v>
      </x:c>
      <x:c r="B2411" s="115" t="str">
        <x:v>EXT-MONDE-T049</x:v>
      </x:c>
      <x:c r="C2411" s="115" t="str">
        <x:v>Parcs attractions</x:v>
      </x:c>
      <x:c r="D2411" s="115" t="str">
        <x:v>Parc familial</x:v>
      </x:c>
      <x:c r="E2411" s="115" t="n">
        <x:v>6</x:v>
      </x:c>
      <x:c r="F2411" s="115" t="str">
        <x:v>Inspection physique</x:v>
      </x:c>
      <x:c r="G2411" s="115" t="str">
        <x:v>1 niveaux ; 32 pièces ; 248 segments de mur ; 0 transitions. Inspection physique ; architecture complète encore ouverte.</x:v>
      </x:c>
      <x:c r="H2411" s="115" t="str">
        <x:v>L 362 ; l 458 ; hauteur 18 m ; choix de composition auteur ; dimensions réelles à documenter</x:v>
      </x:c>
      <x:c r="I2411" s="115" t="str">
        <x:v>À équilibrer</x:v>
      </x:c>
      <x:c r="J2411" s="115" t="str">
        <x:v>Non</x:v>
      </x:c>
      <x:c r="K2411" s="115" t="str">
        <x:v>Pièces décrites, murs, portes, niveaux et mobilier inspectables à l’échelle. Volumes réservés, raccord au seed, butin, rencontres et services de campagne restent à terminer.</x:v>
      </x:c>
    </x:row>
    <x:row r="2412" ht="96" customHeight="1">
      <x:c r="A2412" s="115" t="str">
        <x:v>EXT-MONDE-T049-V07</x:v>
      </x:c>
      <x:c r="B2412" s="115" t="str">
        <x:v>EXT-MONDE-T049</x:v>
      </x:c>
      <x:c r="C2412" s="115" t="str">
        <x:v>Parcs attractions</x:v>
      </x:c>
      <x:c r="D2412" s="115" t="str">
        <x:v>Parc familial</x:v>
      </x:c>
      <x:c r="E2412" s="115" t="n">
        <x:v>7</x:v>
      </x:c>
      <x:c r="F2412" s="115" t="str">
        <x:v>Inspection physique</x:v>
      </x:c>
      <x:c r="G2412" s="115" t="str">
        <x:v>1 niveaux ; 32 pièces ; 248 segments de mur ; 0 transitions. Inspection physique ; architecture complète encore ouverte.</x:v>
      </x:c>
      <x:c r="H2412" s="115" t="str">
        <x:v>L 362 ; l 458 ; hauteur 18 m ; choix de composition auteur ; dimensions réelles à documenter</x:v>
      </x:c>
      <x:c r="I2412" s="115" t="str">
        <x:v>À équilibrer</x:v>
      </x:c>
      <x:c r="J2412" s="115" t="str">
        <x:v>Non</x:v>
      </x:c>
      <x:c r="K2412" s="115" t="str">
        <x:v>Pièces décrites, murs, portes, niveaux et mobilier inspectables à l’échelle. Volumes réservés, raccord au seed, butin, rencontres et services de campagne restent à terminer.</x:v>
      </x:c>
    </x:row>
    <x:row r="2413" ht="96" customHeight="1">
      <x:c r="A2413" s="115" t="str">
        <x:v>EXT-MONDE-T049-V08</x:v>
      </x:c>
      <x:c r="B2413" s="115" t="str">
        <x:v>EXT-MONDE-T049</x:v>
      </x:c>
      <x:c r="C2413" s="115" t="str">
        <x:v>Parcs attractions</x:v>
      </x:c>
      <x:c r="D2413" s="115" t="str">
        <x:v>Parc familial</x:v>
      </x:c>
      <x:c r="E2413" s="115" t="n">
        <x:v>8</x:v>
      </x:c>
      <x:c r="F2413" s="115" t="str">
        <x:v>Inspection physique</x:v>
      </x:c>
      <x:c r="G2413" s="115" t="str">
        <x:v>1 niveaux ; 32 pièces ; 248 segments de mur ; 0 transitions. Inspection physique ; architecture complète encore ouverte.</x:v>
      </x:c>
      <x:c r="H2413" s="115" t="str">
        <x:v>L 362 ; l 458 ; hauteur 18 m ; choix de composition auteur ; dimensions réelles à documenter</x:v>
      </x:c>
      <x:c r="I2413" s="115" t="str">
        <x:v>À équilibrer</x:v>
      </x:c>
      <x:c r="J2413" s="115" t="str">
        <x:v>Non</x:v>
      </x:c>
      <x:c r="K2413" s="115" t="str">
        <x:v>Pièces décrites, murs, portes, niveaux et mobilier inspectables à l’échelle. Volumes réservés, raccord au seed, butin, rencontres et services de campagne restent à terminer.</x:v>
      </x:c>
    </x:row>
    <x:row r="2414" ht="96" customHeight="1">
      <x:c r="A2414" s="115" t="str">
        <x:v>EXT-MONDE-T049-V09</x:v>
      </x:c>
      <x:c r="B2414" s="115" t="str">
        <x:v>EXT-MONDE-T049</x:v>
      </x:c>
      <x:c r="C2414" s="115" t="str">
        <x:v>Parcs attractions</x:v>
      </x:c>
      <x:c r="D2414" s="115" t="str">
        <x:v>Parc familial</x:v>
      </x:c>
      <x:c r="E2414" s="115" t="n">
        <x:v>9</x:v>
      </x:c>
      <x:c r="F2414" s="115" t="str">
        <x:v>Inspection physique</x:v>
      </x:c>
      <x:c r="G2414" s="115" t="str">
        <x:v>1 niveaux ; 32 pièces ; 248 segments de mur ; 0 transitions. Inspection physique ; architecture complète encore ouverte.</x:v>
      </x:c>
      <x:c r="H2414" s="115" t="str">
        <x:v>L 362 ; l 458 ; hauteur 18 m ; choix de composition auteur ; dimensions réelles à documenter</x:v>
      </x:c>
      <x:c r="I2414" s="115" t="str">
        <x:v>À équilibrer</x:v>
      </x:c>
      <x:c r="J2414" s="115" t="str">
        <x:v>Non</x:v>
      </x:c>
      <x:c r="K2414" s="115" t="str">
        <x:v>Pièces décrites, murs, portes, niveaux et mobilier inspectables à l’échelle. Volumes réservés, raccord au seed, butin, rencontres et services de campagne restent à terminer.</x:v>
      </x:c>
    </x:row>
    <x:row r="2415" ht="96" customHeight="1">
      <x:c r="A2415" s="115" t="str">
        <x:v>EXT-MONDE-T049-V10</x:v>
      </x:c>
      <x:c r="B2415" s="115" t="str">
        <x:v>EXT-MONDE-T049</x:v>
      </x:c>
      <x:c r="C2415" s="115" t="str">
        <x:v>Parcs attractions</x:v>
      </x:c>
      <x:c r="D2415" s="115" t="str">
        <x:v>Parc familial</x:v>
      </x:c>
      <x:c r="E2415" s="115" t="n">
        <x:v>10</x:v>
      </x:c>
      <x:c r="F2415" s="115" t="str">
        <x:v>Inspection physique</x:v>
      </x:c>
      <x:c r="G2415" s="115" t="str">
        <x:v>1 niveaux ; 32 pièces ; 248 segments de mur ; 0 transitions. Inspection physique ; architecture complète encore ouverte.</x:v>
      </x:c>
      <x:c r="H2415" s="115" t="str">
        <x:v>L 362 ; l 458 ; hauteur 18 m ; choix de composition auteur ; dimensions réelles à documenter</x:v>
      </x:c>
      <x:c r="I2415" s="115" t="str">
        <x:v>À équilibrer</x:v>
      </x:c>
      <x:c r="J2415" s="115" t="str">
        <x:v>Non</x:v>
      </x:c>
      <x:c r="K2415" s="115" t="str">
        <x:v>Pièces décrites, murs, portes, niveaux et mobilier inspectables à l’échelle. Volumes réservés, raccord au seed, butin, rencontres et services de campagne restent à terminer.</x:v>
      </x:c>
    </x:row>
    <x:row r="2416" ht="96" customHeight="1">
      <x:c r="A2416" s="115" t="str">
        <x:v>EXT-MONDE-T049-V11</x:v>
      </x:c>
      <x:c r="B2416" s="115" t="str">
        <x:v>EXT-MONDE-T049</x:v>
      </x:c>
      <x:c r="C2416" s="115" t="str">
        <x:v>Parcs attractions</x:v>
      </x:c>
      <x:c r="D2416" s="115" t="str">
        <x:v>Parc familial</x:v>
      </x:c>
      <x:c r="E2416" s="115" t="n">
        <x:v>11</x:v>
      </x:c>
      <x:c r="F2416" s="115" t="str">
        <x:v>Inspection physique</x:v>
      </x:c>
      <x:c r="G2416" s="115" t="str">
        <x:v>1 niveaux ; 32 pièces ; 248 segments de mur ; 0 transitions. Inspection physique ; architecture complète encore ouverte.</x:v>
      </x:c>
      <x:c r="H2416" s="115" t="str">
        <x:v>L 374 ; l 466 ; hauteur 18 m ; choix de composition auteur ; dimensions réelles à documenter</x:v>
      </x:c>
      <x:c r="I2416" s="115" t="str">
        <x:v>À équilibrer</x:v>
      </x:c>
      <x:c r="J2416" s="115" t="str">
        <x:v>Non</x:v>
      </x:c>
      <x:c r="K2416" s="115" t="str">
        <x:v>Pièces décrites, murs, portes, niveaux et mobilier inspectables à l’échelle. Volumes réservés, raccord au seed, butin, rencontres et services de campagne restent à terminer.</x:v>
      </x:c>
    </x:row>
    <x:row r="2417" ht="96" customHeight="1">
      <x:c r="A2417" s="115" t="str">
        <x:v>EXT-MONDE-T049-V12</x:v>
      </x:c>
      <x:c r="B2417" s="115" t="str">
        <x:v>EXT-MONDE-T049</x:v>
      </x:c>
      <x:c r="C2417" s="115" t="str">
        <x:v>Parcs attractions</x:v>
      </x:c>
      <x:c r="D2417" s="115" t="str">
        <x:v>Parc familial</x:v>
      </x:c>
      <x:c r="E2417" s="115" t="n">
        <x:v>12</x:v>
      </x:c>
      <x:c r="F2417" s="115" t="str">
        <x:v>Inspection physique</x:v>
      </x:c>
      <x:c r="G2417" s="115" t="str">
        <x:v>1 niveaux ; 32 pièces ; 248 segments de mur ; 0 transitions. Inspection physique ; architecture complète encore ouverte.</x:v>
      </x:c>
      <x:c r="H2417" s="115" t="str">
        <x:v>L 374 ; l 466 ; hauteur 18 m ; choix de composition auteur ; dimensions réelles à documenter</x:v>
      </x:c>
      <x:c r="I2417" s="115" t="str">
        <x:v>À équilibrer</x:v>
      </x:c>
      <x:c r="J2417" s="115" t="str">
        <x:v>Non</x:v>
      </x:c>
      <x:c r="K2417" s="115" t="str">
        <x:v>Pièces décrites, murs, portes, niveaux et mobilier inspectables à l’échelle. Volumes réservés, raccord au seed, butin, rencontres et services de campagne restent à terminer.</x:v>
      </x:c>
    </x:row>
    <x:row r="2418" ht="96" customHeight="1">
      <x:c r="A2418" s="115" t="str">
        <x:v>EXT-MONDE-T049-V13</x:v>
      </x:c>
      <x:c r="B2418" s="115" t="str">
        <x:v>EXT-MONDE-T049</x:v>
      </x:c>
      <x:c r="C2418" s="115" t="str">
        <x:v>Parcs attractions</x:v>
      </x:c>
      <x:c r="D2418" s="115" t="str">
        <x:v>Parc familial</x:v>
      </x:c>
      <x:c r="E2418" s="115" t="n">
        <x:v>13</x:v>
      </x:c>
      <x:c r="F2418" s="115" t="str">
        <x:v>Inspection physique</x:v>
      </x:c>
      <x:c r="G2418" s="115" t="str">
        <x:v>1 niveaux ; 32 pièces ; 248 segments de mur ; 0 transitions. Inspection physique ; architecture complète encore ouverte.</x:v>
      </x:c>
      <x:c r="H2418" s="115" t="str">
        <x:v>L 374 ; l 466 ; hauteur 18 m ; choix de composition auteur ; dimensions réelles à documenter</x:v>
      </x:c>
      <x:c r="I2418" s="115" t="str">
        <x:v>À équilibrer</x:v>
      </x:c>
      <x:c r="J2418" s="115" t="str">
        <x:v>Non</x:v>
      </x:c>
      <x:c r="K2418" s="115" t="str">
        <x:v>Pièces décrites, murs, portes, niveaux et mobilier inspectables à l’échelle. Volumes réservés, raccord au seed, butin, rencontres et services de campagne restent à terminer.</x:v>
      </x:c>
    </x:row>
    <x:row r="2419" ht="96" customHeight="1">
      <x:c r="A2419" s="115" t="str">
        <x:v>EXT-MONDE-T049-V14</x:v>
      </x:c>
      <x:c r="B2419" s="115" t="str">
        <x:v>EXT-MONDE-T049</x:v>
      </x:c>
      <x:c r="C2419" s="115" t="str">
        <x:v>Parcs attractions</x:v>
      </x:c>
      <x:c r="D2419" s="115" t="str">
        <x:v>Parc familial</x:v>
      </x:c>
      <x:c r="E2419" s="115" t="n">
        <x:v>14</x:v>
      </x:c>
      <x:c r="F2419" s="115" t="str">
        <x:v>Inspection physique</x:v>
      </x:c>
      <x:c r="G2419" s="115" t="str">
        <x:v>1 niveaux ; 32 pièces ; 248 segments de mur ; 0 transitions. Inspection physique ; architecture complète encore ouverte.</x:v>
      </x:c>
      <x:c r="H2419" s="115" t="str">
        <x:v>L 374 ; l 466 ; hauteur 18 m ; choix de composition auteur ; dimensions réelles à documenter</x:v>
      </x:c>
      <x:c r="I2419" s="115" t="str">
        <x:v>À équilibrer</x:v>
      </x:c>
      <x:c r="J2419" s="115" t="str">
        <x:v>Non</x:v>
      </x:c>
      <x:c r="K2419" s="115" t="str">
        <x:v>Pièces décrites, murs, portes, niveaux et mobilier inspectables à l’échelle. Volumes réservés, raccord au seed, butin, rencontres et services de campagne restent à terminer.</x:v>
      </x:c>
    </x:row>
    <x:row r="2420" ht="96" customHeight="1">
      <x:c r="A2420" s="115" t="str">
        <x:v>EXT-MONDE-T049-V15</x:v>
      </x:c>
      <x:c r="B2420" s="115" t="str">
        <x:v>EXT-MONDE-T049</x:v>
      </x:c>
      <x:c r="C2420" s="115" t="str">
        <x:v>Parcs attractions</x:v>
      </x:c>
      <x:c r="D2420" s="115" t="str">
        <x:v>Parc familial</x:v>
      </x:c>
      <x:c r="E2420" s="115" t="n">
        <x:v>15</x:v>
      </x:c>
      <x:c r="F2420" s="115" t="str">
        <x:v>Inspection physique</x:v>
      </x:c>
      <x:c r="G2420" s="115" t="str">
        <x:v>1 niveaux ; 32 pièces ; 248 segments de mur ; 0 transitions. Inspection physique ; architecture complète encore ouverte.</x:v>
      </x:c>
      <x:c r="H2420" s="115" t="str">
        <x:v>L 374 ; l 466 ; hauteur 18 m ; choix de composition auteur ; dimensions réelles à documenter</x:v>
      </x:c>
      <x:c r="I2420" s="115" t="str">
        <x:v>À équilibrer</x:v>
      </x:c>
      <x:c r="J2420" s="115" t="str">
        <x:v>Non</x:v>
      </x:c>
      <x:c r="K2420" s="115" t="str">
        <x:v>Pièces décrites, murs, portes, niveaux et mobilier inspectables à l’échelle. Volumes réservés, raccord au seed, butin, rencontres et services de campagne restent à terminer.</x:v>
      </x:c>
    </x:row>
    <x:row r="2421" ht="96" customHeight="1">
      <x:c r="A2421" s="115" t="str">
        <x:v>EXT-MONDE-T049-V16</x:v>
      </x:c>
      <x:c r="B2421" s="115" t="str">
        <x:v>EXT-MONDE-T049</x:v>
      </x:c>
      <x:c r="C2421" s="115" t="str">
        <x:v>Parcs attractions</x:v>
      </x:c>
      <x:c r="D2421" s="115" t="str">
        <x:v>Parc familial</x:v>
      </x:c>
      <x:c r="E2421" s="115" t="n">
        <x:v>16</x:v>
      </x:c>
      <x:c r="F2421" s="115" t="str">
        <x:v>Inspection physique</x:v>
      </x:c>
      <x:c r="G2421" s="115" t="str">
        <x:v>1 niveaux ; 32 pièces ; 248 segments de mur ; 0 transitions. Inspection physique ; architecture complète encore ouverte.</x:v>
      </x:c>
      <x:c r="H2421" s="115" t="str">
        <x:v>L 374 ; l 466 ; hauteur 18 m ; choix de composition auteur ; dimensions réelles à documenter</x:v>
      </x:c>
      <x:c r="I2421" s="115" t="str">
        <x:v>À équilibrer</x:v>
      </x:c>
      <x:c r="J2421" s="115" t="str">
        <x:v>Non</x:v>
      </x:c>
      <x:c r="K2421" s="115" t="str">
        <x:v>Pièces décrites, murs, portes, niveaux et mobilier inspectables à l’échelle. Volumes réservés, raccord au seed, butin, rencontres et services de campagne restent à terminer.</x:v>
      </x:c>
    </x:row>
    <x:row r="2422" ht="96" customHeight="1">
      <x:c r="A2422" s="115" t="str">
        <x:v>EXT-MONDE-T049-V17</x:v>
      </x:c>
      <x:c r="B2422" s="115" t="str">
        <x:v>EXT-MONDE-T049</x:v>
      </x:c>
      <x:c r="C2422" s="115" t="str">
        <x:v>Parcs attractions</x:v>
      </x:c>
      <x:c r="D2422" s="115" t="str">
        <x:v>Parc familial</x:v>
      </x:c>
      <x:c r="E2422" s="115" t="n">
        <x:v>17</x:v>
      </x:c>
      <x:c r="F2422" s="115" t="str">
        <x:v>Inspection physique</x:v>
      </x:c>
      <x:c r="G2422" s="115" t="str">
        <x:v>1 niveaux ; 32 pièces ; 248 segments de mur ; 0 transitions. Inspection physique ; architecture complète encore ouverte.</x:v>
      </x:c>
      <x:c r="H2422" s="115" t="str">
        <x:v>L 374 ; l 466 ; hauteur 18 m ; choix de composition auteur ; dimensions réelles à documenter</x:v>
      </x:c>
      <x:c r="I2422" s="115" t="str">
        <x:v>À équilibrer</x:v>
      </x:c>
      <x:c r="J2422" s="115" t="str">
        <x:v>Non</x:v>
      </x:c>
      <x:c r="K2422" s="115" t="str">
        <x:v>Pièces décrites, murs, portes, niveaux et mobilier inspectables à l’échelle. Volumes réservés, raccord au seed, butin, rencontres et services de campagne restent à terminer.</x:v>
      </x:c>
    </x:row>
    <x:row r="2423" ht="96" customHeight="1">
      <x:c r="A2423" s="115" t="str">
        <x:v>EXT-MONDE-T049-V18</x:v>
      </x:c>
      <x:c r="B2423" s="115" t="str">
        <x:v>EXT-MONDE-T049</x:v>
      </x:c>
      <x:c r="C2423" s="115" t="str">
        <x:v>Parcs attractions</x:v>
      </x:c>
      <x:c r="D2423" s="115" t="str">
        <x:v>Parc familial</x:v>
      </x:c>
      <x:c r="E2423" s="115" t="n">
        <x:v>18</x:v>
      </x:c>
      <x:c r="F2423" s="115" t="str">
        <x:v>Inspection physique</x:v>
      </x:c>
      <x:c r="G2423" s="115" t="str">
        <x:v>1 niveaux ; 32 pièces ; 248 segments de mur ; 0 transitions. Inspection physique ; architecture complète encore ouverte.</x:v>
      </x:c>
      <x:c r="H2423" s="115" t="str">
        <x:v>L 374 ; l 466 ; hauteur 18 m ; choix de composition auteur ; dimensions réelles à documenter</x:v>
      </x:c>
      <x:c r="I2423" s="115" t="str">
        <x:v>À équilibrer</x:v>
      </x:c>
      <x:c r="J2423" s="115" t="str">
        <x:v>Non</x:v>
      </x:c>
      <x:c r="K2423" s="115" t="str">
        <x:v>Pièces décrites, murs, portes, niveaux et mobilier inspectables à l’échelle. Volumes réservés, raccord au seed, butin, rencontres et services de campagne restent à terminer.</x:v>
      </x:c>
    </x:row>
    <x:row r="2424" ht="96" customHeight="1">
      <x:c r="A2424" s="115" t="str">
        <x:v>EXT-MONDE-T049-V19</x:v>
      </x:c>
      <x:c r="B2424" s="115" t="str">
        <x:v>EXT-MONDE-T049</x:v>
      </x:c>
      <x:c r="C2424" s="115" t="str">
        <x:v>Parcs attractions</x:v>
      </x:c>
      <x:c r="D2424" s="115" t="str">
        <x:v>Parc familial</x:v>
      </x:c>
      <x:c r="E2424" s="115" t="n">
        <x:v>19</x:v>
      </x:c>
      <x:c r="F2424" s="115" t="str">
        <x:v>Inspection physique</x:v>
      </x:c>
      <x:c r="G2424" s="115" t="str">
        <x:v>1 niveaux ; 32 pièces ; 248 segments de mur ; 0 transitions. Inspection physique ; architecture complète encore ouverte.</x:v>
      </x:c>
      <x:c r="H2424" s="115" t="str">
        <x:v>L 374 ; l 466 ; hauteur 18 m ; choix de composition auteur ; dimensions réelles à documenter</x:v>
      </x:c>
      <x:c r="I2424" s="115" t="str">
        <x:v>À équilibrer</x:v>
      </x:c>
      <x:c r="J2424" s="115" t="str">
        <x:v>Non</x:v>
      </x:c>
      <x:c r="K2424" s="115" t="str">
        <x:v>Pièces décrites, murs, portes, niveaux et mobilier inspectables à l’échelle. Volumes réservés, raccord au seed, butin, rencontres et services de campagne restent à terminer.</x:v>
      </x:c>
    </x:row>
    <x:row r="2425" ht="96" customHeight="1">
      <x:c r="A2425" s="115" t="str">
        <x:v>EXT-MONDE-T049-V20</x:v>
      </x:c>
      <x:c r="B2425" s="115" t="str">
        <x:v>EXT-MONDE-T049</x:v>
      </x:c>
      <x:c r="C2425" s="115" t="str">
        <x:v>Parcs attractions</x:v>
      </x:c>
      <x:c r="D2425" s="115" t="str">
        <x:v>Parc familial</x:v>
      </x:c>
      <x:c r="E2425" s="115" t="n">
        <x:v>20</x:v>
      </x:c>
      <x:c r="F2425" s="115" t="str">
        <x:v>Inspection physique</x:v>
      </x:c>
      <x:c r="G2425" s="115" t="str">
        <x:v>1 niveaux ; 32 pièces ; 248 segments de mur ; 0 transitions. Inspection physique ; architecture complète encore ouverte.</x:v>
      </x:c>
      <x:c r="H2425" s="115" t="str">
        <x:v>L 374 ; l 466 ; hauteur 18 m ; choix de composition auteur ; dimensions réelles à documenter</x:v>
      </x:c>
      <x:c r="I2425" s="115" t="str">
        <x:v>À équilibrer</x:v>
      </x:c>
      <x:c r="J2425" s="115" t="str">
        <x:v>Non</x:v>
      </x:c>
      <x:c r="K2425" s="115" t="str">
        <x:v>Pièces décrites, murs, portes, niveaux et mobilier inspectables à l’échelle. Volumes réservés, raccord au seed, butin, rencontres et services de campagne restent à terminer.</x:v>
      </x:c>
    </x:row>
    <x:row r="2426" ht="96" customHeight="1">
      <x:c r="A2426" s="115" t="str">
        <x:v>EXT-MONDE-T049-V21</x:v>
      </x:c>
      <x:c r="B2426" s="115" t="str">
        <x:v>EXT-MONDE-T049</x:v>
      </x:c>
      <x:c r="C2426" s="115" t="str">
        <x:v>Parcs attractions</x:v>
      </x:c>
      <x:c r="D2426" s="115" t="str">
        <x:v>Parc familial</x:v>
      </x:c>
      <x:c r="E2426" s="115" t="n">
        <x:v>21</x:v>
      </x:c>
      <x:c r="F2426" s="115" t="str">
        <x:v>Inspection physique</x:v>
      </x:c>
      <x:c r="G2426" s="115" t="str">
        <x:v>1 niveaux ; 32 pièces ; 248 segments de mur ; 0 transitions. Inspection physique ; architecture complète encore ouverte.</x:v>
      </x:c>
      <x:c r="H2426" s="115" t="str">
        <x:v>L 386 ; l 474 ; hauteur 18 m ; choix de composition auteur ; dimensions réelles à documenter</x:v>
      </x:c>
      <x:c r="I2426" s="115" t="str">
        <x:v>À équilibrer</x:v>
      </x:c>
      <x:c r="J2426" s="115" t="str">
        <x:v>Non</x:v>
      </x:c>
      <x:c r="K2426" s="115" t="str">
        <x:v>Pièces décrites, murs, portes, niveaux et mobilier inspectables à l’échelle. Volumes réservés, raccord au seed, butin, rencontres et services de campagne restent à terminer.</x:v>
      </x:c>
    </x:row>
    <x:row r="2427" ht="96" customHeight="1">
      <x:c r="A2427" s="115" t="str">
        <x:v>EXT-MONDE-T049-V22</x:v>
      </x:c>
      <x:c r="B2427" s="115" t="str">
        <x:v>EXT-MONDE-T049</x:v>
      </x:c>
      <x:c r="C2427" s="115" t="str">
        <x:v>Parcs attractions</x:v>
      </x:c>
      <x:c r="D2427" s="115" t="str">
        <x:v>Parc familial</x:v>
      </x:c>
      <x:c r="E2427" s="115" t="n">
        <x:v>22</x:v>
      </x:c>
      <x:c r="F2427" s="115" t="str">
        <x:v>Inspection physique</x:v>
      </x:c>
      <x:c r="G2427" s="115" t="str">
        <x:v>1 niveaux ; 32 pièces ; 248 segments de mur ; 0 transitions. Inspection physique ; architecture complète encore ouverte.</x:v>
      </x:c>
      <x:c r="H2427" s="115" t="str">
        <x:v>L 386 ; l 474 ; hauteur 18 m ; choix de composition auteur ; dimensions réelles à documenter</x:v>
      </x:c>
      <x:c r="I2427" s="115" t="str">
        <x:v>À équilibrer</x:v>
      </x:c>
      <x:c r="J2427" s="115" t="str">
        <x:v>Non</x:v>
      </x:c>
      <x:c r="K2427" s="115" t="str">
        <x:v>Pièces décrites, murs, portes, niveaux et mobilier inspectables à l’échelle. Volumes réservés, raccord au seed, butin, rencontres et services de campagne restent à terminer.</x:v>
      </x:c>
    </x:row>
    <x:row r="2428" ht="96" customHeight="1">
      <x:c r="A2428" s="115" t="str">
        <x:v>EXT-MONDE-T049-V23</x:v>
      </x:c>
      <x:c r="B2428" s="115" t="str">
        <x:v>EXT-MONDE-T049</x:v>
      </x:c>
      <x:c r="C2428" s="115" t="str">
        <x:v>Parcs attractions</x:v>
      </x:c>
      <x:c r="D2428" s="115" t="str">
        <x:v>Parc familial</x:v>
      </x:c>
      <x:c r="E2428" s="115" t="n">
        <x:v>23</x:v>
      </x:c>
      <x:c r="F2428" s="115" t="str">
        <x:v>Inspection physique</x:v>
      </x:c>
      <x:c r="G2428" s="115" t="str">
        <x:v>1 niveaux ; 32 pièces ; 248 segments de mur ; 0 transitions. Inspection physique ; architecture complète encore ouverte.</x:v>
      </x:c>
      <x:c r="H2428" s="115" t="str">
        <x:v>L 386 ; l 474 ; hauteur 18 m ; choix de composition auteur ; dimensions réelles à documenter</x:v>
      </x:c>
      <x:c r="I2428" s="115" t="str">
        <x:v>À équilibrer</x:v>
      </x:c>
      <x:c r="J2428" s="115" t="str">
        <x:v>Non</x:v>
      </x:c>
      <x:c r="K2428" s="115" t="str">
        <x:v>Pièces décrites, murs, portes, niveaux et mobilier inspectables à l’échelle. Volumes réservés, raccord au seed, butin, rencontres et services de campagne restent à terminer.</x:v>
      </x:c>
    </x:row>
    <x:row r="2429" ht="96" customHeight="1">
      <x:c r="A2429" s="115" t="str">
        <x:v>EXT-MONDE-T049-V24</x:v>
      </x:c>
      <x:c r="B2429" s="115" t="str">
        <x:v>EXT-MONDE-T049</x:v>
      </x:c>
      <x:c r="C2429" s="115" t="str">
        <x:v>Parcs attractions</x:v>
      </x:c>
      <x:c r="D2429" s="115" t="str">
        <x:v>Parc familial</x:v>
      </x:c>
      <x:c r="E2429" s="115" t="n">
        <x:v>24</x:v>
      </x:c>
      <x:c r="F2429" s="115" t="str">
        <x:v>Inspection physique</x:v>
      </x:c>
      <x:c r="G2429" s="115" t="str">
        <x:v>1 niveaux ; 32 pièces ; 248 segments de mur ; 0 transitions. Inspection physique ; architecture complète encore ouverte.</x:v>
      </x:c>
      <x:c r="H2429" s="115" t="str">
        <x:v>L 386 ; l 474 ; hauteur 18 m ; choix de composition auteur ; dimensions réelles à documenter</x:v>
      </x:c>
      <x:c r="I2429" s="115" t="str">
        <x:v>À équilibrer</x:v>
      </x:c>
      <x:c r="J2429" s="115" t="str">
        <x:v>Non</x:v>
      </x:c>
      <x:c r="K2429" s="115" t="str">
        <x:v>Pièces décrites, murs, portes, niveaux et mobilier inspectables à l’échelle. Volumes réservés, raccord au seed, butin, rencontres et services de campagne restent à terminer.</x:v>
      </x:c>
    </x:row>
    <x:row r="2430" ht="96" customHeight="1">
      <x:c r="A2430" s="115" t="str">
        <x:v>EXT-MONDE-T049-V25</x:v>
      </x:c>
      <x:c r="B2430" s="115" t="str">
        <x:v>EXT-MONDE-T049</x:v>
      </x:c>
      <x:c r="C2430" s="115" t="str">
        <x:v>Parcs attractions</x:v>
      </x:c>
      <x:c r="D2430" s="115" t="str">
        <x:v>Parc familial</x:v>
      </x:c>
      <x:c r="E2430" s="115" t="n">
        <x:v>25</x:v>
      </x:c>
      <x:c r="F2430" s="115" t="str">
        <x:v>Inspection physique</x:v>
      </x:c>
      <x:c r="G2430" s="115" t="str">
        <x:v>1 niveaux ; 32 pièces ; 248 segments de mur ; 0 transitions. Inspection physique ; architecture complète encore ouverte.</x:v>
      </x:c>
      <x:c r="H2430" s="115" t="str">
        <x:v>L 386 ; l 474 ; hauteur 18 m ; choix de composition auteur ; dimensions réelles à documenter</x:v>
      </x:c>
      <x:c r="I2430" s="115" t="str">
        <x:v>À équilibrer</x:v>
      </x:c>
      <x:c r="J2430" s="115" t="str">
        <x:v>Non</x:v>
      </x:c>
      <x:c r="K2430" s="115" t="str">
        <x:v>Pièces décrites, murs, portes, niveaux et mobilier inspectables à l’échelle. Volumes réservés, raccord au seed, butin, rencontres et services de campagne restent à terminer.</x:v>
      </x:c>
    </x:row>
    <x:row r="2431" ht="96" customHeight="1">
      <x:c r="A2431" s="115" t="str">
        <x:v>EXT-MONDE-T049-V26</x:v>
      </x:c>
      <x:c r="B2431" s="115" t="str">
        <x:v>EXT-MONDE-T049</x:v>
      </x:c>
      <x:c r="C2431" s="115" t="str">
        <x:v>Parcs attractions</x:v>
      </x:c>
      <x:c r="D2431" s="115" t="str">
        <x:v>Parc familial</x:v>
      </x:c>
      <x:c r="E2431" s="115" t="n">
        <x:v>26</x:v>
      </x:c>
      <x:c r="F2431" s="115" t="str">
        <x:v>Inspection physique</x:v>
      </x:c>
      <x:c r="G2431" s="115" t="str">
        <x:v>1 niveaux ; 32 pièces ; 248 segments de mur ; 0 transitions. Inspection physique ; architecture complète encore ouverte.</x:v>
      </x:c>
      <x:c r="H2431" s="115" t="str">
        <x:v>L 386 ; l 474 ; hauteur 18 m ; choix de composition auteur ; dimensions réelles à documenter</x:v>
      </x:c>
      <x:c r="I2431" s="115" t="str">
        <x:v>À équilibrer</x:v>
      </x:c>
      <x:c r="J2431" s="115" t="str">
        <x:v>Non</x:v>
      </x:c>
      <x:c r="K2431" s="115" t="str">
        <x:v>Pièces décrites, murs, portes, niveaux et mobilier inspectables à l’échelle. Volumes réservés, raccord au seed, butin, rencontres et services de campagne restent à terminer.</x:v>
      </x:c>
    </x:row>
    <x:row r="2432" ht="96" customHeight="1">
      <x:c r="A2432" s="115" t="str">
        <x:v>EXT-MONDE-T049-V27</x:v>
      </x:c>
      <x:c r="B2432" s="115" t="str">
        <x:v>EXT-MONDE-T049</x:v>
      </x:c>
      <x:c r="C2432" s="115" t="str">
        <x:v>Parcs attractions</x:v>
      </x:c>
      <x:c r="D2432" s="115" t="str">
        <x:v>Parc familial</x:v>
      </x:c>
      <x:c r="E2432" s="115" t="n">
        <x:v>27</x:v>
      </x:c>
      <x:c r="F2432" s="115" t="str">
        <x:v>Inspection physique</x:v>
      </x:c>
      <x:c r="G2432" s="115" t="str">
        <x:v>1 niveaux ; 32 pièces ; 248 segments de mur ; 0 transitions. Inspection physique ; architecture complète encore ouverte.</x:v>
      </x:c>
      <x:c r="H2432" s="115" t="str">
        <x:v>L 386 ; l 474 ; hauteur 18 m ; choix de composition auteur ; dimensions réelles à documenter</x:v>
      </x:c>
      <x:c r="I2432" s="115" t="str">
        <x:v>À équilibrer</x:v>
      </x:c>
      <x:c r="J2432" s="115" t="str">
        <x:v>Non</x:v>
      </x:c>
      <x:c r="K2432" s="115" t="str">
        <x:v>Pièces décrites, murs, portes, niveaux et mobilier inspectables à l’échelle. Volumes réservés, raccord au seed, butin, rencontres et services de campagne restent à terminer.</x:v>
      </x:c>
    </x:row>
    <x:row r="2433" ht="96" customHeight="1">
      <x:c r="A2433" s="115" t="str">
        <x:v>EXT-MONDE-T049-V28</x:v>
      </x:c>
      <x:c r="B2433" s="115" t="str">
        <x:v>EXT-MONDE-T049</x:v>
      </x:c>
      <x:c r="C2433" s="115" t="str">
        <x:v>Parcs attractions</x:v>
      </x:c>
      <x:c r="D2433" s="115" t="str">
        <x:v>Parc familial</x:v>
      </x:c>
      <x:c r="E2433" s="115" t="n">
        <x:v>28</x:v>
      </x:c>
      <x:c r="F2433" s="115" t="str">
        <x:v>Inspection physique</x:v>
      </x:c>
      <x:c r="G2433" s="115" t="str">
        <x:v>1 niveaux ; 32 pièces ; 248 segments de mur ; 0 transitions. Inspection physique ; architecture complète encore ouverte.</x:v>
      </x:c>
      <x:c r="H2433" s="115" t="str">
        <x:v>L 386 ; l 474 ; hauteur 18 m ; choix de composition auteur ; dimensions réelles à documenter</x:v>
      </x:c>
      <x:c r="I2433" s="115" t="str">
        <x:v>À équilibrer</x:v>
      </x:c>
      <x:c r="J2433" s="115" t="str">
        <x:v>Non</x:v>
      </x:c>
      <x:c r="K2433" s="115" t="str">
        <x:v>Pièces décrites, murs, portes, niveaux et mobilier inspectables à l’échelle. Volumes réservés, raccord au seed, butin, rencontres et services de campagne restent à terminer.</x:v>
      </x:c>
    </x:row>
    <x:row r="2434" ht="96" customHeight="1">
      <x:c r="A2434" s="115" t="str">
        <x:v>EXT-MONDE-T049-V29</x:v>
      </x:c>
      <x:c r="B2434" s="115" t="str">
        <x:v>EXT-MONDE-T049</x:v>
      </x:c>
      <x:c r="C2434" s="115" t="str">
        <x:v>Parcs attractions</x:v>
      </x:c>
      <x:c r="D2434" s="115" t="str">
        <x:v>Parc familial</x:v>
      </x:c>
      <x:c r="E2434" s="115" t="n">
        <x:v>29</x:v>
      </x:c>
      <x:c r="F2434" s="115" t="str">
        <x:v>Inspection physique</x:v>
      </x:c>
      <x:c r="G2434" s="115" t="str">
        <x:v>1 niveaux ; 32 pièces ; 248 segments de mur ; 0 transitions. Inspection physique ; architecture complète encore ouverte.</x:v>
      </x:c>
      <x:c r="H2434" s="115" t="str">
        <x:v>L 386 ; l 474 ; hauteur 18 m ; choix de composition auteur ; dimensions réelles à documenter</x:v>
      </x:c>
      <x:c r="I2434" s="115" t="str">
        <x:v>À équilibrer</x:v>
      </x:c>
      <x:c r="J2434" s="115" t="str">
        <x:v>Non</x:v>
      </x:c>
      <x:c r="K2434" s="115" t="str">
        <x:v>Pièces décrites, murs, portes, niveaux et mobilier inspectables à l’échelle. Volumes réservés, raccord au seed, butin, rencontres et services de campagne restent à terminer.</x:v>
      </x:c>
    </x:row>
    <x:row r="2435" ht="96" customHeight="1">
      <x:c r="A2435" s="115" t="str">
        <x:v>EXT-MONDE-T049-V30</x:v>
      </x:c>
      <x:c r="B2435" s="115" t="str">
        <x:v>EXT-MONDE-T049</x:v>
      </x:c>
      <x:c r="C2435" s="115" t="str">
        <x:v>Parcs attractions</x:v>
      </x:c>
      <x:c r="D2435" s="115" t="str">
        <x:v>Parc familial</x:v>
      </x:c>
      <x:c r="E2435" s="115" t="n">
        <x:v>30</x:v>
      </x:c>
      <x:c r="F2435" s="115" t="str">
        <x:v>Inspection physique</x:v>
      </x:c>
      <x:c r="G2435" s="115" t="str">
        <x:v>1 niveaux ; 32 pièces ; 248 segments de mur ; 0 transitions. Inspection physique ; architecture complète encore ouverte.</x:v>
      </x:c>
      <x:c r="H2435" s="115" t="str">
        <x:v>L 386 ; l 474 ; hauteur 18 m ; choix de composition auteur ; dimensions réelles à documenter</x:v>
      </x:c>
      <x:c r="I2435" s="115" t="str">
        <x:v>À équilibrer</x:v>
      </x:c>
      <x:c r="J2435" s="115" t="str">
        <x:v>Non</x:v>
      </x:c>
      <x:c r="K2435" s="115" t="str">
        <x:v>Pièces décrites, murs, portes, niveaux et mobilier inspectables à l’échelle. Volumes réservés, raccord au seed, butin, rencontres et services de campagne restent à terminer.</x:v>
      </x:c>
    </x:row>
    <x:row r="2436" ht="96" customHeight="1">
      <x:c r="A2436" s="115" t="str">
        <x:v>EXT-MONDE-T049-V31</x:v>
      </x:c>
      <x:c r="B2436" s="115" t="str">
        <x:v>EXT-MONDE-T049</x:v>
      </x:c>
      <x:c r="C2436" s="115" t="str">
        <x:v>Parcs attractions</x:v>
      </x:c>
      <x:c r="D2436" s="115" t="str">
        <x:v>Parc familial</x:v>
      </x:c>
      <x:c r="E2436" s="115" t="n">
        <x:v>31</x:v>
      </x:c>
      <x:c r="F2436" s="115" t="str">
        <x:v>Inspection physique</x:v>
      </x:c>
      <x:c r="G2436" s="115" t="str">
        <x:v>1 niveaux ; 32 pièces ; 248 segments de mur ; 0 transitions. Inspection physique ; architecture complète encore ouverte.</x:v>
      </x:c>
      <x:c r="H2436" s="115" t="str">
        <x:v>L 398 ; l 482 ; hauteur 18 m ; choix de composition auteur ; dimensions réelles à documenter</x:v>
      </x:c>
      <x:c r="I2436" s="115" t="str">
        <x:v>À équilibrer</x:v>
      </x:c>
      <x:c r="J2436" s="115" t="str">
        <x:v>Non</x:v>
      </x:c>
      <x:c r="K2436" s="115" t="str">
        <x:v>Pièces décrites, murs, portes, niveaux et mobilier inspectables à l’échelle. Volumes réservés, raccord au seed, butin, rencontres et services de campagne restent à terminer.</x:v>
      </x:c>
    </x:row>
    <x:row r="2437" ht="96" customHeight="1">
      <x:c r="A2437" s="115" t="str">
        <x:v>EXT-MONDE-T049-V32</x:v>
      </x:c>
      <x:c r="B2437" s="115" t="str">
        <x:v>EXT-MONDE-T049</x:v>
      </x:c>
      <x:c r="C2437" s="115" t="str">
        <x:v>Parcs attractions</x:v>
      </x:c>
      <x:c r="D2437" s="115" t="str">
        <x:v>Parc familial</x:v>
      </x:c>
      <x:c r="E2437" s="115" t="n">
        <x:v>32</x:v>
      </x:c>
      <x:c r="F2437" s="115" t="str">
        <x:v>Inspection physique</x:v>
      </x:c>
      <x:c r="G2437" s="115" t="str">
        <x:v>1 niveaux ; 32 pièces ; 248 segments de mur ; 0 transitions. Inspection physique ; architecture complète encore ouverte.</x:v>
      </x:c>
      <x:c r="H2437" s="115" t="str">
        <x:v>L 398 ; l 482 ; hauteur 18 m ; choix de composition auteur ; dimensions réelles à documenter</x:v>
      </x:c>
      <x:c r="I2437" s="115" t="str">
        <x:v>À équilibrer</x:v>
      </x:c>
      <x:c r="J2437" s="115" t="str">
        <x:v>Non</x:v>
      </x:c>
      <x:c r="K2437" s="115" t="str">
        <x:v>Pièces décrites, murs, portes, niveaux et mobilier inspectables à l’échelle. Volumes réservés, raccord au seed, butin, rencontres et services de campagne restent à terminer.</x:v>
      </x:c>
    </x:row>
    <x:row r="2438" ht="96" customHeight="1">
      <x:c r="A2438" s="115" t="str">
        <x:v>EXT-MONDE-T049-V33</x:v>
      </x:c>
      <x:c r="B2438" s="115" t="str">
        <x:v>EXT-MONDE-T049</x:v>
      </x:c>
      <x:c r="C2438" s="115" t="str">
        <x:v>Parcs attractions</x:v>
      </x:c>
      <x:c r="D2438" s="115" t="str">
        <x:v>Parc familial</x:v>
      </x:c>
      <x:c r="E2438" s="115" t="n">
        <x:v>33</x:v>
      </x:c>
      <x:c r="F2438" s="115" t="str">
        <x:v>Inspection physique</x:v>
      </x:c>
      <x:c r="G2438" s="115" t="str">
        <x:v>1 niveaux ; 32 pièces ; 248 segments de mur ; 0 transitions. Inspection physique ; architecture complète encore ouverte.</x:v>
      </x:c>
      <x:c r="H2438" s="115" t="str">
        <x:v>L 398 ; l 482 ; hauteur 18 m ; choix de composition auteur ; dimensions réelles à documenter</x:v>
      </x:c>
      <x:c r="I2438" s="115" t="str">
        <x:v>À équilibrer</x:v>
      </x:c>
      <x:c r="J2438" s="115" t="str">
        <x:v>Non</x:v>
      </x:c>
      <x:c r="K2438" s="115" t="str">
        <x:v>Pièces décrites, murs, portes, niveaux et mobilier inspectables à l’échelle. Volumes réservés, raccord au seed, butin, rencontres et services de campagne restent à terminer.</x:v>
      </x:c>
    </x:row>
    <x:row r="2439" ht="96" customHeight="1">
      <x:c r="A2439" s="115" t="str">
        <x:v>EXT-MONDE-T049-V34</x:v>
      </x:c>
      <x:c r="B2439" s="115" t="str">
        <x:v>EXT-MONDE-T049</x:v>
      </x:c>
      <x:c r="C2439" s="115" t="str">
        <x:v>Parcs attractions</x:v>
      </x:c>
      <x:c r="D2439" s="115" t="str">
        <x:v>Parc familial</x:v>
      </x:c>
      <x:c r="E2439" s="115" t="n">
        <x:v>34</x:v>
      </x:c>
      <x:c r="F2439" s="115" t="str">
        <x:v>Inspection physique</x:v>
      </x:c>
      <x:c r="G2439" s="115" t="str">
        <x:v>1 niveaux ; 32 pièces ; 248 segments de mur ; 0 transitions. Inspection physique ; architecture complète encore ouverte.</x:v>
      </x:c>
      <x:c r="H2439" s="115" t="str">
        <x:v>L 398 ; l 482 ; hauteur 18 m ; choix de composition auteur ; dimensions réelles à documenter</x:v>
      </x:c>
      <x:c r="I2439" s="115" t="str">
        <x:v>À équilibrer</x:v>
      </x:c>
      <x:c r="J2439" s="115" t="str">
        <x:v>Non</x:v>
      </x:c>
      <x:c r="K2439" s="115" t="str">
        <x:v>Pièces décrites, murs, portes, niveaux et mobilier inspectables à l’échelle. Volumes réservés, raccord au seed, butin, rencontres et services de campagne restent à terminer.</x:v>
      </x:c>
    </x:row>
    <x:row r="2440" ht="96" customHeight="1">
      <x:c r="A2440" s="115" t="str">
        <x:v>EXT-MONDE-T049-V35</x:v>
      </x:c>
      <x:c r="B2440" s="115" t="str">
        <x:v>EXT-MONDE-T049</x:v>
      </x:c>
      <x:c r="C2440" s="115" t="str">
        <x:v>Parcs attractions</x:v>
      </x:c>
      <x:c r="D2440" s="115" t="str">
        <x:v>Parc familial</x:v>
      </x:c>
      <x:c r="E2440" s="115" t="n">
        <x:v>35</x:v>
      </x:c>
      <x:c r="F2440" s="115" t="str">
        <x:v>Inspection physique</x:v>
      </x:c>
      <x:c r="G2440" s="115" t="str">
        <x:v>1 niveaux ; 32 pièces ; 248 segments de mur ; 0 transitions. Inspection physique ; architecture complète encore ouverte.</x:v>
      </x:c>
      <x:c r="H2440" s="115" t="str">
        <x:v>L 398 ; l 482 ; hauteur 18 m ; choix de composition auteur ; dimensions réelles à documenter</x:v>
      </x:c>
      <x:c r="I2440" s="115" t="str">
        <x:v>À équilibrer</x:v>
      </x:c>
      <x:c r="J2440" s="115" t="str">
        <x:v>Non</x:v>
      </x:c>
      <x:c r="K2440" s="115" t="str">
        <x:v>Pièces décrites, murs, portes, niveaux et mobilier inspectables à l’échelle. Volumes réservés, raccord au seed, butin, rencontres et services de campagne restent à terminer.</x:v>
      </x:c>
    </x:row>
    <x:row r="2441" ht="96" customHeight="1">
      <x:c r="A2441" s="115" t="str">
        <x:v>EXT-MONDE-T049-V36</x:v>
      </x:c>
      <x:c r="B2441" s="115" t="str">
        <x:v>EXT-MONDE-T049</x:v>
      </x:c>
      <x:c r="C2441" s="115" t="str">
        <x:v>Parcs attractions</x:v>
      </x:c>
      <x:c r="D2441" s="115" t="str">
        <x:v>Parc familial</x:v>
      </x:c>
      <x:c r="E2441" s="115" t="n">
        <x:v>36</x:v>
      </x:c>
      <x:c r="F2441" s="115" t="str">
        <x:v>Inspection physique</x:v>
      </x:c>
      <x:c r="G2441" s="115" t="str">
        <x:v>1 niveaux ; 32 pièces ; 248 segments de mur ; 0 transitions. Inspection physique ; architecture complète encore ouverte.</x:v>
      </x:c>
      <x:c r="H2441" s="115" t="str">
        <x:v>L 398 ; l 482 ; hauteur 18 m ; choix de composition auteur ; dimensions réelles à documenter</x:v>
      </x:c>
      <x:c r="I2441" s="115" t="str">
        <x:v>À équilibrer</x:v>
      </x:c>
      <x:c r="J2441" s="115" t="str">
        <x:v>Non</x:v>
      </x:c>
      <x:c r="K2441" s="115" t="str">
        <x:v>Pièces décrites, murs, portes, niveaux et mobilier inspectables à l’échelle. Volumes réservés, raccord au seed, butin, rencontres et services de campagne restent à terminer.</x:v>
      </x:c>
    </x:row>
    <x:row r="2442" ht="96" customHeight="1">
      <x:c r="A2442" s="115" t="str">
        <x:v>EXT-MONDE-T049-V37</x:v>
      </x:c>
      <x:c r="B2442" s="115" t="str">
        <x:v>EXT-MONDE-T049</x:v>
      </x:c>
      <x:c r="C2442" s="115" t="str">
        <x:v>Parcs attractions</x:v>
      </x:c>
      <x:c r="D2442" s="115" t="str">
        <x:v>Parc familial</x:v>
      </x:c>
      <x:c r="E2442" s="115" t="n">
        <x:v>37</x:v>
      </x:c>
      <x:c r="F2442" s="115" t="str">
        <x:v>Inspection physique</x:v>
      </x:c>
      <x:c r="G2442" s="115" t="str">
        <x:v>1 niveaux ; 32 pièces ; 248 segments de mur ; 0 transitions. Inspection physique ; architecture complète encore ouverte.</x:v>
      </x:c>
      <x:c r="H2442" s="115" t="str">
        <x:v>L 398 ; l 482 ; hauteur 18 m ; choix de composition auteur ; dimensions réelles à documenter</x:v>
      </x:c>
      <x:c r="I2442" s="115" t="str">
        <x:v>À équilibrer</x:v>
      </x:c>
      <x:c r="J2442" s="115" t="str">
        <x:v>Non</x:v>
      </x:c>
      <x:c r="K2442" s="115" t="str">
        <x:v>Pièces décrites, murs, portes, niveaux et mobilier inspectables à l’échelle. Volumes réservés, raccord au seed, butin, rencontres et services de campagne restent à terminer.</x:v>
      </x:c>
    </x:row>
    <x:row r="2443" ht="96" customHeight="1">
      <x:c r="A2443" s="115" t="str">
        <x:v>EXT-MONDE-T049-V38</x:v>
      </x:c>
      <x:c r="B2443" s="115" t="str">
        <x:v>EXT-MONDE-T049</x:v>
      </x:c>
      <x:c r="C2443" s="115" t="str">
        <x:v>Parcs attractions</x:v>
      </x:c>
      <x:c r="D2443" s="115" t="str">
        <x:v>Parc familial</x:v>
      </x:c>
      <x:c r="E2443" s="115" t="n">
        <x:v>38</x:v>
      </x:c>
      <x:c r="F2443" s="115" t="str">
        <x:v>Inspection physique</x:v>
      </x:c>
      <x:c r="G2443" s="115" t="str">
        <x:v>1 niveaux ; 32 pièces ; 248 segments de mur ; 0 transitions. Inspection physique ; architecture complète encore ouverte.</x:v>
      </x:c>
      <x:c r="H2443" s="115" t="str">
        <x:v>L 398 ; l 482 ; hauteur 18 m ; choix de composition auteur ; dimensions réelles à documenter</x:v>
      </x:c>
      <x:c r="I2443" s="115" t="str">
        <x:v>À équilibrer</x:v>
      </x:c>
      <x:c r="J2443" s="115" t="str">
        <x:v>Non</x:v>
      </x:c>
      <x:c r="K2443" s="115" t="str">
        <x:v>Pièces décrites, murs, portes, niveaux et mobilier inspectables à l’échelle. Volumes réservés, raccord au seed, butin, rencontres et services de campagne restent à terminer.</x:v>
      </x:c>
    </x:row>
    <x:row r="2444" ht="96" customHeight="1">
      <x:c r="A2444" s="115" t="str">
        <x:v>EXT-MONDE-T049-V39</x:v>
      </x:c>
      <x:c r="B2444" s="115" t="str">
        <x:v>EXT-MONDE-T049</x:v>
      </x:c>
      <x:c r="C2444" s="115" t="str">
        <x:v>Parcs attractions</x:v>
      </x:c>
      <x:c r="D2444" s="115" t="str">
        <x:v>Parc familial</x:v>
      </x:c>
      <x:c r="E2444" s="115" t="n">
        <x:v>39</x:v>
      </x:c>
      <x:c r="F2444" s="115" t="str">
        <x:v>Inspection physique</x:v>
      </x:c>
      <x:c r="G2444" s="115" t="str">
        <x:v>1 niveaux ; 32 pièces ; 248 segments de mur ; 0 transitions. Inspection physique ; architecture complète encore ouverte.</x:v>
      </x:c>
      <x:c r="H2444" s="115" t="str">
        <x:v>L 398 ; l 482 ; hauteur 18 m ; choix de composition auteur ; dimensions réelles à documenter</x:v>
      </x:c>
      <x:c r="I2444" s="115" t="str">
        <x:v>À équilibrer</x:v>
      </x:c>
      <x:c r="J2444" s="115" t="str">
        <x:v>Non</x:v>
      </x:c>
      <x:c r="K2444" s="115" t="str">
        <x:v>Pièces décrites, murs, portes, niveaux et mobilier inspectables à l’échelle. Volumes réservés, raccord au seed, butin, rencontres et services de campagne restent à terminer.</x:v>
      </x:c>
    </x:row>
    <x:row r="2445" ht="96" customHeight="1">
      <x:c r="A2445" s="115" t="str">
        <x:v>EXT-MONDE-T049-V40</x:v>
      </x:c>
      <x:c r="B2445" s="115" t="str">
        <x:v>EXT-MONDE-T049</x:v>
      </x:c>
      <x:c r="C2445" s="115" t="str">
        <x:v>Parcs attractions</x:v>
      </x:c>
      <x:c r="D2445" s="115" t="str">
        <x:v>Parc familial</x:v>
      </x:c>
      <x:c r="E2445" s="115" t="n">
        <x:v>40</x:v>
      </x:c>
      <x:c r="F2445" s="115" t="str">
        <x:v>Inspection physique</x:v>
      </x:c>
      <x:c r="G2445" s="115" t="str">
        <x:v>1 niveaux ; 32 pièces ; 248 segments de mur ; 0 transitions. Inspection physique ; architecture complète encore ouverte.</x:v>
      </x:c>
      <x:c r="H2445" s="115" t="str">
        <x:v>L 398 ; l 482 ; hauteur 18 m ; choix de composition auteur ; dimensions réelles à documenter</x:v>
      </x:c>
      <x:c r="I2445" s="115" t="str">
        <x:v>À équilibrer</x:v>
      </x:c>
      <x:c r="J2445" s="115" t="str">
        <x:v>Non</x:v>
      </x:c>
      <x:c r="K2445" s="115" t="str">
        <x:v>Pièces décrites, murs, portes, niveaux et mobilier inspectables à l’échelle. Volumes réservés, raccord au seed, butin, rencontres et services de campagne restent à terminer.</x:v>
      </x:c>
    </x:row>
    <x:row r="2446" ht="96" customHeight="1">
      <x:c r="A2446" s="115" t="str">
        <x:v>EXT-MONDE-T049-V41</x:v>
      </x:c>
      <x:c r="B2446" s="115" t="str">
        <x:v>EXT-MONDE-T049</x:v>
      </x:c>
      <x:c r="C2446" s="115" t="str">
        <x:v>Parcs attractions</x:v>
      </x:c>
      <x:c r="D2446" s="115" t="str">
        <x:v>Parc familial</x:v>
      </x:c>
      <x:c r="E2446" s="115" t="n">
        <x:v>41</x:v>
      </x:c>
      <x:c r="F2446" s="115" t="str">
        <x:v>Inspection physique</x:v>
      </x:c>
      <x:c r="G2446" s="115" t="str">
        <x:v>1 niveaux ; 32 pièces ; 248 segments de mur ; 0 transitions. Inspection physique ; architecture complète encore ouverte.</x:v>
      </x:c>
      <x:c r="H2446" s="115" t="str">
        <x:v>L 410 ; l 490 ; hauteur 18 m ; choix de composition auteur ; dimensions réelles à documenter</x:v>
      </x:c>
      <x:c r="I2446" s="115" t="str">
        <x:v>À équilibrer</x:v>
      </x:c>
      <x:c r="J2446" s="115" t="str">
        <x:v>Non</x:v>
      </x:c>
      <x:c r="K2446" s="115" t="str">
        <x:v>Pièces décrites, murs, portes, niveaux et mobilier inspectables à l’échelle. Volumes réservés, raccord au seed, butin, rencontres et services de campagne restent à terminer.</x:v>
      </x:c>
    </x:row>
    <x:row r="2447" ht="96" customHeight="1">
      <x:c r="A2447" s="115" t="str">
        <x:v>EXT-MONDE-T049-V42</x:v>
      </x:c>
      <x:c r="B2447" s="115" t="str">
        <x:v>EXT-MONDE-T049</x:v>
      </x:c>
      <x:c r="C2447" s="115" t="str">
        <x:v>Parcs attractions</x:v>
      </x:c>
      <x:c r="D2447" s="115" t="str">
        <x:v>Parc familial</x:v>
      </x:c>
      <x:c r="E2447" s="115" t="n">
        <x:v>42</x:v>
      </x:c>
      <x:c r="F2447" s="115" t="str">
        <x:v>Inspection physique</x:v>
      </x:c>
      <x:c r="G2447" s="115" t="str">
        <x:v>1 niveaux ; 32 pièces ; 248 segments de mur ; 0 transitions. Inspection physique ; architecture complète encore ouverte.</x:v>
      </x:c>
      <x:c r="H2447" s="115" t="str">
        <x:v>L 410 ; l 490 ; hauteur 18 m ; choix de composition auteur ; dimensions réelles à documenter</x:v>
      </x:c>
      <x:c r="I2447" s="115" t="str">
        <x:v>À équilibrer</x:v>
      </x:c>
      <x:c r="J2447" s="115" t="str">
        <x:v>Non</x:v>
      </x:c>
      <x:c r="K2447" s="115" t="str">
        <x:v>Pièces décrites, murs, portes, niveaux et mobilier inspectables à l’échelle. Volumes réservés, raccord au seed, butin, rencontres et services de campagne restent à terminer.</x:v>
      </x:c>
    </x:row>
    <x:row r="2448" ht="96" customHeight="1">
      <x:c r="A2448" s="115" t="str">
        <x:v>EXT-MONDE-T049-V43</x:v>
      </x:c>
      <x:c r="B2448" s="115" t="str">
        <x:v>EXT-MONDE-T049</x:v>
      </x:c>
      <x:c r="C2448" s="115" t="str">
        <x:v>Parcs attractions</x:v>
      </x:c>
      <x:c r="D2448" s="115" t="str">
        <x:v>Parc familial</x:v>
      </x:c>
      <x:c r="E2448" s="115" t="n">
        <x:v>43</x:v>
      </x:c>
      <x:c r="F2448" s="115" t="str">
        <x:v>Inspection physique</x:v>
      </x:c>
      <x:c r="G2448" s="115" t="str">
        <x:v>1 niveaux ; 32 pièces ; 248 segments de mur ; 0 transitions. Inspection physique ; architecture complète encore ouverte.</x:v>
      </x:c>
      <x:c r="H2448" s="115" t="str">
        <x:v>L 410 ; l 490 ; hauteur 18 m ; choix de composition auteur ; dimensions réelles à documenter</x:v>
      </x:c>
      <x:c r="I2448" s="115" t="str">
        <x:v>À équilibrer</x:v>
      </x:c>
      <x:c r="J2448" s="115" t="str">
        <x:v>Non</x:v>
      </x:c>
      <x:c r="K2448" s="115" t="str">
        <x:v>Pièces décrites, murs, portes, niveaux et mobilier inspectables à l’échelle. Volumes réservés, raccord au seed, butin, rencontres et services de campagne restent à terminer.</x:v>
      </x:c>
    </x:row>
    <x:row r="2449" ht="96" customHeight="1">
      <x:c r="A2449" s="115" t="str">
        <x:v>EXT-MONDE-T049-V44</x:v>
      </x:c>
      <x:c r="B2449" s="115" t="str">
        <x:v>EXT-MONDE-T049</x:v>
      </x:c>
      <x:c r="C2449" s="115" t="str">
        <x:v>Parcs attractions</x:v>
      </x:c>
      <x:c r="D2449" s="115" t="str">
        <x:v>Parc familial</x:v>
      </x:c>
      <x:c r="E2449" s="115" t="n">
        <x:v>44</x:v>
      </x:c>
      <x:c r="F2449" s="115" t="str">
        <x:v>Inspection physique</x:v>
      </x:c>
      <x:c r="G2449" s="115" t="str">
        <x:v>1 niveaux ; 32 pièces ; 248 segments de mur ; 0 transitions. Inspection physique ; architecture complète encore ouverte.</x:v>
      </x:c>
      <x:c r="H2449" s="115" t="str">
        <x:v>L 410 ; l 490 ; hauteur 18 m ; choix de composition auteur ; dimensions réelles à documenter</x:v>
      </x:c>
      <x:c r="I2449" s="115" t="str">
        <x:v>À équilibrer</x:v>
      </x:c>
      <x:c r="J2449" s="115" t="str">
        <x:v>Non</x:v>
      </x:c>
      <x:c r="K2449" s="115" t="str">
        <x:v>Pièces décrites, murs, portes, niveaux et mobilier inspectables à l’échelle. Volumes réservés, raccord au seed, butin, rencontres et services de campagne restent à terminer.</x:v>
      </x:c>
    </x:row>
    <x:row r="2450" ht="96" customHeight="1">
      <x:c r="A2450" s="115" t="str">
        <x:v>EXT-MONDE-T049-V45</x:v>
      </x:c>
      <x:c r="B2450" s="115" t="str">
        <x:v>EXT-MONDE-T049</x:v>
      </x:c>
      <x:c r="C2450" s="115" t="str">
        <x:v>Parcs attractions</x:v>
      </x:c>
      <x:c r="D2450" s="115" t="str">
        <x:v>Parc familial</x:v>
      </x:c>
      <x:c r="E2450" s="115" t="n">
        <x:v>45</x:v>
      </x:c>
      <x:c r="F2450" s="115" t="str">
        <x:v>Inspection physique</x:v>
      </x:c>
      <x:c r="G2450" s="115" t="str">
        <x:v>1 niveaux ; 32 pièces ; 248 segments de mur ; 0 transitions. Inspection physique ; architecture complète encore ouverte.</x:v>
      </x:c>
      <x:c r="H2450" s="115" t="str">
        <x:v>L 410 ; l 490 ; hauteur 18 m ; choix de composition auteur ; dimensions réelles à documenter</x:v>
      </x:c>
      <x:c r="I2450" s="115" t="str">
        <x:v>À équilibrer</x:v>
      </x:c>
      <x:c r="J2450" s="115" t="str">
        <x:v>Non</x:v>
      </x:c>
      <x:c r="K2450" s="115" t="str">
        <x:v>Pièces décrites, murs, portes, niveaux et mobilier inspectables à l’échelle. Volumes réservés, raccord au seed, butin, rencontres et services de campagne restent à terminer.</x:v>
      </x:c>
    </x:row>
    <x:row r="2451" ht="96" customHeight="1">
      <x:c r="A2451" s="115" t="str">
        <x:v>EXT-MONDE-T049-V46</x:v>
      </x:c>
      <x:c r="B2451" s="115" t="str">
        <x:v>EXT-MONDE-T049</x:v>
      </x:c>
      <x:c r="C2451" s="115" t="str">
        <x:v>Parcs attractions</x:v>
      </x:c>
      <x:c r="D2451" s="115" t="str">
        <x:v>Parc familial</x:v>
      </x:c>
      <x:c r="E2451" s="115" t="n">
        <x:v>46</x:v>
      </x:c>
      <x:c r="F2451" s="115" t="str">
        <x:v>Inspection physique</x:v>
      </x:c>
      <x:c r="G2451" s="115" t="str">
        <x:v>1 niveaux ; 32 pièces ; 248 segments de mur ; 0 transitions. Inspection physique ; architecture complète encore ouverte.</x:v>
      </x:c>
      <x:c r="H2451" s="115" t="str">
        <x:v>L 410 ; l 490 ; hauteur 18 m ; choix de composition auteur ; dimensions réelles à documenter</x:v>
      </x:c>
      <x:c r="I2451" s="115" t="str">
        <x:v>À équilibrer</x:v>
      </x:c>
      <x:c r="J2451" s="115" t="str">
        <x:v>Non</x:v>
      </x:c>
      <x:c r="K2451" s="115" t="str">
        <x:v>Pièces décrites, murs, portes, niveaux et mobilier inspectables à l’échelle. Volumes réservés, raccord au seed, butin, rencontres et services de campagne restent à terminer.</x:v>
      </x:c>
    </x:row>
    <x:row r="2452" ht="96" customHeight="1">
      <x:c r="A2452" s="115" t="str">
        <x:v>EXT-MONDE-T049-V47</x:v>
      </x:c>
      <x:c r="B2452" s="115" t="str">
        <x:v>EXT-MONDE-T049</x:v>
      </x:c>
      <x:c r="C2452" s="115" t="str">
        <x:v>Parcs attractions</x:v>
      </x:c>
      <x:c r="D2452" s="115" t="str">
        <x:v>Parc familial</x:v>
      </x:c>
      <x:c r="E2452" s="115" t="n">
        <x:v>47</x:v>
      </x:c>
      <x:c r="F2452" s="115" t="str">
        <x:v>Inspection physique</x:v>
      </x:c>
      <x:c r="G2452" s="115" t="str">
        <x:v>1 niveaux ; 32 pièces ; 248 segments de mur ; 0 transitions. Inspection physique ; architecture complète encore ouverte.</x:v>
      </x:c>
      <x:c r="H2452" s="115" t="str">
        <x:v>L 410 ; l 490 ; hauteur 18 m ; choix de composition auteur ; dimensions réelles à documenter</x:v>
      </x:c>
      <x:c r="I2452" s="115" t="str">
        <x:v>À équilibrer</x:v>
      </x:c>
      <x:c r="J2452" s="115" t="str">
        <x:v>Non</x:v>
      </x:c>
      <x:c r="K2452" s="115" t="str">
        <x:v>Pièces décrites, murs, portes, niveaux et mobilier inspectables à l’échelle. Volumes réservés, raccord au seed, butin, rencontres et services de campagne restent à terminer.</x:v>
      </x:c>
    </x:row>
    <x:row r="2453" ht="96" customHeight="1">
      <x:c r="A2453" s="115" t="str">
        <x:v>EXT-MONDE-T049-V48</x:v>
      </x:c>
      <x:c r="B2453" s="115" t="str">
        <x:v>EXT-MONDE-T049</x:v>
      </x:c>
      <x:c r="C2453" s="115" t="str">
        <x:v>Parcs attractions</x:v>
      </x:c>
      <x:c r="D2453" s="115" t="str">
        <x:v>Parc familial</x:v>
      </x:c>
      <x:c r="E2453" s="115" t="n">
        <x:v>48</x:v>
      </x:c>
      <x:c r="F2453" s="115" t="str">
        <x:v>Inspection physique</x:v>
      </x:c>
      <x:c r="G2453" s="115" t="str">
        <x:v>1 niveaux ; 32 pièces ; 248 segments de mur ; 0 transitions. Inspection physique ; architecture complète encore ouverte.</x:v>
      </x:c>
      <x:c r="H2453" s="115" t="str">
        <x:v>L 410 ; l 490 ; hauteur 18 m ; choix de composition auteur ; dimensions réelles à documenter</x:v>
      </x:c>
      <x:c r="I2453" s="115" t="str">
        <x:v>À équilibrer</x:v>
      </x:c>
      <x:c r="J2453" s="115" t="str">
        <x:v>Non</x:v>
      </x:c>
      <x:c r="K2453" s="115" t="str">
        <x:v>Pièces décrites, murs, portes, niveaux et mobilier inspectables à l’échelle. Volumes réservés, raccord au seed, butin, rencontres et services de campagne restent à terminer.</x:v>
      </x:c>
    </x:row>
    <x:row r="2454" ht="96" customHeight="1">
      <x:c r="A2454" s="115" t="str">
        <x:v>EXT-MONDE-T049-V49</x:v>
      </x:c>
      <x:c r="B2454" s="115" t="str">
        <x:v>EXT-MONDE-T049</x:v>
      </x:c>
      <x:c r="C2454" s="115" t="str">
        <x:v>Parcs attractions</x:v>
      </x:c>
      <x:c r="D2454" s="115" t="str">
        <x:v>Parc familial</x:v>
      </x:c>
      <x:c r="E2454" s="115" t="n">
        <x:v>49</x:v>
      </x:c>
      <x:c r="F2454" s="115" t="str">
        <x:v>Inspection physique</x:v>
      </x:c>
      <x:c r="G2454" s="115" t="str">
        <x:v>1 niveaux ; 32 pièces ; 248 segments de mur ; 0 transitions. Inspection physique ; architecture complète encore ouverte.</x:v>
      </x:c>
      <x:c r="H2454" s="115" t="str">
        <x:v>L 410 ; l 490 ; hauteur 18 m ; choix de composition auteur ; dimensions réelles à documenter</x:v>
      </x:c>
      <x:c r="I2454" s="115" t="str">
        <x:v>À équilibrer</x:v>
      </x:c>
      <x:c r="J2454" s="115" t="str">
        <x:v>Non</x:v>
      </x:c>
      <x:c r="K2454" s="115" t="str">
        <x:v>Pièces décrites, murs, portes, niveaux et mobilier inspectables à l’échelle. Volumes réservés, raccord au seed, butin, rencontres et services de campagne restent à terminer.</x:v>
      </x:c>
    </x:row>
    <x:row r="2455" ht="96" customHeight="1">
      <x:c r="A2455" s="115" t="str">
        <x:v>EXT-MONDE-T049-V50</x:v>
      </x:c>
      <x:c r="B2455" s="115" t="str">
        <x:v>EXT-MONDE-T049</x:v>
      </x:c>
      <x:c r="C2455" s="115" t="str">
        <x:v>Parcs attractions</x:v>
      </x:c>
      <x:c r="D2455" s="115" t="str">
        <x:v>Parc familial</x:v>
      </x:c>
      <x:c r="E2455" s="115" t="n">
        <x:v>50</x:v>
      </x:c>
      <x:c r="F2455" s="115" t="str">
        <x:v>Inspection physique</x:v>
      </x:c>
      <x:c r="G2455" s="115" t="str">
        <x:v>1 niveaux ; 32 pièces ; 248 segments de mur ; 0 transitions. Inspection physique ; architecture complète encore ouverte.</x:v>
      </x:c>
      <x:c r="H2455" s="115" t="str">
        <x:v>L 410 ; l 490 ; hauteur 18 m ; choix de composition auteur ; dimensions réelles à documenter</x:v>
      </x:c>
      <x:c r="I2455" s="115" t="str">
        <x:v>À équilibrer</x:v>
      </x:c>
      <x:c r="J2455" s="115" t="str">
        <x:v>Non</x:v>
      </x:c>
      <x:c r="K2455" s="115" t="str">
        <x:v>Pièces décrites, murs, portes, niveaux et mobilier inspectables à l’échelle. Volumes réservés, raccord au seed, butin, rencontres et services de campagne restent à terminer.</x:v>
      </x:c>
    </x:row>
    <x:row r="2456" ht="96" customHeight="1">
      <x:c r="A2456" s="115" t="str">
        <x:v>EXT-MONDE-T050-V01</x:v>
      </x:c>
      <x:c r="B2456" s="115" t="str">
        <x:v>EXT-MONDE-T050</x:v>
      </x:c>
      <x:c r="C2456" s="115" t="str">
        <x:v>Parcs attractions</x:v>
      </x:c>
      <x:c r="D2456" s="115" t="str">
        <x:v>Parc à sensations</x:v>
      </x:c>
      <x:c r="E2456" s="115" t="n">
        <x:v>1</x:v>
      </x:c>
      <x:c r="F2456" s="115" t="str">
        <x:v>Inspection physique</x:v>
      </x:c>
      <x:c r="G2456" s="115" t="str">
        <x:v>1 niveaux ; 32 pièces ; 248 segments de mur ; 0 transitions. Inspection physique ; architecture complète encore ouverte.</x:v>
      </x:c>
      <x:c r="H2456" s="115" t="str">
        <x:v>L 488 ; l 614 ; hauteur 58 m ; choix de composition auteur ; dimensions réelles à documenter</x:v>
      </x:c>
      <x:c r="I2456" s="115" t="str">
        <x:v>À équilibrer</x:v>
      </x:c>
      <x:c r="J2456" s="115" t="str">
        <x:v>Non</x:v>
      </x:c>
      <x:c r="K2456" s="115" t="str">
        <x:v>Pièces décrites, murs, portes, niveaux et mobilier inspectables à l’échelle. Volumes réservés, raccord au seed, butin, rencontres et services de campagne restent à terminer.</x:v>
      </x:c>
    </x:row>
    <x:row r="2457" ht="96" customHeight="1">
      <x:c r="A2457" s="115" t="str">
        <x:v>EXT-MONDE-T050-V02</x:v>
      </x:c>
      <x:c r="B2457" s="115" t="str">
        <x:v>EXT-MONDE-T050</x:v>
      </x:c>
      <x:c r="C2457" s="115" t="str">
        <x:v>Parcs attractions</x:v>
      </x:c>
      <x:c r="D2457" s="115" t="str">
        <x:v>Parc à sensations</x:v>
      </x:c>
      <x:c r="E2457" s="115" t="n">
        <x:v>2</x:v>
      </x:c>
      <x:c r="F2457" s="115" t="str">
        <x:v>Inspection physique</x:v>
      </x:c>
      <x:c r="G2457" s="115" t="str">
        <x:v>1 niveaux ; 32 pièces ; 248 segments de mur ; 0 transitions. Inspection physique ; architecture complète encore ouverte.</x:v>
      </x:c>
      <x:c r="H2457" s="115" t="str">
        <x:v>L 488 ; l 614 ; hauteur 58 m ; choix de composition auteur ; dimensions réelles à documenter</x:v>
      </x:c>
      <x:c r="I2457" s="115" t="str">
        <x:v>À équilibrer</x:v>
      </x:c>
      <x:c r="J2457" s="115" t="str">
        <x:v>Non</x:v>
      </x:c>
      <x:c r="K2457" s="115" t="str">
        <x:v>Pièces décrites, murs, portes, niveaux et mobilier inspectables à l’échelle. Volumes réservés, raccord au seed, butin, rencontres et services de campagne restent à terminer.</x:v>
      </x:c>
    </x:row>
    <x:row r="2458" ht="96" customHeight="1">
      <x:c r="A2458" s="115" t="str">
        <x:v>EXT-MONDE-T050-V03</x:v>
      </x:c>
      <x:c r="B2458" s="115" t="str">
        <x:v>EXT-MONDE-T050</x:v>
      </x:c>
      <x:c r="C2458" s="115" t="str">
        <x:v>Parcs attractions</x:v>
      </x:c>
      <x:c r="D2458" s="115" t="str">
        <x:v>Parc à sensations</x:v>
      </x:c>
      <x:c r="E2458" s="115" t="n">
        <x:v>3</x:v>
      </x:c>
      <x:c r="F2458" s="115" t="str">
        <x:v>Inspection physique</x:v>
      </x:c>
      <x:c r="G2458" s="115" t="str">
        <x:v>1 niveaux ; 32 pièces ; 248 segments de mur ; 0 transitions. Inspection physique ; architecture complète encore ouverte.</x:v>
      </x:c>
      <x:c r="H2458" s="115" t="str">
        <x:v>L 488 ; l 614 ; hauteur 58 m ; choix de composition auteur ; dimensions réelles à documenter</x:v>
      </x:c>
      <x:c r="I2458" s="115" t="str">
        <x:v>À équilibrer</x:v>
      </x:c>
      <x:c r="J2458" s="115" t="str">
        <x:v>Non</x:v>
      </x:c>
      <x:c r="K2458" s="115" t="str">
        <x:v>Pièces décrites, murs, portes, niveaux et mobilier inspectables à l’échelle. Volumes réservés, raccord au seed, butin, rencontres et services de campagne restent à terminer.</x:v>
      </x:c>
    </x:row>
    <x:row r="2459" ht="96" customHeight="1">
      <x:c r="A2459" s="115" t="str">
        <x:v>EXT-MONDE-T050-V04</x:v>
      </x:c>
      <x:c r="B2459" s="115" t="str">
        <x:v>EXT-MONDE-T050</x:v>
      </x:c>
      <x:c r="C2459" s="115" t="str">
        <x:v>Parcs attractions</x:v>
      </x:c>
      <x:c r="D2459" s="115" t="str">
        <x:v>Parc à sensations</x:v>
      </x:c>
      <x:c r="E2459" s="115" t="n">
        <x:v>4</x:v>
      </x:c>
      <x:c r="F2459" s="115" t="str">
        <x:v>Inspection physique</x:v>
      </x:c>
      <x:c r="G2459" s="115" t="str">
        <x:v>1 niveaux ; 32 pièces ; 248 segments de mur ; 0 transitions. Inspection physique ; architecture complète encore ouverte.</x:v>
      </x:c>
      <x:c r="H2459" s="115" t="str">
        <x:v>L 488 ; l 614 ; hauteur 58 m ; choix de composition auteur ; dimensions réelles à documenter</x:v>
      </x:c>
      <x:c r="I2459" s="115" t="str">
        <x:v>À équilibrer</x:v>
      </x:c>
      <x:c r="J2459" s="115" t="str">
        <x:v>Non</x:v>
      </x:c>
      <x:c r="K2459" s="115" t="str">
        <x:v>Pièces décrites, murs, portes, niveaux et mobilier inspectables à l’échelle. Volumes réservés, raccord au seed, butin, rencontres et services de campagne restent à terminer.</x:v>
      </x:c>
    </x:row>
    <x:row r="2460" ht="96" customHeight="1">
      <x:c r="A2460" s="115" t="str">
        <x:v>EXT-MONDE-T050-V05</x:v>
      </x:c>
      <x:c r="B2460" s="115" t="str">
        <x:v>EXT-MONDE-T050</x:v>
      </x:c>
      <x:c r="C2460" s="115" t="str">
        <x:v>Parcs attractions</x:v>
      </x:c>
      <x:c r="D2460" s="115" t="str">
        <x:v>Parc à sensations</x:v>
      </x:c>
      <x:c r="E2460" s="115" t="n">
        <x:v>5</x:v>
      </x:c>
      <x:c r="F2460" s="115" t="str">
        <x:v>Inspection physique</x:v>
      </x:c>
      <x:c r="G2460" s="115" t="str">
        <x:v>1 niveaux ; 32 pièces ; 248 segments de mur ; 0 transitions. Inspection physique ; architecture complète encore ouverte.</x:v>
      </x:c>
      <x:c r="H2460" s="115" t="str">
        <x:v>L 488 ; l 614 ; hauteur 58 m ; choix de composition auteur ; dimensions réelles à documenter</x:v>
      </x:c>
      <x:c r="I2460" s="115" t="str">
        <x:v>À équilibrer</x:v>
      </x:c>
      <x:c r="J2460" s="115" t="str">
        <x:v>Non</x:v>
      </x:c>
      <x:c r="K2460" s="115" t="str">
        <x:v>Pièces décrites, murs, portes, niveaux et mobilier inspectables à l’échelle. Volumes réservés, raccord au seed, butin, rencontres et services de campagne restent à terminer.</x:v>
      </x:c>
    </x:row>
    <x:row r="2461" ht="96" customHeight="1">
      <x:c r="A2461" s="115" t="str">
        <x:v>EXT-MONDE-T050-V06</x:v>
      </x:c>
      <x:c r="B2461" s="115" t="str">
        <x:v>EXT-MONDE-T050</x:v>
      </x:c>
      <x:c r="C2461" s="115" t="str">
        <x:v>Parcs attractions</x:v>
      </x:c>
      <x:c r="D2461" s="115" t="str">
        <x:v>Parc à sensations</x:v>
      </x:c>
      <x:c r="E2461" s="115" t="n">
        <x:v>6</x:v>
      </x:c>
      <x:c r="F2461" s="115" t="str">
        <x:v>Inspection physique</x:v>
      </x:c>
      <x:c r="G2461" s="115" t="str">
        <x:v>1 niveaux ; 32 pièces ; 248 segments de mur ; 0 transitions. Inspection physique ; architecture complète encore ouverte.</x:v>
      </x:c>
      <x:c r="H2461" s="115" t="str">
        <x:v>L 488 ; l 614 ; hauteur 58 m ; choix de composition auteur ; dimensions réelles à documenter</x:v>
      </x:c>
      <x:c r="I2461" s="115" t="str">
        <x:v>À équilibrer</x:v>
      </x:c>
      <x:c r="J2461" s="115" t="str">
        <x:v>Non</x:v>
      </x:c>
      <x:c r="K2461" s="115" t="str">
        <x:v>Pièces décrites, murs, portes, niveaux et mobilier inspectables à l’échelle. Volumes réservés, raccord au seed, butin, rencontres et services de campagne restent à terminer.</x:v>
      </x:c>
    </x:row>
    <x:row r="2462" ht="96" customHeight="1">
      <x:c r="A2462" s="115" t="str">
        <x:v>EXT-MONDE-T050-V07</x:v>
      </x:c>
      <x:c r="B2462" s="115" t="str">
        <x:v>EXT-MONDE-T050</x:v>
      </x:c>
      <x:c r="C2462" s="115" t="str">
        <x:v>Parcs attractions</x:v>
      </x:c>
      <x:c r="D2462" s="115" t="str">
        <x:v>Parc à sensations</x:v>
      </x:c>
      <x:c r="E2462" s="115" t="n">
        <x:v>7</x:v>
      </x:c>
      <x:c r="F2462" s="115" t="str">
        <x:v>Inspection physique</x:v>
      </x:c>
      <x:c r="G2462" s="115" t="str">
        <x:v>1 niveaux ; 32 pièces ; 248 segments de mur ; 0 transitions. Inspection physique ; architecture complète encore ouverte.</x:v>
      </x:c>
      <x:c r="H2462" s="115" t="str">
        <x:v>L 488 ; l 614 ; hauteur 58 m ; choix de composition auteur ; dimensions réelles à documenter</x:v>
      </x:c>
      <x:c r="I2462" s="115" t="str">
        <x:v>À équilibrer</x:v>
      </x:c>
      <x:c r="J2462" s="115" t="str">
        <x:v>Non</x:v>
      </x:c>
      <x:c r="K2462" s="115" t="str">
        <x:v>Pièces décrites, murs, portes, niveaux et mobilier inspectables à l’échelle. Volumes réservés, raccord au seed, butin, rencontres et services de campagne restent à terminer.</x:v>
      </x:c>
    </x:row>
    <x:row r="2463" ht="96" customHeight="1">
      <x:c r="A2463" s="115" t="str">
        <x:v>EXT-MONDE-T050-V08</x:v>
      </x:c>
      <x:c r="B2463" s="115" t="str">
        <x:v>EXT-MONDE-T050</x:v>
      </x:c>
      <x:c r="C2463" s="115" t="str">
        <x:v>Parcs attractions</x:v>
      </x:c>
      <x:c r="D2463" s="115" t="str">
        <x:v>Parc à sensations</x:v>
      </x:c>
      <x:c r="E2463" s="115" t="n">
        <x:v>8</x:v>
      </x:c>
      <x:c r="F2463" s="115" t="str">
        <x:v>Inspection physique</x:v>
      </x:c>
      <x:c r="G2463" s="115" t="str">
        <x:v>1 niveaux ; 32 pièces ; 248 segments de mur ; 0 transitions. Inspection physique ; architecture complète encore ouverte.</x:v>
      </x:c>
      <x:c r="H2463" s="115" t="str">
        <x:v>L 488 ; l 614 ; hauteur 58 m ; choix de composition auteur ; dimensions réelles à documenter</x:v>
      </x:c>
      <x:c r="I2463" s="115" t="str">
        <x:v>À équilibrer</x:v>
      </x:c>
      <x:c r="J2463" s="115" t="str">
        <x:v>Non</x:v>
      </x:c>
      <x:c r="K2463" s="115" t="str">
        <x:v>Pièces décrites, murs, portes, niveaux et mobilier inspectables à l’échelle. Volumes réservés, raccord au seed, butin, rencontres et services de campagne restent à terminer.</x:v>
      </x:c>
    </x:row>
    <x:row r="2464" ht="96" customHeight="1">
      <x:c r="A2464" s="115" t="str">
        <x:v>EXT-MONDE-T050-V09</x:v>
      </x:c>
      <x:c r="B2464" s="115" t="str">
        <x:v>EXT-MONDE-T050</x:v>
      </x:c>
      <x:c r="C2464" s="115" t="str">
        <x:v>Parcs attractions</x:v>
      </x:c>
      <x:c r="D2464" s="115" t="str">
        <x:v>Parc à sensations</x:v>
      </x:c>
      <x:c r="E2464" s="115" t="n">
        <x:v>9</x:v>
      </x:c>
      <x:c r="F2464" s="115" t="str">
        <x:v>Inspection physique</x:v>
      </x:c>
      <x:c r="G2464" s="115" t="str">
        <x:v>1 niveaux ; 32 pièces ; 248 segments de mur ; 0 transitions. Inspection physique ; architecture complète encore ouverte.</x:v>
      </x:c>
      <x:c r="H2464" s="115" t="str">
        <x:v>L 488 ; l 614 ; hauteur 58 m ; choix de composition auteur ; dimensions réelles à documenter</x:v>
      </x:c>
      <x:c r="I2464" s="115" t="str">
        <x:v>À équilibrer</x:v>
      </x:c>
      <x:c r="J2464" s="115" t="str">
        <x:v>Non</x:v>
      </x:c>
      <x:c r="K2464" s="115" t="str">
        <x:v>Pièces décrites, murs, portes, niveaux et mobilier inspectables à l’échelle. Volumes réservés, raccord au seed, butin, rencontres et services de campagne restent à terminer.</x:v>
      </x:c>
    </x:row>
    <x:row r="2465" ht="96" customHeight="1">
      <x:c r="A2465" s="115" t="str">
        <x:v>EXT-MONDE-T050-V10</x:v>
      </x:c>
      <x:c r="B2465" s="115" t="str">
        <x:v>EXT-MONDE-T050</x:v>
      </x:c>
      <x:c r="C2465" s="115" t="str">
        <x:v>Parcs attractions</x:v>
      </x:c>
      <x:c r="D2465" s="115" t="str">
        <x:v>Parc à sensations</x:v>
      </x:c>
      <x:c r="E2465" s="115" t="n">
        <x:v>10</x:v>
      </x:c>
      <x:c r="F2465" s="115" t="str">
        <x:v>Inspection physique</x:v>
      </x:c>
      <x:c r="G2465" s="115" t="str">
        <x:v>1 niveaux ; 32 pièces ; 248 segments de mur ; 0 transitions. Inspection physique ; architecture complète encore ouverte.</x:v>
      </x:c>
      <x:c r="H2465" s="115" t="str">
        <x:v>L 488 ; l 614 ; hauteur 58 m ; choix de composition auteur ; dimensions réelles à documenter</x:v>
      </x:c>
      <x:c r="I2465" s="115" t="str">
        <x:v>À équilibrer</x:v>
      </x:c>
      <x:c r="J2465" s="115" t="str">
        <x:v>Non</x:v>
      </x:c>
      <x:c r="K2465" s="115" t="str">
        <x:v>Pièces décrites, murs, portes, niveaux et mobilier inspectables à l’échelle. Volumes réservés, raccord au seed, butin, rencontres et services de campagne restent à terminer.</x:v>
      </x:c>
    </x:row>
    <x:row r="2466" ht="96" customHeight="1">
      <x:c r="A2466" s="115" t="str">
        <x:v>EXT-MONDE-T050-V11</x:v>
      </x:c>
      <x:c r="B2466" s="115" t="str">
        <x:v>EXT-MONDE-T050</x:v>
      </x:c>
      <x:c r="C2466" s="115" t="str">
        <x:v>Parcs attractions</x:v>
      </x:c>
      <x:c r="D2466" s="115" t="str">
        <x:v>Parc à sensations</x:v>
      </x:c>
      <x:c r="E2466" s="115" t="n">
        <x:v>11</x:v>
      </x:c>
      <x:c r="F2466" s="115" t="str">
        <x:v>Inspection physique</x:v>
      </x:c>
      <x:c r="G2466" s="115" t="str">
        <x:v>1 niveaux ; 32 pièces ; 248 segments de mur ; 0 transitions. Inspection physique ; architecture complète encore ouverte.</x:v>
      </x:c>
      <x:c r="H2466" s="115" t="str">
        <x:v>L 500 ; l 622 ; hauteur 58 m ; choix de composition auteur ; dimensions réelles à documenter</x:v>
      </x:c>
      <x:c r="I2466" s="115" t="str">
        <x:v>À équilibrer</x:v>
      </x:c>
      <x:c r="J2466" s="115" t="str">
        <x:v>Non</x:v>
      </x:c>
      <x:c r="K2466" s="115" t="str">
        <x:v>Pièces décrites, murs, portes, niveaux et mobilier inspectables à l’échelle. Volumes réservés, raccord au seed, butin, rencontres et services de campagne restent à terminer.</x:v>
      </x:c>
    </x:row>
    <x:row r="2467" ht="96" customHeight="1">
      <x:c r="A2467" s="115" t="str">
        <x:v>EXT-MONDE-T050-V12</x:v>
      </x:c>
      <x:c r="B2467" s="115" t="str">
        <x:v>EXT-MONDE-T050</x:v>
      </x:c>
      <x:c r="C2467" s="115" t="str">
        <x:v>Parcs attractions</x:v>
      </x:c>
      <x:c r="D2467" s="115" t="str">
        <x:v>Parc à sensations</x:v>
      </x:c>
      <x:c r="E2467" s="115" t="n">
        <x:v>12</x:v>
      </x:c>
      <x:c r="F2467" s="115" t="str">
        <x:v>Inspection physique</x:v>
      </x:c>
      <x:c r="G2467" s="115" t="str">
        <x:v>1 niveaux ; 32 pièces ; 248 segments de mur ; 0 transitions. Inspection physique ; architecture complète encore ouverte.</x:v>
      </x:c>
      <x:c r="H2467" s="115" t="str">
        <x:v>L 500 ; l 622 ; hauteur 58 m ; choix de composition auteur ; dimensions réelles à documenter</x:v>
      </x:c>
      <x:c r="I2467" s="115" t="str">
        <x:v>À équilibrer</x:v>
      </x:c>
      <x:c r="J2467" s="115" t="str">
        <x:v>Non</x:v>
      </x:c>
      <x:c r="K2467" s="115" t="str">
        <x:v>Pièces décrites, murs, portes, niveaux et mobilier inspectables à l’échelle. Volumes réservés, raccord au seed, butin, rencontres et services de campagne restent à terminer.</x:v>
      </x:c>
    </x:row>
    <x:row r="2468" ht="96" customHeight="1">
      <x:c r="A2468" s="115" t="str">
        <x:v>EXT-MONDE-T050-V13</x:v>
      </x:c>
      <x:c r="B2468" s="115" t="str">
        <x:v>EXT-MONDE-T050</x:v>
      </x:c>
      <x:c r="C2468" s="115" t="str">
        <x:v>Parcs attractions</x:v>
      </x:c>
      <x:c r="D2468" s="115" t="str">
        <x:v>Parc à sensations</x:v>
      </x:c>
      <x:c r="E2468" s="115" t="n">
        <x:v>13</x:v>
      </x:c>
      <x:c r="F2468" s="115" t="str">
        <x:v>Inspection physique</x:v>
      </x:c>
      <x:c r="G2468" s="115" t="str">
        <x:v>1 niveaux ; 32 pièces ; 248 segments de mur ; 0 transitions. Inspection physique ; architecture complète encore ouverte.</x:v>
      </x:c>
      <x:c r="H2468" s="115" t="str">
        <x:v>L 500 ; l 622 ; hauteur 58 m ; choix de composition auteur ; dimensions réelles à documenter</x:v>
      </x:c>
      <x:c r="I2468" s="115" t="str">
        <x:v>À équilibrer</x:v>
      </x:c>
      <x:c r="J2468" s="115" t="str">
        <x:v>Non</x:v>
      </x:c>
      <x:c r="K2468" s="115" t="str">
        <x:v>Pièces décrites, murs, portes, niveaux et mobilier inspectables à l’échelle. Volumes réservés, raccord au seed, butin, rencontres et services de campagne restent à terminer.</x:v>
      </x:c>
    </x:row>
    <x:row r="2469" ht="96" customHeight="1">
      <x:c r="A2469" s="115" t="str">
        <x:v>EXT-MONDE-T050-V14</x:v>
      </x:c>
      <x:c r="B2469" s="115" t="str">
        <x:v>EXT-MONDE-T050</x:v>
      </x:c>
      <x:c r="C2469" s="115" t="str">
        <x:v>Parcs attractions</x:v>
      </x:c>
      <x:c r="D2469" s="115" t="str">
        <x:v>Parc à sensations</x:v>
      </x:c>
      <x:c r="E2469" s="115" t="n">
        <x:v>14</x:v>
      </x:c>
      <x:c r="F2469" s="115" t="str">
        <x:v>Inspection physique</x:v>
      </x:c>
      <x:c r="G2469" s="115" t="str">
        <x:v>1 niveaux ; 32 pièces ; 248 segments de mur ; 0 transitions. Inspection physique ; architecture complète encore ouverte.</x:v>
      </x:c>
      <x:c r="H2469" s="115" t="str">
        <x:v>L 500 ; l 622 ; hauteur 58 m ; choix de composition auteur ; dimensions réelles à documenter</x:v>
      </x:c>
      <x:c r="I2469" s="115" t="str">
        <x:v>À équilibrer</x:v>
      </x:c>
      <x:c r="J2469" s="115" t="str">
        <x:v>Non</x:v>
      </x:c>
      <x:c r="K2469" s="115" t="str">
        <x:v>Pièces décrites, murs, portes, niveaux et mobilier inspectables à l’échelle. Volumes réservés, raccord au seed, butin, rencontres et services de campagne restent à terminer.</x:v>
      </x:c>
    </x:row>
    <x:row r="2470" ht="96" customHeight="1">
      <x:c r="A2470" s="115" t="str">
        <x:v>EXT-MONDE-T050-V15</x:v>
      </x:c>
      <x:c r="B2470" s="115" t="str">
        <x:v>EXT-MONDE-T050</x:v>
      </x:c>
      <x:c r="C2470" s="115" t="str">
        <x:v>Parcs attractions</x:v>
      </x:c>
      <x:c r="D2470" s="115" t="str">
        <x:v>Parc à sensations</x:v>
      </x:c>
      <x:c r="E2470" s="115" t="n">
        <x:v>15</x:v>
      </x:c>
      <x:c r="F2470" s="115" t="str">
        <x:v>Inspection physique</x:v>
      </x:c>
      <x:c r="G2470" s="115" t="str">
        <x:v>1 niveaux ; 32 pièces ; 248 segments de mur ; 0 transitions. Inspection physique ; architecture complète encore ouverte.</x:v>
      </x:c>
      <x:c r="H2470" s="115" t="str">
        <x:v>L 500 ; l 622 ; hauteur 58 m ; choix de composition auteur ; dimensions réelles à documenter</x:v>
      </x:c>
      <x:c r="I2470" s="115" t="str">
        <x:v>À équilibrer</x:v>
      </x:c>
      <x:c r="J2470" s="115" t="str">
        <x:v>Non</x:v>
      </x:c>
      <x:c r="K2470" s="115" t="str">
        <x:v>Pièces décrites, murs, portes, niveaux et mobilier inspectables à l’échelle. Volumes réservés, raccord au seed, butin, rencontres et services de campagne restent à terminer.</x:v>
      </x:c>
    </x:row>
    <x:row r="2471" ht="96" customHeight="1">
      <x:c r="A2471" s="115" t="str">
        <x:v>EXT-MONDE-T050-V16</x:v>
      </x:c>
      <x:c r="B2471" s="115" t="str">
        <x:v>EXT-MONDE-T050</x:v>
      </x:c>
      <x:c r="C2471" s="115" t="str">
        <x:v>Parcs attractions</x:v>
      </x:c>
      <x:c r="D2471" s="115" t="str">
        <x:v>Parc à sensations</x:v>
      </x:c>
      <x:c r="E2471" s="115" t="n">
        <x:v>16</x:v>
      </x:c>
      <x:c r="F2471" s="115" t="str">
        <x:v>Inspection physique</x:v>
      </x:c>
      <x:c r="G2471" s="115" t="str">
        <x:v>1 niveaux ; 32 pièces ; 248 segments de mur ; 0 transitions. Inspection physique ; architecture complète encore ouverte.</x:v>
      </x:c>
      <x:c r="H2471" s="115" t="str">
        <x:v>L 500 ; l 622 ; hauteur 58 m ; choix de composition auteur ; dimensions réelles à documenter</x:v>
      </x:c>
      <x:c r="I2471" s="115" t="str">
        <x:v>À équilibrer</x:v>
      </x:c>
      <x:c r="J2471" s="115" t="str">
        <x:v>Non</x:v>
      </x:c>
      <x:c r="K2471" s="115" t="str">
        <x:v>Pièces décrites, murs, portes, niveaux et mobilier inspectables à l’échelle. Volumes réservés, raccord au seed, butin, rencontres et services de campagne restent à terminer.</x:v>
      </x:c>
    </x:row>
    <x:row r="2472" ht="96" customHeight="1">
      <x:c r="A2472" s="115" t="str">
        <x:v>EXT-MONDE-T050-V17</x:v>
      </x:c>
      <x:c r="B2472" s="115" t="str">
        <x:v>EXT-MONDE-T050</x:v>
      </x:c>
      <x:c r="C2472" s="115" t="str">
        <x:v>Parcs attractions</x:v>
      </x:c>
      <x:c r="D2472" s="115" t="str">
        <x:v>Parc à sensations</x:v>
      </x:c>
      <x:c r="E2472" s="115" t="n">
        <x:v>17</x:v>
      </x:c>
      <x:c r="F2472" s="115" t="str">
        <x:v>Inspection physique</x:v>
      </x:c>
      <x:c r="G2472" s="115" t="str">
        <x:v>1 niveaux ; 32 pièces ; 248 segments de mur ; 0 transitions. Inspection physique ; architecture complète encore ouverte.</x:v>
      </x:c>
      <x:c r="H2472" s="115" t="str">
        <x:v>L 500 ; l 622 ; hauteur 58 m ; choix de composition auteur ; dimensions réelles à documenter</x:v>
      </x:c>
      <x:c r="I2472" s="115" t="str">
        <x:v>À équilibrer</x:v>
      </x:c>
      <x:c r="J2472" s="115" t="str">
        <x:v>Non</x:v>
      </x:c>
      <x:c r="K2472" s="115" t="str">
        <x:v>Pièces décrites, murs, portes, niveaux et mobilier inspectables à l’échelle. Volumes réservés, raccord au seed, butin, rencontres et services de campagne restent à terminer.</x:v>
      </x:c>
    </x:row>
    <x:row r="2473" ht="96" customHeight="1">
      <x:c r="A2473" s="115" t="str">
        <x:v>EXT-MONDE-T050-V18</x:v>
      </x:c>
      <x:c r="B2473" s="115" t="str">
        <x:v>EXT-MONDE-T050</x:v>
      </x:c>
      <x:c r="C2473" s="115" t="str">
        <x:v>Parcs attractions</x:v>
      </x:c>
      <x:c r="D2473" s="115" t="str">
        <x:v>Parc à sensations</x:v>
      </x:c>
      <x:c r="E2473" s="115" t="n">
        <x:v>18</x:v>
      </x:c>
      <x:c r="F2473" s="115" t="str">
        <x:v>Inspection physique</x:v>
      </x:c>
      <x:c r="G2473" s="115" t="str">
        <x:v>1 niveaux ; 32 pièces ; 248 segments de mur ; 0 transitions. Inspection physique ; architecture complète encore ouverte.</x:v>
      </x:c>
      <x:c r="H2473" s="115" t="str">
        <x:v>L 500 ; l 622 ; hauteur 58 m ; choix de composition auteur ; dimensions réelles à documenter</x:v>
      </x:c>
      <x:c r="I2473" s="115" t="str">
        <x:v>À équilibrer</x:v>
      </x:c>
      <x:c r="J2473" s="115" t="str">
        <x:v>Non</x:v>
      </x:c>
      <x:c r="K2473" s="115" t="str">
        <x:v>Pièces décrites, murs, portes, niveaux et mobilier inspectables à l’échelle. Volumes réservés, raccord au seed, butin, rencontres et services de campagne restent à terminer.</x:v>
      </x:c>
    </x:row>
    <x:row r="2474" ht="96" customHeight="1">
      <x:c r="A2474" s="115" t="str">
        <x:v>EXT-MONDE-T050-V19</x:v>
      </x:c>
      <x:c r="B2474" s="115" t="str">
        <x:v>EXT-MONDE-T050</x:v>
      </x:c>
      <x:c r="C2474" s="115" t="str">
        <x:v>Parcs attractions</x:v>
      </x:c>
      <x:c r="D2474" s="115" t="str">
        <x:v>Parc à sensations</x:v>
      </x:c>
      <x:c r="E2474" s="115" t="n">
        <x:v>19</x:v>
      </x:c>
      <x:c r="F2474" s="115" t="str">
        <x:v>Inspection physique</x:v>
      </x:c>
      <x:c r="G2474" s="115" t="str">
        <x:v>1 niveaux ; 32 pièces ; 248 segments de mur ; 0 transitions. Inspection physique ; architecture complète encore ouverte.</x:v>
      </x:c>
      <x:c r="H2474" s="115" t="str">
        <x:v>L 500 ; l 622 ; hauteur 58 m ; choix de composition auteur ; dimensions réelles à documenter</x:v>
      </x:c>
      <x:c r="I2474" s="115" t="str">
        <x:v>À équilibrer</x:v>
      </x:c>
      <x:c r="J2474" s="115" t="str">
        <x:v>Non</x:v>
      </x:c>
      <x:c r="K2474" s="115" t="str">
        <x:v>Pièces décrites, murs, portes, niveaux et mobilier inspectables à l’échelle. Volumes réservés, raccord au seed, butin, rencontres et services de campagne restent à terminer.</x:v>
      </x:c>
    </x:row>
    <x:row r="2475" ht="96" customHeight="1">
      <x:c r="A2475" s="115" t="str">
        <x:v>EXT-MONDE-T050-V20</x:v>
      </x:c>
      <x:c r="B2475" s="115" t="str">
        <x:v>EXT-MONDE-T050</x:v>
      </x:c>
      <x:c r="C2475" s="115" t="str">
        <x:v>Parcs attractions</x:v>
      </x:c>
      <x:c r="D2475" s="115" t="str">
        <x:v>Parc à sensations</x:v>
      </x:c>
      <x:c r="E2475" s="115" t="n">
        <x:v>20</x:v>
      </x:c>
      <x:c r="F2475" s="115" t="str">
        <x:v>Inspection physique</x:v>
      </x:c>
      <x:c r="G2475" s="115" t="str">
        <x:v>1 niveaux ; 32 pièces ; 248 segments de mur ; 0 transitions. Inspection physique ; architecture complète encore ouverte.</x:v>
      </x:c>
      <x:c r="H2475" s="115" t="str">
        <x:v>L 500 ; l 622 ; hauteur 58 m ; choix de composition auteur ; dimensions réelles à documenter</x:v>
      </x:c>
      <x:c r="I2475" s="115" t="str">
        <x:v>À équilibrer</x:v>
      </x:c>
      <x:c r="J2475" s="115" t="str">
        <x:v>Non</x:v>
      </x:c>
      <x:c r="K2475" s="115" t="str">
        <x:v>Pièces décrites, murs, portes, niveaux et mobilier inspectables à l’échelle. Volumes réservés, raccord au seed, butin, rencontres et services de campagne restent à terminer.</x:v>
      </x:c>
    </x:row>
    <x:row r="2476" ht="96" customHeight="1">
      <x:c r="A2476" s="115" t="str">
        <x:v>EXT-MONDE-T050-V21</x:v>
      </x:c>
      <x:c r="B2476" s="115" t="str">
        <x:v>EXT-MONDE-T050</x:v>
      </x:c>
      <x:c r="C2476" s="115" t="str">
        <x:v>Parcs attractions</x:v>
      </x:c>
      <x:c r="D2476" s="115" t="str">
        <x:v>Parc à sensations</x:v>
      </x:c>
      <x:c r="E2476" s="115" t="n">
        <x:v>21</x:v>
      </x:c>
      <x:c r="F2476" s="115" t="str">
        <x:v>Inspection physique</x:v>
      </x:c>
      <x:c r="G2476" s="115" t="str">
        <x:v>1 niveaux ; 32 pièces ; 248 segments de mur ; 0 transitions. Inspection physique ; architecture complète encore ouverte.</x:v>
      </x:c>
      <x:c r="H2476" s="115" t="str">
        <x:v>L 512 ; l 630 ; hauteur 58 m ; choix de composition auteur ; dimensions réelles à documenter</x:v>
      </x:c>
      <x:c r="I2476" s="115" t="str">
        <x:v>À équilibrer</x:v>
      </x:c>
      <x:c r="J2476" s="115" t="str">
        <x:v>Non</x:v>
      </x:c>
      <x:c r="K2476" s="115" t="str">
        <x:v>Pièces décrites, murs, portes, niveaux et mobilier inspectables à l’échelle. Volumes réservés, raccord au seed, butin, rencontres et services de campagne restent à terminer.</x:v>
      </x:c>
    </x:row>
    <x:row r="2477" ht="96" customHeight="1">
      <x:c r="A2477" s="115" t="str">
        <x:v>EXT-MONDE-T050-V22</x:v>
      </x:c>
      <x:c r="B2477" s="115" t="str">
        <x:v>EXT-MONDE-T050</x:v>
      </x:c>
      <x:c r="C2477" s="115" t="str">
        <x:v>Parcs attractions</x:v>
      </x:c>
      <x:c r="D2477" s="115" t="str">
        <x:v>Parc à sensations</x:v>
      </x:c>
      <x:c r="E2477" s="115" t="n">
        <x:v>22</x:v>
      </x:c>
      <x:c r="F2477" s="115" t="str">
        <x:v>Inspection physique</x:v>
      </x:c>
      <x:c r="G2477" s="115" t="str">
        <x:v>1 niveaux ; 32 pièces ; 248 segments de mur ; 0 transitions. Inspection physique ; architecture complète encore ouverte.</x:v>
      </x:c>
      <x:c r="H2477" s="115" t="str">
        <x:v>L 512 ; l 630 ; hauteur 58 m ; choix de composition auteur ; dimensions réelles à documenter</x:v>
      </x:c>
      <x:c r="I2477" s="115" t="str">
        <x:v>À équilibrer</x:v>
      </x:c>
      <x:c r="J2477" s="115" t="str">
        <x:v>Non</x:v>
      </x:c>
      <x:c r="K2477" s="115" t="str">
        <x:v>Pièces décrites, murs, portes, niveaux et mobilier inspectables à l’échelle. Volumes réservés, raccord au seed, butin, rencontres et services de campagne restent à terminer.</x:v>
      </x:c>
    </x:row>
    <x:row r="2478" ht="96" customHeight="1">
      <x:c r="A2478" s="115" t="str">
        <x:v>EXT-MONDE-T050-V23</x:v>
      </x:c>
      <x:c r="B2478" s="115" t="str">
        <x:v>EXT-MONDE-T050</x:v>
      </x:c>
      <x:c r="C2478" s="115" t="str">
        <x:v>Parcs attractions</x:v>
      </x:c>
      <x:c r="D2478" s="115" t="str">
        <x:v>Parc à sensations</x:v>
      </x:c>
      <x:c r="E2478" s="115" t="n">
        <x:v>23</x:v>
      </x:c>
      <x:c r="F2478" s="115" t="str">
        <x:v>Inspection physique</x:v>
      </x:c>
      <x:c r="G2478" s="115" t="str">
        <x:v>1 niveaux ; 32 pièces ; 248 segments de mur ; 0 transitions. Inspection physique ; architecture complète encore ouverte.</x:v>
      </x:c>
      <x:c r="H2478" s="115" t="str">
        <x:v>L 512 ; l 630 ; hauteur 58 m ; choix de composition auteur ; dimensions réelles à documenter</x:v>
      </x:c>
      <x:c r="I2478" s="115" t="str">
        <x:v>À équilibrer</x:v>
      </x:c>
      <x:c r="J2478" s="115" t="str">
        <x:v>Non</x:v>
      </x:c>
      <x:c r="K2478" s="115" t="str">
        <x:v>Pièces décrites, murs, portes, niveaux et mobilier inspectables à l’échelle. Volumes réservés, raccord au seed, butin, rencontres et services de campagne restent à terminer.</x:v>
      </x:c>
    </x:row>
    <x:row r="2479" ht="96" customHeight="1">
      <x:c r="A2479" s="115" t="str">
        <x:v>EXT-MONDE-T050-V24</x:v>
      </x:c>
      <x:c r="B2479" s="115" t="str">
        <x:v>EXT-MONDE-T050</x:v>
      </x:c>
      <x:c r="C2479" s="115" t="str">
        <x:v>Parcs attractions</x:v>
      </x:c>
      <x:c r="D2479" s="115" t="str">
        <x:v>Parc à sensations</x:v>
      </x:c>
      <x:c r="E2479" s="115" t="n">
        <x:v>24</x:v>
      </x:c>
      <x:c r="F2479" s="115" t="str">
        <x:v>Inspection physique</x:v>
      </x:c>
      <x:c r="G2479" s="115" t="str">
        <x:v>1 niveaux ; 32 pièces ; 248 segments de mur ; 0 transitions. Inspection physique ; architecture complète encore ouverte.</x:v>
      </x:c>
      <x:c r="H2479" s="115" t="str">
        <x:v>L 512 ; l 630 ; hauteur 58 m ; choix de composition auteur ; dimensions réelles à documenter</x:v>
      </x:c>
      <x:c r="I2479" s="115" t="str">
        <x:v>À équilibrer</x:v>
      </x:c>
      <x:c r="J2479" s="115" t="str">
        <x:v>Non</x:v>
      </x:c>
      <x:c r="K2479" s="115" t="str">
        <x:v>Pièces décrites, murs, portes, niveaux et mobilier inspectables à l’échelle. Volumes réservés, raccord au seed, butin, rencontres et services de campagne restent à terminer.</x:v>
      </x:c>
    </x:row>
    <x:row r="2480" ht="96" customHeight="1">
      <x:c r="A2480" s="115" t="str">
        <x:v>EXT-MONDE-T050-V25</x:v>
      </x:c>
      <x:c r="B2480" s="115" t="str">
        <x:v>EXT-MONDE-T050</x:v>
      </x:c>
      <x:c r="C2480" s="115" t="str">
        <x:v>Parcs attractions</x:v>
      </x:c>
      <x:c r="D2480" s="115" t="str">
        <x:v>Parc à sensations</x:v>
      </x:c>
      <x:c r="E2480" s="115" t="n">
        <x:v>25</x:v>
      </x:c>
      <x:c r="F2480" s="115" t="str">
        <x:v>Inspection physique</x:v>
      </x:c>
      <x:c r="G2480" s="115" t="str">
        <x:v>1 niveaux ; 32 pièces ; 248 segments de mur ; 0 transitions. Inspection physique ; architecture complète encore ouverte.</x:v>
      </x:c>
      <x:c r="H2480" s="115" t="str">
        <x:v>L 512 ; l 630 ; hauteur 58 m ; choix de composition auteur ; dimensions réelles à documenter</x:v>
      </x:c>
      <x:c r="I2480" s="115" t="str">
        <x:v>À équilibrer</x:v>
      </x:c>
      <x:c r="J2480" s="115" t="str">
        <x:v>Non</x:v>
      </x:c>
      <x:c r="K2480" s="115" t="str">
        <x:v>Pièces décrites, murs, portes, niveaux et mobilier inspectables à l’échelle. Volumes réservés, raccord au seed, butin, rencontres et services de campagne restent à terminer.</x:v>
      </x:c>
    </x:row>
    <x:row r="2481" ht="96" customHeight="1">
      <x:c r="A2481" s="115" t="str">
        <x:v>EXT-MONDE-T050-V26</x:v>
      </x:c>
      <x:c r="B2481" s="115" t="str">
        <x:v>EXT-MONDE-T050</x:v>
      </x:c>
      <x:c r="C2481" s="115" t="str">
        <x:v>Parcs attractions</x:v>
      </x:c>
      <x:c r="D2481" s="115" t="str">
        <x:v>Parc à sensations</x:v>
      </x:c>
      <x:c r="E2481" s="115" t="n">
        <x:v>26</x:v>
      </x:c>
      <x:c r="F2481" s="115" t="str">
        <x:v>Inspection physique</x:v>
      </x:c>
      <x:c r="G2481" s="115" t="str">
        <x:v>1 niveaux ; 32 pièces ; 248 segments de mur ; 0 transitions. Inspection physique ; architecture complète encore ouverte.</x:v>
      </x:c>
      <x:c r="H2481" s="115" t="str">
        <x:v>L 512 ; l 630 ; hauteur 58 m ; choix de composition auteur ; dimensions réelles à documenter</x:v>
      </x:c>
      <x:c r="I2481" s="115" t="str">
        <x:v>À équilibrer</x:v>
      </x:c>
      <x:c r="J2481" s="115" t="str">
        <x:v>Non</x:v>
      </x:c>
      <x:c r="K2481" s="115" t="str">
        <x:v>Pièces décrites, murs, portes, niveaux et mobilier inspectables à l’échelle. Volumes réservés, raccord au seed, butin, rencontres et services de campagne restent à terminer.</x:v>
      </x:c>
    </x:row>
    <x:row r="2482" ht="96" customHeight="1">
      <x:c r="A2482" s="115" t="str">
        <x:v>EXT-MONDE-T050-V27</x:v>
      </x:c>
      <x:c r="B2482" s="115" t="str">
        <x:v>EXT-MONDE-T050</x:v>
      </x:c>
      <x:c r="C2482" s="115" t="str">
        <x:v>Parcs attractions</x:v>
      </x:c>
      <x:c r="D2482" s="115" t="str">
        <x:v>Parc à sensations</x:v>
      </x:c>
      <x:c r="E2482" s="115" t="n">
        <x:v>27</x:v>
      </x:c>
      <x:c r="F2482" s="115" t="str">
        <x:v>Inspection physique</x:v>
      </x:c>
      <x:c r="G2482" s="115" t="str">
        <x:v>1 niveaux ; 32 pièces ; 248 segments de mur ; 0 transitions. Inspection physique ; architecture complète encore ouverte.</x:v>
      </x:c>
      <x:c r="H2482" s="115" t="str">
        <x:v>L 512 ; l 630 ; hauteur 58 m ; choix de composition auteur ; dimensions réelles à documenter</x:v>
      </x:c>
      <x:c r="I2482" s="115" t="str">
        <x:v>À équilibrer</x:v>
      </x:c>
      <x:c r="J2482" s="115" t="str">
        <x:v>Non</x:v>
      </x:c>
      <x:c r="K2482" s="115" t="str">
        <x:v>Pièces décrites, murs, portes, niveaux et mobilier inspectables à l’échelle. Volumes réservés, raccord au seed, butin, rencontres et services de campagne restent à terminer.</x:v>
      </x:c>
    </x:row>
    <x:row r="2483" ht="96" customHeight="1">
      <x:c r="A2483" s="115" t="str">
        <x:v>EXT-MONDE-T050-V28</x:v>
      </x:c>
      <x:c r="B2483" s="115" t="str">
        <x:v>EXT-MONDE-T050</x:v>
      </x:c>
      <x:c r="C2483" s="115" t="str">
        <x:v>Parcs attractions</x:v>
      </x:c>
      <x:c r="D2483" s="115" t="str">
        <x:v>Parc à sensations</x:v>
      </x:c>
      <x:c r="E2483" s="115" t="n">
        <x:v>28</x:v>
      </x:c>
      <x:c r="F2483" s="115" t="str">
        <x:v>Inspection physique</x:v>
      </x:c>
      <x:c r="G2483" s="115" t="str">
        <x:v>1 niveaux ; 32 pièces ; 248 segments de mur ; 0 transitions. Inspection physique ; architecture complète encore ouverte.</x:v>
      </x:c>
      <x:c r="H2483" s="115" t="str">
        <x:v>L 512 ; l 630 ; hauteur 58 m ; choix de composition auteur ; dimensions réelles à documenter</x:v>
      </x:c>
      <x:c r="I2483" s="115" t="str">
        <x:v>À équilibrer</x:v>
      </x:c>
      <x:c r="J2483" s="115" t="str">
        <x:v>Non</x:v>
      </x:c>
      <x:c r="K2483" s="115" t="str">
        <x:v>Pièces décrites, murs, portes, niveaux et mobilier inspectables à l’échelle. Volumes réservés, raccord au seed, butin, rencontres et services de campagne restent à terminer.</x:v>
      </x:c>
    </x:row>
    <x:row r="2484" ht="96" customHeight="1">
      <x:c r="A2484" s="115" t="str">
        <x:v>EXT-MONDE-T050-V29</x:v>
      </x:c>
      <x:c r="B2484" s="115" t="str">
        <x:v>EXT-MONDE-T050</x:v>
      </x:c>
      <x:c r="C2484" s="115" t="str">
        <x:v>Parcs attractions</x:v>
      </x:c>
      <x:c r="D2484" s="115" t="str">
        <x:v>Parc à sensations</x:v>
      </x:c>
      <x:c r="E2484" s="115" t="n">
        <x:v>29</x:v>
      </x:c>
      <x:c r="F2484" s="115" t="str">
        <x:v>Inspection physique</x:v>
      </x:c>
      <x:c r="G2484" s="115" t="str">
        <x:v>1 niveaux ; 32 pièces ; 248 segments de mur ; 0 transitions. Inspection physique ; architecture complète encore ouverte.</x:v>
      </x:c>
      <x:c r="H2484" s="115" t="str">
        <x:v>L 512 ; l 630 ; hauteur 58 m ; choix de composition auteur ; dimensions réelles à documenter</x:v>
      </x:c>
      <x:c r="I2484" s="115" t="str">
        <x:v>À équilibrer</x:v>
      </x:c>
      <x:c r="J2484" s="115" t="str">
        <x:v>Non</x:v>
      </x:c>
      <x:c r="K2484" s="115" t="str">
        <x:v>Pièces décrites, murs, portes, niveaux et mobilier inspectables à l’échelle. Volumes réservés, raccord au seed, butin, rencontres et services de campagne restent à terminer.</x:v>
      </x:c>
    </x:row>
    <x:row r="2485" ht="96" customHeight="1">
      <x:c r="A2485" s="115" t="str">
        <x:v>EXT-MONDE-T050-V30</x:v>
      </x:c>
      <x:c r="B2485" s="115" t="str">
        <x:v>EXT-MONDE-T050</x:v>
      </x:c>
      <x:c r="C2485" s="115" t="str">
        <x:v>Parcs attractions</x:v>
      </x:c>
      <x:c r="D2485" s="115" t="str">
        <x:v>Parc à sensations</x:v>
      </x:c>
      <x:c r="E2485" s="115" t="n">
        <x:v>30</x:v>
      </x:c>
      <x:c r="F2485" s="115" t="str">
        <x:v>Inspection physique</x:v>
      </x:c>
      <x:c r="G2485" s="115" t="str">
        <x:v>1 niveaux ; 32 pièces ; 248 segments de mur ; 0 transitions. Inspection physique ; architecture complète encore ouverte.</x:v>
      </x:c>
      <x:c r="H2485" s="115" t="str">
        <x:v>L 512 ; l 630 ; hauteur 58 m ; choix de composition auteur ; dimensions réelles à documenter</x:v>
      </x:c>
      <x:c r="I2485" s="115" t="str">
        <x:v>À équilibrer</x:v>
      </x:c>
      <x:c r="J2485" s="115" t="str">
        <x:v>Non</x:v>
      </x:c>
      <x:c r="K2485" s="115" t="str">
        <x:v>Pièces décrites, murs, portes, niveaux et mobilier inspectables à l’échelle. Volumes réservés, raccord au seed, butin, rencontres et services de campagne restent à terminer.</x:v>
      </x:c>
    </x:row>
    <x:row r="2486" ht="96" customHeight="1">
      <x:c r="A2486" s="115" t="str">
        <x:v>EXT-MONDE-T050-V31</x:v>
      </x:c>
      <x:c r="B2486" s="115" t="str">
        <x:v>EXT-MONDE-T050</x:v>
      </x:c>
      <x:c r="C2486" s="115" t="str">
        <x:v>Parcs attractions</x:v>
      </x:c>
      <x:c r="D2486" s="115" t="str">
        <x:v>Parc à sensations</x:v>
      </x:c>
      <x:c r="E2486" s="115" t="n">
        <x:v>31</x:v>
      </x:c>
      <x:c r="F2486" s="115" t="str">
        <x:v>Inspection physique</x:v>
      </x:c>
      <x:c r="G2486" s="115" t="str">
        <x:v>1 niveaux ; 32 pièces ; 248 segments de mur ; 0 transitions. Inspection physique ; architecture complète encore ouverte.</x:v>
      </x:c>
      <x:c r="H2486" s="115" t="str">
        <x:v>L 524 ; l 638 ; hauteur 58 m ; choix de composition auteur ; dimensions réelles à documenter</x:v>
      </x:c>
      <x:c r="I2486" s="115" t="str">
        <x:v>À équilibrer</x:v>
      </x:c>
      <x:c r="J2486" s="115" t="str">
        <x:v>Non</x:v>
      </x:c>
      <x:c r="K2486" s="115" t="str">
        <x:v>Pièces décrites, murs, portes, niveaux et mobilier inspectables à l’échelle. Volumes réservés, raccord au seed, butin, rencontres et services de campagne restent à terminer.</x:v>
      </x:c>
    </x:row>
    <x:row r="2487" ht="96" customHeight="1">
      <x:c r="A2487" s="115" t="str">
        <x:v>EXT-MONDE-T050-V32</x:v>
      </x:c>
      <x:c r="B2487" s="115" t="str">
        <x:v>EXT-MONDE-T050</x:v>
      </x:c>
      <x:c r="C2487" s="115" t="str">
        <x:v>Parcs attractions</x:v>
      </x:c>
      <x:c r="D2487" s="115" t="str">
        <x:v>Parc à sensations</x:v>
      </x:c>
      <x:c r="E2487" s="115" t="n">
        <x:v>32</x:v>
      </x:c>
      <x:c r="F2487" s="115" t="str">
        <x:v>Inspection physique</x:v>
      </x:c>
      <x:c r="G2487" s="115" t="str">
        <x:v>1 niveaux ; 32 pièces ; 248 segments de mur ; 0 transitions. Inspection physique ; architecture complète encore ouverte.</x:v>
      </x:c>
      <x:c r="H2487" s="115" t="str">
        <x:v>L 524 ; l 638 ; hauteur 58 m ; choix de composition auteur ; dimensions réelles à documenter</x:v>
      </x:c>
      <x:c r="I2487" s="115" t="str">
        <x:v>À équilibrer</x:v>
      </x:c>
      <x:c r="J2487" s="115" t="str">
        <x:v>Non</x:v>
      </x:c>
      <x:c r="K2487" s="115" t="str">
        <x:v>Pièces décrites, murs, portes, niveaux et mobilier inspectables à l’échelle. Volumes réservés, raccord au seed, butin, rencontres et services de campagne restent à terminer.</x:v>
      </x:c>
    </x:row>
    <x:row r="2488" ht="96" customHeight="1">
      <x:c r="A2488" s="115" t="str">
        <x:v>EXT-MONDE-T050-V33</x:v>
      </x:c>
      <x:c r="B2488" s="115" t="str">
        <x:v>EXT-MONDE-T050</x:v>
      </x:c>
      <x:c r="C2488" s="115" t="str">
        <x:v>Parcs attractions</x:v>
      </x:c>
      <x:c r="D2488" s="115" t="str">
        <x:v>Parc à sensations</x:v>
      </x:c>
      <x:c r="E2488" s="115" t="n">
        <x:v>33</x:v>
      </x:c>
      <x:c r="F2488" s="115" t="str">
        <x:v>Inspection physique</x:v>
      </x:c>
      <x:c r="G2488" s="115" t="str">
        <x:v>1 niveaux ; 32 pièces ; 248 segments de mur ; 0 transitions. Inspection physique ; architecture complète encore ouverte.</x:v>
      </x:c>
      <x:c r="H2488" s="115" t="str">
        <x:v>L 524 ; l 638 ; hauteur 58 m ; choix de composition auteur ; dimensions réelles à documenter</x:v>
      </x:c>
      <x:c r="I2488" s="115" t="str">
        <x:v>À équilibrer</x:v>
      </x:c>
      <x:c r="J2488" s="115" t="str">
        <x:v>Non</x:v>
      </x:c>
      <x:c r="K2488" s="115" t="str">
        <x:v>Pièces décrites, murs, portes, niveaux et mobilier inspectables à l’échelle. Volumes réservés, raccord au seed, butin, rencontres et services de campagne restent à terminer.</x:v>
      </x:c>
    </x:row>
    <x:row r="2489" ht="96" customHeight="1">
      <x:c r="A2489" s="115" t="str">
        <x:v>EXT-MONDE-T050-V34</x:v>
      </x:c>
      <x:c r="B2489" s="115" t="str">
        <x:v>EXT-MONDE-T050</x:v>
      </x:c>
      <x:c r="C2489" s="115" t="str">
        <x:v>Parcs attractions</x:v>
      </x:c>
      <x:c r="D2489" s="115" t="str">
        <x:v>Parc à sensations</x:v>
      </x:c>
      <x:c r="E2489" s="115" t="n">
        <x:v>34</x:v>
      </x:c>
      <x:c r="F2489" s="115" t="str">
        <x:v>Inspection physique</x:v>
      </x:c>
      <x:c r="G2489" s="115" t="str">
        <x:v>1 niveaux ; 32 pièces ; 248 segments de mur ; 0 transitions. Inspection physique ; architecture complète encore ouverte.</x:v>
      </x:c>
      <x:c r="H2489" s="115" t="str">
        <x:v>L 524 ; l 638 ; hauteur 58 m ; choix de composition auteur ; dimensions réelles à documenter</x:v>
      </x:c>
      <x:c r="I2489" s="115" t="str">
        <x:v>À équilibrer</x:v>
      </x:c>
      <x:c r="J2489" s="115" t="str">
        <x:v>Non</x:v>
      </x:c>
      <x:c r="K2489" s="115" t="str">
        <x:v>Pièces décrites, murs, portes, niveaux et mobilier inspectables à l’échelle. Volumes réservés, raccord au seed, butin, rencontres et services de campagne restent à terminer.</x:v>
      </x:c>
    </x:row>
    <x:row r="2490" ht="96" customHeight="1">
      <x:c r="A2490" s="115" t="str">
        <x:v>EXT-MONDE-T050-V35</x:v>
      </x:c>
      <x:c r="B2490" s="115" t="str">
        <x:v>EXT-MONDE-T050</x:v>
      </x:c>
      <x:c r="C2490" s="115" t="str">
        <x:v>Parcs attractions</x:v>
      </x:c>
      <x:c r="D2490" s="115" t="str">
        <x:v>Parc à sensations</x:v>
      </x:c>
      <x:c r="E2490" s="115" t="n">
        <x:v>35</x:v>
      </x:c>
      <x:c r="F2490" s="115" t="str">
        <x:v>Inspection physique</x:v>
      </x:c>
      <x:c r="G2490" s="115" t="str">
        <x:v>1 niveaux ; 32 pièces ; 248 segments de mur ; 0 transitions. Inspection physique ; architecture complète encore ouverte.</x:v>
      </x:c>
      <x:c r="H2490" s="115" t="str">
        <x:v>L 524 ; l 638 ; hauteur 58 m ; choix de composition auteur ; dimensions réelles à documenter</x:v>
      </x:c>
      <x:c r="I2490" s="115" t="str">
        <x:v>À équilibrer</x:v>
      </x:c>
      <x:c r="J2490" s="115" t="str">
        <x:v>Non</x:v>
      </x:c>
      <x:c r="K2490" s="115" t="str">
        <x:v>Pièces décrites, murs, portes, niveaux et mobilier inspectables à l’échelle. Volumes réservés, raccord au seed, butin, rencontres et services de campagne restent à terminer.</x:v>
      </x:c>
    </x:row>
    <x:row r="2491" ht="96" customHeight="1">
      <x:c r="A2491" s="115" t="str">
        <x:v>EXT-MONDE-T050-V36</x:v>
      </x:c>
      <x:c r="B2491" s="115" t="str">
        <x:v>EXT-MONDE-T050</x:v>
      </x:c>
      <x:c r="C2491" s="115" t="str">
        <x:v>Parcs attractions</x:v>
      </x:c>
      <x:c r="D2491" s="115" t="str">
        <x:v>Parc à sensations</x:v>
      </x:c>
      <x:c r="E2491" s="115" t="n">
        <x:v>36</x:v>
      </x:c>
      <x:c r="F2491" s="115" t="str">
        <x:v>Inspection physique</x:v>
      </x:c>
      <x:c r="G2491" s="115" t="str">
        <x:v>1 niveaux ; 32 pièces ; 248 segments de mur ; 0 transitions. Inspection physique ; architecture complète encore ouverte.</x:v>
      </x:c>
      <x:c r="H2491" s="115" t="str">
        <x:v>L 524 ; l 638 ; hauteur 58 m ; choix de composition auteur ; dimensions réelles à documenter</x:v>
      </x:c>
      <x:c r="I2491" s="115" t="str">
        <x:v>À équilibrer</x:v>
      </x:c>
      <x:c r="J2491" s="115" t="str">
        <x:v>Non</x:v>
      </x:c>
      <x:c r="K2491" s="115" t="str">
        <x:v>Pièces décrites, murs, portes, niveaux et mobilier inspectables à l’échelle. Volumes réservés, raccord au seed, butin, rencontres et services de campagne restent à terminer.</x:v>
      </x:c>
    </x:row>
    <x:row r="2492" ht="96" customHeight="1">
      <x:c r="A2492" s="115" t="str">
        <x:v>EXT-MONDE-T050-V37</x:v>
      </x:c>
      <x:c r="B2492" s="115" t="str">
        <x:v>EXT-MONDE-T050</x:v>
      </x:c>
      <x:c r="C2492" s="115" t="str">
        <x:v>Parcs attractions</x:v>
      </x:c>
      <x:c r="D2492" s="115" t="str">
        <x:v>Parc à sensations</x:v>
      </x:c>
      <x:c r="E2492" s="115" t="n">
        <x:v>37</x:v>
      </x:c>
      <x:c r="F2492" s="115" t="str">
        <x:v>Inspection physique</x:v>
      </x:c>
      <x:c r="G2492" s="115" t="str">
        <x:v>1 niveaux ; 32 pièces ; 248 segments de mur ; 0 transitions. Inspection physique ; architecture complète encore ouverte.</x:v>
      </x:c>
      <x:c r="H2492" s="115" t="str">
        <x:v>L 524 ; l 638 ; hauteur 58 m ; choix de composition auteur ; dimensions réelles à documenter</x:v>
      </x:c>
      <x:c r="I2492" s="115" t="str">
        <x:v>À équilibrer</x:v>
      </x:c>
      <x:c r="J2492" s="115" t="str">
        <x:v>Non</x:v>
      </x:c>
      <x:c r="K2492" s="115" t="str">
        <x:v>Pièces décrites, murs, portes, niveaux et mobilier inspectables à l’échelle. Volumes réservés, raccord au seed, butin, rencontres et services de campagne restent à terminer.</x:v>
      </x:c>
    </x:row>
    <x:row r="2493" ht="96" customHeight="1">
      <x:c r="A2493" s="115" t="str">
        <x:v>EXT-MONDE-T050-V38</x:v>
      </x:c>
      <x:c r="B2493" s="115" t="str">
        <x:v>EXT-MONDE-T050</x:v>
      </x:c>
      <x:c r="C2493" s="115" t="str">
        <x:v>Parcs attractions</x:v>
      </x:c>
      <x:c r="D2493" s="115" t="str">
        <x:v>Parc à sensations</x:v>
      </x:c>
      <x:c r="E2493" s="115" t="n">
        <x:v>38</x:v>
      </x:c>
      <x:c r="F2493" s="115" t="str">
        <x:v>Inspection physique</x:v>
      </x:c>
      <x:c r="G2493" s="115" t="str">
        <x:v>1 niveaux ; 32 pièces ; 248 segments de mur ; 0 transitions. Inspection physique ; architecture complète encore ouverte.</x:v>
      </x:c>
      <x:c r="H2493" s="115" t="str">
        <x:v>L 524 ; l 638 ; hauteur 58 m ; choix de composition auteur ; dimensions réelles à documenter</x:v>
      </x:c>
      <x:c r="I2493" s="115" t="str">
        <x:v>À équilibrer</x:v>
      </x:c>
      <x:c r="J2493" s="115" t="str">
        <x:v>Non</x:v>
      </x:c>
      <x:c r="K2493" s="115" t="str">
        <x:v>Pièces décrites, murs, portes, niveaux et mobilier inspectables à l’échelle. Volumes réservés, raccord au seed, butin, rencontres et services de campagne restent à terminer.</x:v>
      </x:c>
    </x:row>
    <x:row r="2494" ht="96" customHeight="1">
      <x:c r="A2494" s="115" t="str">
        <x:v>EXT-MONDE-T050-V39</x:v>
      </x:c>
      <x:c r="B2494" s="115" t="str">
        <x:v>EXT-MONDE-T050</x:v>
      </x:c>
      <x:c r="C2494" s="115" t="str">
        <x:v>Parcs attractions</x:v>
      </x:c>
      <x:c r="D2494" s="115" t="str">
        <x:v>Parc à sensations</x:v>
      </x:c>
      <x:c r="E2494" s="115" t="n">
        <x:v>39</x:v>
      </x:c>
      <x:c r="F2494" s="115" t="str">
        <x:v>Inspection physique</x:v>
      </x:c>
      <x:c r="G2494" s="115" t="str">
        <x:v>1 niveaux ; 32 pièces ; 248 segments de mur ; 0 transitions. Inspection physique ; architecture complète encore ouverte.</x:v>
      </x:c>
      <x:c r="H2494" s="115" t="str">
        <x:v>L 524 ; l 638 ; hauteur 58 m ; choix de composition auteur ; dimensions réelles à documenter</x:v>
      </x:c>
      <x:c r="I2494" s="115" t="str">
        <x:v>À équilibrer</x:v>
      </x:c>
      <x:c r="J2494" s="115" t="str">
        <x:v>Non</x:v>
      </x:c>
      <x:c r="K2494" s="115" t="str">
        <x:v>Pièces décrites, murs, portes, niveaux et mobilier inspectables à l’échelle. Volumes réservés, raccord au seed, butin, rencontres et services de campagne restent à terminer.</x:v>
      </x:c>
    </x:row>
    <x:row r="2495" ht="96" customHeight="1">
      <x:c r="A2495" s="115" t="str">
        <x:v>EXT-MONDE-T050-V40</x:v>
      </x:c>
      <x:c r="B2495" s="115" t="str">
        <x:v>EXT-MONDE-T050</x:v>
      </x:c>
      <x:c r="C2495" s="115" t="str">
        <x:v>Parcs attractions</x:v>
      </x:c>
      <x:c r="D2495" s="115" t="str">
        <x:v>Parc à sensations</x:v>
      </x:c>
      <x:c r="E2495" s="115" t="n">
        <x:v>40</x:v>
      </x:c>
      <x:c r="F2495" s="115" t="str">
        <x:v>Inspection physique</x:v>
      </x:c>
      <x:c r="G2495" s="115" t="str">
        <x:v>1 niveaux ; 32 pièces ; 248 segments de mur ; 0 transitions. Inspection physique ; architecture complète encore ouverte.</x:v>
      </x:c>
      <x:c r="H2495" s="115" t="str">
        <x:v>L 524 ; l 638 ; hauteur 58 m ; choix de composition auteur ; dimensions réelles à documenter</x:v>
      </x:c>
      <x:c r="I2495" s="115" t="str">
        <x:v>À équilibrer</x:v>
      </x:c>
      <x:c r="J2495" s="115" t="str">
        <x:v>Non</x:v>
      </x:c>
      <x:c r="K2495" s="115" t="str">
        <x:v>Pièces décrites, murs, portes, niveaux et mobilier inspectables à l’échelle. Volumes réservés, raccord au seed, butin, rencontres et services de campagne restent à terminer.</x:v>
      </x:c>
    </x:row>
    <x:row r="2496" ht="96" customHeight="1">
      <x:c r="A2496" s="115" t="str">
        <x:v>EXT-MONDE-T050-V41</x:v>
      </x:c>
      <x:c r="B2496" s="115" t="str">
        <x:v>EXT-MONDE-T050</x:v>
      </x:c>
      <x:c r="C2496" s="115" t="str">
        <x:v>Parcs attractions</x:v>
      </x:c>
      <x:c r="D2496" s="115" t="str">
        <x:v>Parc à sensations</x:v>
      </x:c>
      <x:c r="E2496" s="115" t="n">
        <x:v>41</x:v>
      </x:c>
      <x:c r="F2496" s="115" t="str">
        <x:v>Inspection physique</x:v>
      </x:c>
      <x:c r="G2496" s="115" t="str">
        <x:v>1 niveaux ; 32 pièces ; 248 segments de mur ; 0 transitions. Inspection physique ; architecture complète encore ouverte.</x:v>
      </x:c>
      <x:c r="H2496" s="115" t="str">
        <x:v>L 536 ; l 646 ; hauteur 58 m ; choix de composition auteur ; dimensions réelles à documenter</x:v>
      </x:c>
      <x:c r="I2496" s="115" t="str">
        <x:v>À équilibrer</x:v>
      </x:c>
      <x:c r="J2496" s="115" t="str">
        <x:v>Non</x:v>
      </x:c>
      <x:c r="K2496" s="115" t="str">
        <x:v>Pièces décrites, murs, portes, niveaux et mobilier inspectables à l’échelle. Volumes réservés, raccord au seed, butin, rencontres et services de campagne restent à terminer.</x:v>
      </x:c>
    </x:row>
    <x:row r="2497" ht="96" customHeight="1">
      <x:c r="A2497" s="115" t="str">
        <x:v>EXT-MONDE-T050-V42</x:v>
      </x:c>
      <x:c r="B2497" s="115" t="str">
        <x:v>EXT-MONDE-T050</x:v>
      </x:c>
      <x:c r="C2497" s="115" t="str">
        <x:v>Parcs attractions</x:v>
      </x:c>
      <x:c r="D2497" s="115" t="str">
        <x:v>Parc à sensations</x:v>
      </x:c>
      <x:c r="E2497" s="115" t="n">
        <x:v>42</x:v>
      </x:c>
      <x:c r="F2497" s="115" t="str">
        <x:v>Inspection physique</x:v>
      </x:c>
      <x:c r="G2497" s="115" t="str">
        <x:v>1 niveaux ; 32 pièces ; 248 segments de mur ; 0 transitions. Inspection physique ; architecture complète encore ouverte.</x:v>
      </x:c>
      <x:c r="H2497" s="115" t="str">
        <x:v>L 536 ; l 646 ; hauteur 58 m ; choix de composition auteur ; dimensions réelles à documenter</x:v>
      </x:c>
      <x:c r="I2497" s="115" t="str">
        <x:v>À équilibrer</x:v>
      </x:c>
      <x:c r="J2497" s="115" t="str">
        <x:v>Non</x:v>
      </x:c>
      <x:c r="K2497" s="115" t="str">
        <x:v>Pièces décrites, murs, portes, niveaux et mobilier inspectables à l’échelle. Volumes réservés, raccord au seed, butin, rencontres et services de campagne restent à terminer.</x:v>
      </x:c>
    </x:row>
    <x:row r="2498" ht="96" customHeight="1">
      <x:c r="A2498" s="115" t="str">
        <x:v>EXT-MONDE-T050-V43</x:v>
      </x:c>
      <x:c r="B2498" s="115" t="str">
        <x:v>EXT-MONDE-T050</x:v>
      </x:c>
      <x:c r="C2498" s="115" t="str">
        <x:v>Parcs attractions</x:v>
      </x:c>
      <x:c r="D2498" s="115" t="str">
        <x:v>Parc à sensations</x:v>
      </x:c>
      <x:c r="E2498" s="115" t="n">
        <x:v>43</x:v>
      </x:c>
      <x:c r="F2498" s="115" t="str">
        <x:v>Inspection physique</x:v>
      </x:c>
      <x:c r="G2498" s="115" t="str">
        <x:v>1 niveaux ; 32 pièces ; 248 segments de mur ; 0 transitions. Inspection physique ; architecture complète encore ouverte.</x:v>
      </x:c>
      <x:c r="H2498" s="115" t="str">
        <x:v>L 536 ; l 646 ; hauteur 58 m ; choix de composition auteur ; dimensions réelles à documenter</x:v>
      </x:c>
      <x:c r="I2498" s="115" t="str">
        <x:v>À équilibrer</x:v>
      </x:c>
      <x:c r="J2498" s="115" t="str">
        <x:v>Non</x:v>
      </x:c>
      <x:c r="K2498" s="115" t="str">
        <x:v>Pièces décrites, murs, portes, niveaux et mobilier inspectables à l’échelle. Volumes réservés, raccord au seed, butin, rencontres et services de campagne restent à terminer.</x:v>
      </x:c>
    </x:row>
    <x:row r="2499" ht="96" customHeight="1">
      <x:c r="A2499" s="115" t="str">
        <x:v>EXT-MONDE-T050-V44</x:v>
      </x:c>
      <x:c r="B2499" s="115" t="str">
        <x:v>EXT-MONDE-T050</x:v>
      </x:c>
      <x:c r="C2499" s="115" t="str">
        <x:v>Parcs attractions</x:v>
      </x:c>
      <x:c r="D2499" s="115" t="str">
        <x:v>Parc à sensations</x:v>
      </x:c>
      <x:c r="E2499" s="115" t="n">
        <x:v>44</x:v>
      </x:c>
      <x:c r="F2499" s="115" t="str">
        <x:v>Inspection physique</x:v>
      </x:c>
      <x:c r="G2499" s="115" t="str">
        <x:v>1 niveaux ; 32 pièces ; 248 segments de mur ; 0 transitions. Inspection physique ; architecture complète encore ouverte.</x:v>
      </x:c>
      <x:c r="H2499" s="115" t="str">
        <x:v>L 536 ; l 646 ; hauteur 58 m ; choix de composition auteur ; dimensions réelles à documenter</x:v>
      </x:c>
      <x:c r="I2499" s="115" t="str">
        <x:v>À équilibrer</x:v>
      </x:c>
      <x:c r="J2499" s="115" t="str">
        <x:v>Non</x:v>
      </x:c>
      <x:c r="K2499" s="115" t="str">
        <x:v>Pièces décrites, murs, portes, niveaux et mobilier inspectables à l’échelle. Volumes réservés, raccord au seed, butin, rencontres et services de campagne restent à terminer.</x:v>
      </x:c>
    </x:row>
    <x:row r="2500" ht="96" customHeight="1">
      <x:c r="A2500" s="115" t="str">
        <x:v>EXT-MONDE-T050-V45</x:v>
      </x:c>
      <x:c r="B2500" s="115" t="str">
        <x:v>EXT-MONDE-T050</x:v>
      </x:c>
      <x:c r="C2500" s="115" t="str">
        <x:v>Parcs attractions</x:v>
      </x:c>
      <x:c r="D2500" s="115" t="str">
        <x:v>Parc à sensations</x:v>
      </x:c>
      <x:c r="E2500" s="115" t="n">
        <x:v>45</x:v>
      </x:c>
      <x:c r="F2500" s="115" t="str">
        <x:v>Inspection physique</x:v>
      </x:c>
      <x:c r="G2500" s="115" t="str">
        <x:v>1 niveaux ; 32 pièces ; 248 segments de mur ; 0 transitions. Inspection physique ; architecture complète encore ouverte.</x:v>
      </x:c>
      <x:c r="H2500" s="115" t="str">
        <x:v>L 536 ; l 646 ; hauteur 58 m ; choix de composition auteur ; dimensions réelles à documenter</x:v>
      </x:c>
      <x:c r="I2500" s="115" t="str">
        <x:v>À équilibrer</x:v>
      </x:c>
      <x:c r="J2500" s="115" t="str">
        <x:v>Non</x:v>
      </x:c>
      <x:c r="K2500" s="115" t="str">
        <x:v>Pièces décrites, murs, portes, niveaux et mobilier inspectables à l’échelle. Volumes réservés, raccord au seed, butin, rencontres et services de campagne restent à terminer.</x:v>
      </x:c>
    </x:row>
    <x:row r="2501" ht="96" customHeight="1">
      <x:c r="A2501" s="115" t="str">
        <x:v>EXT-MONDE-T050-V46</x:v>
      </x:c>
      <x:c r="B2501" s="115" t="str">
        <x:v>EXT-MONDE-T050</x:v>
      </x:c>
      <x:c r="C2501" s="115" t="str">
        <x:v>Parcs attractions</x:v>
      </x:c>
      <x:c r="D2501" s="115" t="str">
        <x:v>Parc à sensations</x:v>
      </x:c>
      <x:c r="E2501" s="115" t="n">
        <x:v>46</x:v>
      </x:c>
      <x:c r="F2501" s="115" t="str">
        <x:v>Inspection physique</x:v>
      </x:c>
      <x:c r="G2501" s="115" t="str">
        <x:v>1 niveaux ; 32 pièces ; 248 segments de mur ; 0 transitions. Inspection physique ; architecture complète encore ouverte.</x:v>
      </x:c>
      <x:c r="H2501" s="115" t="str">
        <x:v>L 536 ; l 646 ; hauteur 58 m ; choix de composition auteur ; dimensions réelles à documenter</x:v>
      </x:c>
      <x:c r="I2501" s="115" t="str">
        <x:v>À équilibrer</x:v>
      </x:c>
      <x:c r="J2501" s="115" t="str">
        <x:v>Non</x:v>
      </x:c>
      <x:c r="K2501" s="115" t="str">
        <x:v>Pièces décrites, murs, portes, niveaux et mobilier inspectables à l’échelle. Volumes réservés, raccord au seed, butin, rencontres et services de campagne restent à terminer.</x:v>
      </x:c>
    </x:row>
    <x:row r="2502" ht="96" customHeight="1">
      <x:c r="A2502" s="115" t="str">
        <x:v>EXT-MONDE-T050-V47</x:v>
      </x:c>
      <x:c r="B2502" s="115" t="str">
        <x:v>EXT-MONDE-T050</x:v>
      </x:c>
      <x:c r="C2502" s="115" t="str">
        <x:v>Parcs attractions</x:v>
      </x:c>
      <x:c r="D2502" s="115" t="str">
        <x:v>Parc à sensations</x:v>
      </x:c>
      <x:c r="E2502" s="115" t="n">
        <x:v>47</x:v>
      </x:c>
      <x:c r="F2502" s="115" t="str">
        <x:v>Inspection physique</x:v>
      </x:c>
      <x:c r="G2502" s="115" t="str">
        <x:v>1 niveaux ; 32 pièces ; 248 segments de mur ; 0 transitions. Inspection physique ; architecture complète encore ouverte.</x:v>
      </x:c>
      <x:c r="H2502" s="115" t="str">
        <x:v>L 536 ; l 646 ; hauteur 58 m ; choix de composition auteur ; dimensions réelles à documenter</x:v>
      </x:c>
      <x:c r="I2502" s="115" t="str">
        <x:v>À équilibrer</x:v>
      </x:c>
      <x:c r="J2502" s="115" t="str">
        <x:v>Non</x:v>
      </x:c>
      <x:c r="K2502" s="115" t="str">
        <x:v>Pièces décrites, murs, portes, niveaux et mobilier inspectables à l’échelle. Volumes réservés, raccord au seed, butin, rencontres et services de campagne restent à terminer.</x:v>
      </x:c>
    </x:row>
    <x:row r="2503" ht="96" customHeight="1">
      <x:c r="A2503" s="115" t="str">
        <x:v>EXT-MONDE-T050-V48</x:v>
      </x:c>
      <x:c r="B2503" s="115" t="str">
        <x:v>EXT-MONDE-T050</x:v>
      </x:c>
      <x:c r="C2503" s="115" t="str">
        <x:v>Parcs attractions</x:v>
      </x:c>
      <x:c r="D2503" s="115" t="str">
        <x:v>Parc à sensations</x:v>
      </x:c>
      <x:c r="E2503" s="115" t="n">
        <x:v>48</x:v>
      </x:c>
      <x:c r="F2503" s="115" t="str">
        <x:v>Inspection physique</x:v>
      </x:c>
      <x:c r="G2503" s="115" t="str">
        <x:v>1 niveaux ; 32 pièces ; 248 segments de mur ; 0 transitions. Inspection physique ; architecture complète encore ouverte.</x:v>
      </x:c>
      <x:c r="H2503" s="115" t="str">
        <x:v>L 536 ; l 646 ; hauteur 58 m ; choix de composition auteur ; dimensions réelles à documenter</x:v>
      </x:c>
      <x:c r="I2503" s="115" t="str">
        <x:v>À équilibrer</x:v>
      </x:c>
      <x:c r="J2503" s="115" t="str">
        <x:v>Non</x:v>
      </x:c>
      <x:c r="K2503" s="115" t="str">
        <x:v>Pièces décrites, murs, portes, niveaux et mobilier inspectables à l’échelle. Volumes réservés, raccord au seed, butin, rencontres et services de campagne restent à terminer.</x:v>
      </x:c>
    </x:row>
    <x:row r="2504" ht="96" customHeight="1">
      <x:c r="A2504" s="115" t="str">
        <x:v>EXT-MONDE-T050-V49</x:v>
      </x:c>
      <x:c r="B2504" s="115" t="str">
        <x:v>EXT-MONDE-T050</x:v>
      </x:c>
      <x:c r="C2504" s="115" t="str">
        <x:v>Parcs attractions</x:v>
      </x:c>
      <x:c r="D2504" s="115" t="str">
        <x:v>Parc à sensations</x:v>
      </x:c>
      <x:c r="E2504" s="115" t="n">
        <x:v>49</x:v>
      </x:c>
      <x:c r="F2504" s="115" t="str">
        <x:v>Inspection physique</x:v>
      </x:c>
      <x:c r="G2504" s="115" t="str">
        <x:v>1 niveaux ; 32 pièces ; 248 segments de mur ; 0 transitions. Inspection physique ; architecture complète encore ouverte.</x:v>
      </x:c>
      <x:c r="H2504" s="115" t="str">
        <x:v>L 536 ; l 646 ; hauteur 58 m ; choix de composition auteur ; dimensions réelles à documenter</x:v>
      </x:c>
      <x:c r="I2504" s="115" t="str">
        <x:v>À équilibrer</x:v>
      </x:c>
      <x:c r="J2504" s="115" t="str">
        <x:v>Non</x:v>
      </x:c>
      <x:c r="K2504" s="115" t="str">
        <x:v>Pièces décrites, murs, portes, niveaux et mobilier inspectables à l’échelle. Volumes réservés, raccord au seed, butin, rencontres et services de campagne restent à terminer.</x:v>
      </x:c>
    </x:row>
    <x:row r="2505" ht="96" customHeight="1">
      <x:c r="A2505" s="115" t="str">
        <x:v>EXT-MONDE-T050-V50</x:v>
      </x:c>
      <x:c r="B2505" s="115" t="str">
        <x:v>EXT-MONDE-T050</x:v>
      </x:c>
      <x:c r="C2505" s="115" t="str">
        <x:v>Parcs attractions</x:v>
      </x:c>
      <x:c r="D2505" s="115" t="str">
        <x:v>Parc à sensations</x:v>
      </x:c>
      <x:c r="E2505" s="115" t="n">
        <x:v>50</x:v>
      </x:c>
      <x:c r="F2505" s="115" t="str">
        <x:v>Inspection physique</x:v>
      </x:c>
      <x:c r="G2505" s="115" t="str">
        <x:v>1 niveaux ; 32 pièces ; 248 segments de mur ; 0 transitions. Inspection physique ; architecture complète encore ouverte.</x:v>
      </x:c>
      <x:c r="H2505" s="115" t="str">
        <x:v>L 536 ; l 646 ; hauteur 58 m ; choix de composition auteur ; dimensions réelles à documenter</x:v>
      </x:c>
      <x:c r="I2505" s="115" t="str">
        <x:v>À équilibrer</x:v>
      </x:c>
      <x:c r="J2505" s="115" t="str">
        <x:v>Non</x:v>
      </x:c>
      <x:c r="K2505" s="115" t="str">
        <x:v>Pièces décrites, murs, portes, niveaux et mobilier inspectables à l’échelle. Volumes réservés, raccord au seed, butin, rencontres et services de campagne restent à terminer.</x:v>
      </x:c>
    </x:row>
    <x:row r="2506" ht="96" customHeight="1">
      <x:c r="A2506" s="115" t="str">
        <x:v>EXT-MONDE-T051-V01</x:v>
      </x:c>
      <x:c r="B2506" s="115" t="str">
        <x:v>EXT-MONDE-T051</x:v>
      </x:c>
      <x:c r="C2506" s="115" t="str">
        <x:v>Parcs attractions</x:v>
      </x:c>
      <x:c r="D2506" s="115" t="str">
        <x:v>Parc aquatique</x:v>
      </x:c>
      <x:c r="E2506" s="115" t="n">
        <x:v>1</x:v>
      </x:c>
      <x:c r="F2506" s="115" t="str">
        <x:v>Inspection physique</x:v>
      </x:c>
      <x:c r="G2506" s="115" t="str">
        <x:v>1 niveaux ; 32 pièces ; 248 segments de mur ; 0 transitions. Inspection physique ; architecture complète encore ouverte.</x:v>
      </x:c>
      <x:c r="H2506" s="115" t="str">
        <x:v>L 362 ; l 446 ; hauteur 18 m ; choix de composition auteur ; dimensions réelles à documenter</x:v>
      </x:c>
      <x:c r="I2506" s="115" t="str">
        <x:v>À équilibrer</x:v>
      </x:c>
      <x:c r="J2506" s="115" t="str">
        <x:v>Non</x:v>
      </x:c>
      <x:c r="K2506" s="115" t="str">
        <x:v>Pièces décrites, murs, portes, niveaux et mobilier inspectables à l’échelle. Volumes réservés, raccord au seed, butin, rencontres et services de campagne restent à terminer.</x:v>
      </x:c>
    </x:row>
    <x:row r="2507" ht="96" customHeight="1">
      <x:c r="A2507" s="115" t="str">
        <x:v>EXT-MONDE-T051-V02</x:v>
      </x:c>
      <x:c r="B2507" s="115" t="str">
        <x:v>EXT-MONDE-T051</x:v>
      </x:c>
      <x:c r="C2507" s="115" t="str">
        <x:v>Parcs attractions</x:v>
      </x:c>
      <x:c r="D2507" s="115" t="str">
        <x:v>Parc aquatique</x:v>
      </x:c>
      <x:c r="E2507" s="115" t="n">
        <x:v>2</x:v>
      </x:c>
      <x:c r="F2507" s="115" t="str">
        <x:v>Inspection physique</x:v>
      </x:c>
      <x:c r="G2507" s="115" t="str">
        <x:v>1 niveaux ; 32 pièces ; 248 segments de mur ; 0 transitions. Inspection physique ; architecture complète encore ouverte.</x:v>
      </x:c>
      <x:c r="H2507" s="115" t="str">
        <x:v>L 362 ; l 446 ; hauteur 18 m ; choix de composition auteur ; dimensions réelles à documenter</x:v>
      </x:c>
      <x:c r="I2507" s="115" t="str">
        <x:v>À équilibrer</x:v>
      </x:c>
      <x:c r="J2507" s="115" t="str">
        <x:v>Non</x:v>
      </x:c>
      <x:c r="K2507" s="115" t="str">
        <x:v>Pièces décrites, murs, portes, niveaux et mobilier inspectables à l’échelle. Volumes réservés, raccord au seed, butin, rencontres et services de campagne restent à terminer.</x:v>
      </x:c>
    </x:row>
    <x:row r="2508" ht="96" customHeight="1">
      <x:c r="A2508" s="115" t="str">
        <x:v>EXT-MONDE-T051-V03</x:v>
      </x:c>
      <x:c r="B2508" s="115" t="str">
        <x:v>EXT-MONDE-T051</x:v>
      </x:c>
      <x:c r="C2508" s="115" t="str">
        <x:v>Parcs attractions</x:v>
      </x:c>
      <x:c r="D2508" s="115" t="str">
        <x:v>Parc aquatique</x:v>
      </x:c>
      <x:c r="E2508" s="115" t="n">
        <x:v>3</x:v>
      </x:c>
      <x:c r="F2508" s="115" t="str">
        <x:v>Inspection physique</x:v>
      </x:c>
      <x:c r="G2508" s="115" t="str">
        <x:v>1 niveaux ; 32 pièces ; 248 segments de mur ; 0 transitions. Inspection physique ; architecture complète encore ouverte.</x:v>
      </x:c>
      <x:c r="H2508" s="115" t="str">
        <x:v>L 362 ; l 446 ; hauteur 18 m ; choix de composition auteur ; dimensions réelles à documenter</x:v>
      </x:c>
      <x:c r="I2508" s="115" t="str">
        <x:v>À équilibrer</x:v>
      </x:c>
      <x:c r="J2508" s="115" t="str">
        <x:v>Non</x:v>
      </x:c>
      <x:c r="K2508" s="115" t="str">
        <x:v>Pièces décrites, murs, portes, niveaux et mobilier inspectables à l’échelle. Volumes réservés, raccord au seed, butin, rencontres et services de campagne restent à terminer.</x:v>
      </x:c>
    </x:row>
    <x:row r="2509" ht="96" customHeight="1">
      <x:c r="A2509" s="115" t="str">
        <x:v>EXT-MONDE-T051-V04</x:v>
      </x:c>
      <x:c r="B2509" s="115" t="str">
        <x:v>EXT-MONDE-T051</x:v>
      </x:c>
      <x:c r="C2509" s="115" t="str">
        <x:v>Parcs attractions</x:v>
      </x:c>
      <x:c r="D2509" s="115" t="str">
        <x:v>Parc aquatique</x:v>
      </x:c>
      <x:c r="E2509" s="115" t="n">
        <x:v>4</x:v>
      </x:c>
      <x:c r="F2509" s="115" t="str">
        <x:v>Inspection physique</x:v>
      </x:c>
      <x:c r="G2509" s="115" t="str">
        <x:v>1 niveaux ; 32 pièces ; 248 segments de mur ; 0 transitions. Inspection physique ; architecture complète encore ouverte.</x:v>
      </x:c>
      <x:c r="H2509" s="115" t="str">
        <x:v>L 362 ; l 446 ; hauteur 18 m ; choix de composition auteur ; dimensions réelles à documenter</x:v>
      </x:c>
      <x:c r="I2509" s="115" t="str">
        <x:v>À équilibrer</x:v>
      </x:c>
      <x:c r="J2509" s="115" t="str">
        <x:v>Non</x:v>
      </x:c>
      <x:c r="K2509" s="115" t="str">
        <x:v>Pièces décrites, murs, portes, niveaux et mobilier inspectables à l’échelle. Volumes réservés, raccord au seed, butin, rencontres et services de campagne restent à terminer.</x:v>
      </x:c>
    </x:row>
    <x:row r="2510" ht="96" customHeight="1">
      <x:c r="A2510" s="115" t="str">
        <x:v>EXT-MONDE-T051-V05</x:v>
      </x:c>
      <x:c r="B2510" s="115" t="str">
        <x:v>EXT-MONDE-T051</x:v>
      </x:c>
      <x:c r="C2510" s="115" t="str">
        <x:v>Parcs attractions</x:v>
      </x:c>
      <x:c r="D2510" s="115" t="str">
        <x:v>Parc aquatique</x:v>
      </x:c>
      <x:c r="E2510" s="115" t="n">
        <x:v>5</x:v>
      </x:c>
      <x:c r="F2510" s="115" t="str">
        <x:v>Inspection physique</x:v>
      </x:c>
      <x:c r="G2510" s="115" t="str">
        <x:v>1 niveaux ; 32 pièces ; 248 segments de mur ; 0 transitions. Inspection physique ; architecture complète encore ouverte.</x:v>
      </x:c>
      <x:c r="H2510" s="115" t="str">
        <x:v>L 362 ; l 446 ; hauteur 18 m ; choix de composition auteur ; dimensions réelles à documenter</x:v>
      </x:c>
      <x:c r="I2510" s="115" t="str">
        <x:v>À équilibrer</x:v>
      </x:c>
      <x:c r="J2510" s="115" t="str">
        <x:v>Non</x:v>
      </x:c>
      <x:c r="K2510" s="115" t="str">
        <x:v>Pièces décrites, murs, portes, niveaux et mobilier inspectables à l’échelle. Volumes réservés, raccord au seed, butin, rencontres et services de campagne restent à terminer.</x:v>
      </x:c>
    </x:row>
    <x:row r="2511" ht="96" customHeight="1">
      <x:c r="A2511" s="115" t="str">
        <x:v>EXT-MONDE-T051-V06</x:v>
      </x:c>
      <x:c r="B2511" s="115" t="str">
        <x:v>EXT-MONDE-T051</x:v>
      </x:c>
      <x:c r="C2511" s="115" t="str">
        <x:v>Parcs attractions</x:v>
      </x:c>
      <x:c r="D2511" s="115" t="str">
        <x:v>Parc aquatique</x:v>
      </x:c>
      <x:c r="E2511" s="115" t="n">
        <x:v>6</x:v>
      </x:c>
      <x:c r="F2511" s="115" t="str">
        <x:v>Inspection physique</x:v>
      </x:c>
      <x:c r="G2511" s="115" t="str">
        <x:v>1 niveaux ; 32 pièces ; 248 segments de mur ; 0 transitions. Inspection physique ; architecture complète encore ouverte.</x:v>
      </x:c>
      <x:c r="H2511" s="115" t="str">
        <x:v>L 362 ; l 446 ; hauteur 18 m ; choix de composition auteur ; dimensions réelles à documenter</x:v>
      </x:c>
      <x:c r="I2511" s="115" t="str">
        <x:v>À équilibrer</x:v>
      </x:c>
      <x:c r="J2511" s="115" t="str">
        <x:v>Non</x:v>
      </x:c>
      <x:c r="K2511" s="115" t="str">
        <x:v>Pièces décrites, murs, portes, niveaux et mobilier inspectables à l’échelle. Volumes réservés, raccord au seed, butin, rencontres et services de campagne restent à terminer.</x:v>
      </x:c>
    </x:row>
    <x:row r="2512" ht="96" customHeight="1">
      <x:c r="A2512" s="115" t="str">
        <x:v>EXT-MONDE-T051-V07</x:v>
      </x:c>
      <x:c r="B2512" s="115" t="str">
        <x:v>EXT-MONDE-T051</x:v>
      </x:c>
      <x:c r="C2512" s="115" t="str">
        <x:v>Parcs attractions</x:v>
      </x:c>
      <x:c r="D2512" s="115" t="str">
        <x:v>Parc aquatique</x:v>
      </x:c>
      <x:c r="E2512" s="115" t="n">
        <x:v>7</x:v>
      </x:c>
      <x:c r="F2512" s="115" t="str">
        <x:v>Inspection physique</x:v>
      </x:c>
      <x:c r="G2512" s="115" t="str">
        <x:v>1 niveaux ; 32 pièces ; 248 segments de mur ; 0 transitions. Inspection physique ; architecture complète encore ouverte.</x:v>
      </x:c>
      <x:c r="H2512" s="115" t="str">
        <x:v>L 362 ; l 446 ; hauteur 18 m ; choix de composition auteur ; dimensions réelles à documenter</x:v>
      </x:c>
      <x:c r="I2512" s="115" t="str">
        <x:v>À équilibrer</x:v>
      </x:c>
      <x:c r="J2512" s="115" t="str">
        <x:v>Non</x:v>
      </x:c>
      <x:c r="K2512" s="115" t="str">
        <x:v>Pièces décrites, murs, portes, niveaux et mobilier inspectables à l’échelle. Volumes réservés, raccord au seed, butin, rencontres et services de campagne restent à terminer.</x:v>
      </x:c>
    </x:row>
    <x:row r="2513" ht="96" customHeight="1">
      <x:c r="A2513" s="115" t="str">
        <x:v>EXT-MONDE-T051-V08</x:v>
      </x:c>
      <x:c r="B2513" s="115" t="str">
        <x:v>EXT-MONDE-T051</x:v>
      </x:c>
      <x:c r="C2513" s="115" t="str">
        <x:v>Parcs attractions</x:v>
      </x:c>
      <x:c r="D2513" s="115" t="str">
        <x:v>Parc aquatique</x:v>
      </x:c>
      <x:c r="E2513" s="115" t="n">
        <x:v>8</x:v>
      </x:c>
      <x:c r="F2513" s="115" t="str">
        <x:v>Inspection physique</x:v>
      </x:c>
      <x:c r="G2513" s="115" t="str">
        <x:v>1 niveaux ; 32 pièces ; 248 segments de mur ; 0 transitions. Inspection physique ; architecture complète encore ouverte.</x:v>
      </x:c>
      <x:c r="H2513" s="115" t="str">
        <x:v>L 362 ; l 446 ; hauteur 18 m ; choix de composition auteur ; dimensions réelles à documenter</x:v>
      </x:c>
      <x:c r="I2513" s="115" t="str">
        <x:v>À équilibrer</x:v>
      </x:c>
      <x:c r="J2513" s="115" t="str">
        <x:v>Non</x:v>
      </x:c>
      <x:c r="K2513" s="115" t="str">
        <x:v>Pièces décrites, murs, portes, niveaux et mobilier inspectables à l’échelle. Volumes réservés, raccord au seed, butin, rencontres et services de campagne restent à terminer.</x:v>
      </x:c>
    </x:row>
    <x:row r="2514" ht="96" customHeight="1">
      <x:c r="A2514" s="115" t="str">
        <x:v>EXT-MONDE-T051-V09</x:v>
      </x:c>
      <x:c r="B2514" s="115" t="str">
        <x:v>EXT-MONDE-T051</x:v>
      </x:c>
      <x:c r="C2514" s="115" t="str">
        <x:v>Parcs attractions</x:v>
      </x:c>
      <x:c r="D2514" s="115" t="str">
        <x:v>Parc aquatique</x:v>
      </x:c>
      <x:c r="E2514" s="115" t="n">
        <x:v>9</x:v>
      </x:c>
      <x:c r="F2514" s="115" t="str">
        <x:v>Inspection physique</x:v>
      </x:c>
      <x:c r="G2514" s="115" t="str">
        <x:v>1 niveaux ; 32 pièces ; 248 segments de mur ; 0 transitions. Inspection physique ; architecture complète encore ouverte.</x:v>
      </x:c>
      <x:c r="H2514" s="115" t="str">
        <x:v>L 362 ; l 446 ; hauteur 18 m ; choix de composition auteur ; dimensions réelles à documenter</x:v>
      </x:c>
      <x:c r="I2514" s="115" t="str">
        <x:v>À équilibrer</x:v>
      </x:c>
      <x:c r="J2514" s="115" t="str">
        <x:v>Non</x:v>
      </x:c>
      <x:c r="K2514" s="115" t="str">
        <x:v>Pièces décrites, murs, portes, niveaux et mobilier inspectables à l’échelle. Volumes réservés, raccord au seed, butin, rencontres et services de campagne restent à terminer.</x:v>
      </x:c>
    </x:row>
    <x:row r="2515" ht="96" customHeight="1">
      <x:c r="A2515" s="115" t="str">
        <x:v>EXT-MONDE-T051-V10</x:v>
      </x:c>
      <x:c r="B2515" s="115" t="str">
        <x:v>EXT-MONDE-T051</x:v>
      </x:c>
      <x:c r="C2515" s="115" t="str">
        <x:v>Parcs attractions</x:v>
      </x:c>
      <x:c r="D2515" s="115" t="str">
        <x:v>Parc aquatique</x:v>
      </x:c>
      <x:c r="E2515" s="115" t="n">
        <x:v>10</x:v>
      </x:c>
      <x:c r="F2515" s="115" t="str">
        <x:v>Inspection physique</x:v>
      </x:c>
      <x:c r="G2515" s="115" t="str">
        <x:v>1 niveaux ; 32 pièces ; 248 segments de mur ; 0 transitions. Inspection physique ; architecture complète encore ouverte.</x:v>
      </x:c>
      <x:c r="H2515" s="115" t="str">
        <x:v>L 362 ; l 446 ; hauteur 18 m ; choix de composition auteur ; dimensions réelles à documenter</x:v>
      </x:c>
      <x:c r="I2515" s="115" t="str">
        <x:v>À équilibrer</x:v>
      </x:c>
      <x:c r="J2515" s="115" t="str">
        <x:v>Non</x:v>
      </x:c>
      <x:c r="K2515" s="115" t="str">
        <x:v>Pièces décrites, murs, portes, niveaux et mobilier inspectables à l’échelle. Volumes réservés, raccord au seed, butin, rencontres et services de campagne restent à terminer.</x:v>
      </x:c>
    </x:row>
    <x:row r="2516" ht="96" customHeight="1">
      <x:c r="A2516" s="115" t="str">
        <x:v>EXT-MONDE-T051-V11</x:v>
      </x:c>
      <x:c r="B2516" s="115" t="str">
        <x:v>EXT-MONDE-T051</x:v>
      </x:c>
      <x:c r="C2516" s="115" t="str">
        <x:v>Parcs attractions</x:v>
      </x:c>
      <x:c r="D2516" s="115" t="str">
        <x:v>Parc aquatique</x:v>
      </x:c>
      <x:c r="E2516" s="115" t="n">
        <x:v>11</x:v>
      </x:c>
      <x:c r="F2516" s="115" t="str">
        <x:v>Inspection physique</x:v>
      </x:c>
      <x:c r="G2516" s="115" t="str">
        <x:v>1 niveaux ; 32 pièces ; 248 segments de mur ; 0 transitions. Inspection physique ; architecture complète encore ouverte.</x:v>
      </x:c>
      <x:c r="H2516" s="115" t="str">
        <x:v>L 374 ; l 454 ; hauteur 18 m ; choix de composition auteur ; dimensions réelles à documenter</x:v>
      </x:c>
      <x:c r="I2516" s="115" t="str">
        <x:v>À équilibrer</x:v>
      </x:c>
      <x:c r="J2516" s="115" t="str">
        <x:v>Non</x:v>
      </x:c>
      <x:c r="K2516" s="115" t="str">
        <x:v>Pièces décrites, murs, portes, niveaux et mobilier inspectables à l’échelle. Volumes réservés, raccord au seed, butin, rencontres et services de campagne restent à terminer.</x:v>
      </x:c>
    </x:row>
    <x:row r="2517" ht="96" customHeight="1">
      <x:c r="A2517" s="115" t="str">
        <x:v>EXT-MONDE-T051-V12</x:v>
      </x:c>
      <x:c r="B2517" s="115" t="str">
        <x:v>EXT-MONDE-T051</x:v>
      </x:c>
      <x:c r="C2517" s="115" t="str">
        <x:v>Parcs attractions</x:v>
      </x:c>
      <x:c r="D2517" s="115" t="str">
        <x:v>Parc aquatique</x:v>
      </x:c>
      <x:c r="E2517" s="115" t="n">
        <x:v>12</x:v>
      </x:c>
      <x:c r="F2517" s="115" t="str">
        <x:v>Inspection physique</x:v>
      </x:c>
      <x:c r="G2517" s="115" t="str">
        <x:v>1 niveaux ; 32 pièces ; 248 segments de mur ; 0 transitions. Inspection physique ; architecture complète encore ouverte.</x:v>
      </x:c>
      <x:c r="H2517" s="115" t="str">
        <x:v>L 374 ; l 454 ; hauteur 18 m ; choix de composition auteur ; dimensions réelles à documenter</x:v>
      </x:c>
      <x:c r="I2517" s="115" t="str">
        <x:v>À équilibrer</x:v>
      </x:c>
      <x:c r="J2517" s="115" t="str">
        <x:v>Non</x:v>
      </x:c>
      <x:c r="K2517" s="115" t="str">
        <x:v>Pièces décrites, murs, portes, niveaux et mobilier inspectables à l’échelle. Volumes réservés, raccord au seed, butin, rencontres et services de campagne restent à terminer.</x:v>
      </x:c>
    </x:row>
    <x:row r="2518" ht="96" customHeight="1">
      <x:c r="A2518" s="115" t="str">
        <x:v>EXT-MONDE-T051-V13</x:v>
      </x:c>
      <x:c r="B2518" s="115" t="str">
        <x:v>EXT-MONDE-T051</x:v>
      </x:c>
      <x:c r="C2518" s="115" t="str">
        <x:v>Parcs attractions</x:v>
      </x:c>
      <x:c r="D2518" s="115" t="str">
        <x:v>Parc aquatique</x:v>
      </x:c>
      <x:c r="E2518" s="115" t="n">
        <x:v>13</x:v>
      </x:c>
      <x:c r="F2518" s="115" t="str">
        <x:v>Inspection physique</x:v>
      </x:c>
      <x:c r="G2518" s="115" t="str">
        <x:v>1 niveaux ; 32 pièces ; 248 segments de mur ; 0 transitions. Inspection physique ; architecture complète encore ouverte.</x:v>
      </x:c>
      <x:c r="H2518" s="115" t="str">
        <x:v>L 374 ; l 454 ; hauteur 18 m ; choix de composition auteur ; dimensions réelles à documenter</x:v>
      </x:c>
      <x:c r="I2518" s="115" t="str">
        <x:v>À équilibrer</x:v>
      </x:c>
      <x:c r="J2518" s="115" t="str">
        <x:v>Non</x:v>
      </x:c>
      <x:c r="K2518" s="115" t="str">
        <x:v>Pièces décrites, murs, portes, niveaux et mobilier inspectables à l’échelle. Volumes réservés, raccord au seed, butin, rencontres et services de campagne restent à terminer.</x:v>
      </x:c>
    </x:row>
    <x:row r="2519" ht="96" customHeight="1">
      <x:c r="A2519" s="115" t="str">
        <x:v>EXT-MONDE-T051-V14</x:v>
      </x:c>
      <x:c r="B2519" s="115" t="str">
        <x:v>EXT-MONDE-T051</x:v>
      </x:c>
      <x:c r="C2519" s="115" t="str">
        <x:v>Parcs attractions</x:v>
      </x:c>
      <x:c r="D2519" s="115" t="str">
        <x:v>Parc aquatique</x:v>
      </x:c>
      <x:c r="E2519" s="115" t="n">
        <x:v>14</x:v>
      </x:c>
      <x:c r="F2519" s="115" t="str">
        <x:v>Inspection physique</x:v>
      </x:c>
      <x:c r="G2519" s="115" t="str">
        <x:v>1 niveaux ; 32 pièces ; 248 segments de mur ; 0 transitions. Inspection physique ; architecture complète encore ouverte.</x:v>
      </x:c>
      <x:c r="H2519" s="115" t="str">
        <x:v>L 374 ; l 454 ; hauteur 18 m ; choix de composition auteur ; dimensions réelles à documenter</x:v>
      </x:c>
      <x:c r="I2519" s="115" t="str">
        <x:v>À équilibrer</x:v>
      </x:c>
      <x:c r="J2519" s="115" t="str">
        <x:v>Non</x:v>
      </x:c>
      <x:c r="K2519" s="115" t="str">
        <x:v>Pièces décrites, murs, portes, niveaux et mobilier inspectables à l’échelle. Volumes réservés, raccord au seed, butin, rencontres et services de campagne restent à terminer.</x:v>
      </x:c>
    </x:row>
    <x:row r="2520" ht="96" customHeight="1">
      <x:c r="A2520" s="115" t="str">
        <x:v>EXT-MONDE-T051-V15</x:v>
      </x:c>
      <x:c r="B2520" s="115" t="str">
        <x:v>EXT-MONDE-T051</x:v>
      </x:c>
      <x:c r="C2520" s="115" t="str">
        <x:v>Parcs attractions</x:v>
      </x:c>
      <x:c r="D2520" s="115" t="str">
        <x:v>Parc aquatique</x:v>
      </x:c>
      <x:c r="E2520" s="115" t="n">
        <x:v>15</x:v>
      </x:c>
      <x:c r="F2520" s="115" t="str">
        <x:v>Inspection physique</x:v>
      </x:c>
      <x:c r="G2520" s="115" t="str">
        <x:v>1 niveaux ; 32 pièces ; 248 segments de mur ; 0 transitions. Inspection physique ; architecture complète encore ouverte.</x:v>
      </x:c>
      <x:c r="H2520" s="115" t="str">
        <x:v>L 374 ; l 454 ; hauteur 18 m ; choix de composition auteur ; dimensions réelles à documenter</x:v>
      </x:c>
      <x:c r="I2520" s="115" t="str">
        <x:v>À équilibrer</x:v>
      </x:c>
      <x:c r="J2520" s="115" t="str">
        <x:v>Non</x:v>
      </x:c>
      <x:c r="K2520" s="115" t="str">
        <x:v>Pièces décrites, murs, portes, niveaux et mobilier inspectables à l’échelle. Volumes réservés, raccord au seed, butin, rencontres et services de campagne restent à terminer.</x:v>
      </x:c>
    </x:row>
    <x:row r="2521" ht="96" customHeight="1">
      <x:c r="A2521" s="115" t="str">
        <x:v>EXT-MONDE-T051-V16</x:v>
      </x:c>
      <x:c r="B2521" s="115" t="str">
        <x:v>EXT-MONDE-T051</x:v>
      </x:c>
      <x:c r="C2521" s="115" t="str">
        <x:v>Parcs attractions</x:v>
      </x:c>
      <x:c r="D2521" s="115" t="str">
        <x:v>Parc aquatique</x:v>
      </x:c>
      <x:c r="E2521" s="115" t="n">
        <x:v>16</x:v>
      </x:c>
      <x:c r="F2521" s="115" t="str">
        <x:v>Inspection physique</x:v>
      </x:c>
      <x:c r="G2521" s="115" t="str">
        <x:v>1 niveaux ; 32 pièces ; 248 segments de mur ; 0 transitions. Inspection physique ; architecture complète encore ouverte.</x:v>
      </x:c>
      <x:c r="H2521" s="115" t="str">
        <x:v>L 374 ; l 454 ; hauteur 18 m ; choix de composition auteur ; dimensions réelles à documenter</x:v>
      </x:c>
      <x:c r="I2521" s="115" t="str">
        <x:v>À équilibrer</x:v>
      </x:c>
      <x:c r="J2521" s="115" t="str">
        <x:v>Non</x:v>
      </x:c>
      <x:c r="K2521" s="115" t="str">
        <x:v>Pièces décrites, murs, portes, niveaux et mobilier inspectables à l’échelle. Volumes réservés, raccord au seed, butin, rencontres et services de campagne restent à terminer.</x:v>
      </x:c>
    </x:row>
    <x:row r="2522" ht="96" customHeight="1">
      <x:c r="A2522" s="115" t="str">
        <x:v>EXT-MONDE-T051-V17</x:v>
      </x:c>
      <x:c r="B2522" s="115" t="str">
        <x:v>EXT-MONDE-T051</x:v>
      </x:c>
      <x:c r="C2522" s="115" t="str">
        <x:v>Parcs attractions</x:v>
      </x:c>
      <x:c r="D2522" s="115" t="str">
        <x:v>Parc aquatique</x:v>
      </x:c>
      <x:c r="E2522" s="115" t="n">
        <x:v>17</x:v>
      </x:c>
      <x:c r="F2522" s="115" t="str">
        <x:v>Inspection physique</x:v>
      </x:c>
      <x:c r="G2522" s="115" t="str">
        <x:v>1 niveaux ; 32 pièces ; 248 segments de mur ; 0 transitions. Inspection physique ; architecture complète encore ouverte.</x:v>
      </x:c>
      <x:c r="H2522" s="115" t="str">
        <x:v>L 374 ; l 454 ; hauteur 18 m ; choix de composition auteur ; dimensions réelles à documenter</x:v>
      </x:c>
      <x:c r="I2522" s="115" t="str">
        <x:v>À équilibrer</x:v>
      </x:c>
      <x:c r="J2522" s="115" t="str">
        <x:v>Non</x:v>
      </x:c>
      <x:c r="K2522" s="115" t="str">
        <x:v>Pièces décrites, murs, portes, niveaux et mobilier inspectables à l’échelle. Volumes réservés, raccord au seed, butin, rencontres et services de campagne restent à terminer.</x:v>
      </x:c>
    </x:row>
    <x:row r="2523" ht="96" customHeight="1">
      <x:c r="A2523" s="115" t="str">
        <x:v>EXT-MONDE-T051-V18</x:v>
      </x:c>
      <x:c r="B2523" s="115" t="str">
        <x:v>EXT-MONDE-T051</x:v>
      </x:c>
      <x:c r="C2523" s="115" t="str">
        <x:v>Parcs attractions</x:v>
      </x:c>
      <x:c r="D2523" s="115" t="str">
        <x:v>Parc aquatique</x:v>
      </x:c>
      <x:c r="E2523" s="115" t="n">
        <x:v>18</x:v>
      </x:c>
      <x:c r="F2523" s="115" t="str">
        <x:v>Inspection physique</x:v>
      </x:c>
      <x:c r="G2523" s="115" t="str">
        <x:v>1 niveaux ; 32 pièces ; 248 segments de mur ; 0 transitions. Inspection physique ; architecture complète encore ouverte.</x:v>
      </x:c>
      <x:c r="H2523" s="115" t="str">
        <x:v>L 374 ; l 454 ; hauteur 18 m ; choix de composition auteur ; dimensions réelles à documenter</x:v>
      </x:c>
      <x:c r="I2523" s="115" t="str">
        <x:v>À équilibrer</x:v>
      </x:c>
      <x:c r="J2523" s="115" t="str">
        <x:v>Non</x:v>
      </x:c>
      <x:c r="K2523" s="115" t="str">
        <x:v>Pièces décrites, murs, portes, niveaux et mobilier inspectables à l’échelle. Volumes réservés, raccord au seed, butin, rencontres et services de campagne restent à terminer.</x:v>
      </x:c>
    </x:row>
    <x:row r="2524" ht="96" customHeight="1">
      <x:c r="A2524" s="115" t="str">
        <x:v>EXT-MONDE-T051-V19</x:v>
      </x:c>
      <x:c r="B2524" s="115" t="str">
        <x:v>EXT-MONDE-T051</x:v>
      </x:c>
      <x:c r="C2524" s="115" t="str">
        <x:v>Parcs attractions</x:v>
      </x:c>
      <x:c r="D2524" s="115" t="str">
        <x:v>Parc aquatique</x:v>
      </x:c>
      <x:c r="E2524" s="115" t="n">
        <x:v>19</x:v>
      </x:c>
      <x:c r="F2524" s="115" t="str">
        <x:v>Inspection physique</x:v>
      </x:c>
      <x:c r="G2524" s="115" t="str">
        <x:v>1 niveaux ; 32 pièces ; 248 segments de mur ; 0 transitions. Inspection physique ; architecture complète encore ouverte.</x:v>
      </x:c>
      <x:c r="H2524" s="115" t="str">
        <x:v>L 374 ; l 454 ; hauteur 18 m ; choix de composition auteur ; dimensions réelles à documenter</x:v>
      </x:c>
      <x:c r="I2524" s="115" t="str">
        <x:v>À équilibrer</x:v>
      </x:c>
      <x:c r="J2524" s="115" t="str">
        <x:v>Non</x:v>
      </x:c>
      <x:c r="K2524" s="115" t="str">
        <x:v>Pièces décrites, murs, portes, niveaux et mobilier inspectables à l’échelle. Volumes réservés, raccord au seed, butin, rencontres et services de campagne restent à terminer.</x:v>
      </x:c>
    </x:row>
    <x:row r="2525" ht="96" customHeight="1">
      <x:c r="A2525" s="115" t="str">
        <x:v>EXT-MONDE-T051-V20</x:v>
      </x:c>
      <x:c r="B2525" s="115" t="str">
        <x:v>EXT-MONDE-T051</x:v>
      </x:c>
      <x:c r="C2525" s="115" t="str">
        <x:v>Parcs attractions</x:v>
      </x:c>
      <x:c r="D2525" s="115" t="str">
        <x:v>Parc aquatique</x:v>
      </x:c>
      <x:c r="E2525" s="115" t="n">
        <x:v>20</x:v>
      </x:c>
      <x:c r="F2525" s="115" t="str">
        <x:v>Inspection physique</x:v>
      </x:c>
      <x:c r="G2525" s="115" t="str">
        <x:v>1 niveaux ; 32 pièces ; 248 segments de mur ; 0 transitions. Inspection physique ; architecture complète encore ouverte.</x:v>
      </x:c>
      <x:c r="H2525" s="115" t="str">
        <x:v>L 374 ; l 454 ; hauteur 18 m ; choix de composition auteur ; dimensions réelles à documenter</x:v>
      </x:c>
      <x:c r="I2525" s="115" t="str">
        <x:v>À équilibrer</x:v>
      </x:c>
      <x:c r="J2525" s="115" t="str">
        <x:v>Non</x:v>
      </x:c>
      <x:c r="K2525" s="115" t="str">
        <x:v>Pièces décrites, murs, portes, niveaux et mobilier inspectables à l’échelle. Volumes réservés, raccord au seed, butin, rencontres et services de campagne restent à terminer.</x:v>
      </x:c>
    </x:row>
    <x:row r="2526" ht="96" customHeight="1">
      <x:c r="A2526" s="115" t="str">
        <x:v>EXT-MONDE-T051-V21</x:v>
      </x:c>
      <x:c r="B2526" s="115" t="str">
        <x:v>EXT-MONDE-T051</x:v>
      </x:c>
      <x:c r="C2526" s="115" t="str">
        <x:v>Parcs attractions</x:v>
      </x:c>
      <x:c r="D2526" s="115" t="str">
        <x:v>Parc aquatique</x:v>
      </x:c>
      <x:c r="E2526" s="115" t="n">
        <x:v>21</x:v>
      </x:c>
      <x:c r="F2526" s="115" t="str">
        <x:v>Inspection physique</x:v>
      </x:c>
      <x:c r="G2526" s="115" t="str">
        <x:v>1 niveaux ; 32 pièces ; 248 segments de mur ; 0 transitions. Inspection physique ; architecture complète encore ouverte.</x:v>
      </x:c>
      <x:c r="H2526" s="115" t="str">
        <x:v>L 386 ; l 462 ; hauteur 18 m ; choix de composition auteur ; dimensions réelles à documenter</x:v>
      </x:c>
      <x:c r="I2526" s="115" t="str">
        <x:v>À équilibrer</x:v>
      </x:c>
      <x:c r="J2526" s="115" t="str">
        <x:v>Non</x:v>
      </x:c>
      <x:c r="K2526" s="115" t="str">
        <x:v>Pièces décrites, murs, portes, niveaux et mobilier inspectables à l’échelle. Volumes réservés, raccord au seed, butin, rencontres et services de campagne restent à terminer.</x:v>
      </x:c>
    </x:row>
    <x:row r="2527" ht="96" customHeight="1">
      <x:c r="A2527" s="115" t="str">
        <x:v>EXT-MONDE-T051-V22</x:v>
      </x:c>
      <x:c r="B2527" s="115" t="str">
        <x:v>EXT-MONDE-T051</x:v>
      </x:c>
      <x:c r="C2527" s="115" t="str">
        <x:v>Parcs attractions</x:v>
      </x:c>
      <x:c r="D2527" s="115" t="str">
        <x:v>Parc aquatique</x:v>
      </x:c>
      <x:c r="E2527" s="115" t="n">
        <x:v>22</x:v>
      </x:c>
      <x:c r="F2527" s="115" t="str">
        <x:v>Inspection physique</x:v>
      </x:c>
      <x:c r="G2527" s="115" t="str">
        <x:v>1 niveaux ; 32 pièces ; 248 segments de mur ; 0 transitions. Inspection physique ; architecture complète encore ouverte.</x:v>
      </x:c>
      <x:c r="H2527" s="115" t="str">
        <x:v>L 386 ; l 462 ; hauteur 18 m ; choix de composition auteur ; dimensions réelles à documenter</x:v>
      </x:c>
      <x:c r="I2527" s="115" t="str">
        <x:v>À équilibrer</x:v>
      </x:c>
      <x:c r="J2527" s="115" t="str">
        <x:v>Non</x:v>
      </x:c>
      <x:c r="K2527" s="115" t="str">
        <x:v>Pièces décrites, murs, portes, niveaux et mobilier inspectables à l’échelle. Volumes réservés, raccord au seed, butin, rencontres et services de campagne restent à terminer.</x:v>
      </x:c>
    </x:row>
    <x:row r="2528" ht="96" customHeight="1">
      <x:c r="A2528" s="115" t="str">
        <x:v>EXT-MONDE-T051-V23</x:v>
      </x:c>
      <x:c r="B2528" s="115" t="str">
        <x:v>EXT-MONDE-T051</x:v>
      </x:c>
      <x:c r="C2528" s="115" t="str">
        <x:v>Parcs attractions</x:v>
      </x:c>
      <x:c r="D2528" s="115" t="str">
        <x:v>Parc aquatique</x:v>
      </x:c>
      <x:c r="E2528" s="115" t="n">
        <x:v>23</x:v>
      </x:c>
      <x:c r="F2528" s="115" t="str">
        <x:v>Inspection physique</x:v>
      </x:c>
      <x:c r="G2528" s="115" t="str">
        <x:v>1 niveaux ; 32 pièces ; 248 segments de mur ; 0 transitions. Inspection physique ; architecture complète encore ouverte.</x:v>
      </x:c>
      <x:c r="H2528" s="115" t="str">
        <x:v>L 386 ; l 462 ; hauteur 18 m ; choix de composition auteur ; dimensions réelles à documenter</x:v>
      </x:c>
      <x:c r="I2528" s="115" t="str">
        <x:v>À équilibrer</x:v>
      </x:c>
      <x:c r="J2528" s="115" t="str">
        <x:v>Non</x:v>
      </x:c>
      <x:c r="K2528" s="115" t="str">
        <x:v>Pièces décrites, murs, portes, niveaux et mobilier inspectables à l’échelle. Volumes réservés, raccord au seed, butin, rencontres et services de campagne restent à terminer.</x:v>
      </x:c>
    </x:row>
    <x:row r="2529" ht="96" customHeight="1">
      <x:c r="A2529" s="115" t="str">
        <x:v>EXT-MONDE-T051-V24</x:v>
      </x:c>
      <x:c r="B2529" s="115" t="str">
        <x:v>EXT-MONDE-T051</x:v>
      </x:c>
      <x:c r="C2529" s="115" t="str">
        <x:v>Parcs attractions</x:v>
      </x:c>
      <x:c r="D2529" s="115" t="str">
        <x:v>Parc aquatique</x:v>
      </x:c>
      <x:c r="E2529" s="115" t="n">
        <x:v>24</x:v>
      </x:c>
      <x:c r="F2529" s="115" t="str">
        <x:v>Inspection physique</x:v>
      </x:c>
      <x:c r="G2529" s="115" t="str">
        <x:v>1 niveaux ; 32 pièces ; 248 segments de mur ; 0 transitions. Inspection physique ; architecture complète encore ouverte.</x:v>
      </x:c>
      <x:c r="H2529" s="115" t="str">
        <x:v>L 386 ; l 462 ; hauteur 18 m ; choix de composition auteur ; dimensions réelles à documenter</x:v>
      </x:c>
      <x:c r="I2529" s="115" t="str">
        <x:v>À équilibrer</x:v>
      </x:c>
      <x:c r="J2529" s="115" t="str">
        <x:v>Non</x:v>
      </x:c>
      <x:c r="K2529" s="115" t="str">
        <x:v>Pièces décrites, murs, portes, niveaux et mobilier inspectables à l’échelle. Volumes réservés, raccord au seed, butin, rencontres et services de campagne restent à terminer.</x:v>
      </x:c>
    </x:row>
    <x:row r="2530" ht="96" customHeight="1">
      <x:c r="A2530" s="115" t="str">
        <x:v>EXT-MONDE-T051-V25</x:v>
      </x:c>
      <x:c r="B2530" s="115" t="str">
        <x:v>EXT-MONDE-T051</x:v>
      </x:c>
      <x:c r="C2530" s="115" t="str">
        <x:v>Parcs attractions</x:v>
      </x:c>
      <x:c r="D2530" s="115" t="str">
        <x:v>Parc aquatique</x:v>
      </x:c>
      <x:c r="E2530" s="115" t="n">
        <x:v>25</x:v>
      </x:c>
      <x:c r="F2530" s="115" t="str">
        <x:v>Inspection physique</x:v>
      </x:c>
      <x:c r="G2530" s="115" t="str">
        <x:v>1 niveaux ; 32 pièces ; 248 segments de mur ; 0 transitions. Inspection physique ; architecture complète encore ouverte.</x:v>
      </x:c>
      <x:c r="H2530" s="115" t="str">
        <x:v>L 386 ; l 462 ; hauteur 18 m ; choix de composition auteur ; dimensions réelles à documenter</x:v>
      </x:c>
      <x:c r="I2530" s="115" t="str">
        <x:v>À équilibrer</x:v>
      </x:c>
      <x:c r="J2530" s="115" t="str">
        <x:v>Non</x:v>
      </x:c>
      <x:c r="K2530" s="115" t="str">
        <x:v>Pièces décrites, murs, portes, niveaux et mobilier inspectables à l’échelle. Volumes réservés, raccord au seed, butin, rencontres et services de campagne restent à terminer.</x:v>
      </x:c>
    </x:row>
    <x:row r="2531" ht="96" customHeight="1">
      <x:c r="A2531" s="115" t="str">
        <x:v>EXT-MONDE-T051-V26</x:v>
      </x:c>
      <x:c r="B2531" s="115" t="str">
        <x:v>EXT-MONDE-T051</x:v>
      </x:c>
      <x:c r="C2531" s="115" t="str">
        <x:v>Parcs attractions</x:v>
      </x:c>
      <x:c r="D2531" s="115" t="str">
        <x:v>Parc aquatique</x:v>
      </x:c>
      <x:c r="E2531" s="115" t="n">
        <x:v>26</x:v>
      </x:c>
      <x:c r="F2531" s="115" t="str">
        <x:v>Inspection physique</x:v>
      </x:c>
      <x:c r="G2531" s="115" t="str">
        <x:v>1 niveaux ; 32 pièces ; 248 segments de mur ; 0 transitions. Inspection physique ; architecture complète encore ouverte.</x:v>
      </x:c>
      <x:c r="H2531" s="115" t="str">
        <x:v>L 386 ; l 462 ; hauteur 18 m ; choix de composition auteur ; dimensions réelles à documenter</x:v>
      </x:c>
      <x:c r="I2531" s="115" t="str">
        <x:v>À équilibrer</x:v>
      </x:c>
      <x:c r="J2531" s="115" t="str">
        <x:v>Non</x:v>
      </x:c>
      <x:c r="K2531" s="115" t="str">
        <x:v>Pièces décrites, murs, portes, niveaux et mobilier inspectables à l’échelle. Volumes réservés, raccord au seed, butin, rencontres et services de campagne restent à terminer.</x:v>
      </x:c>
    </x:row>
    <x:row r="2532" ht="96" customHeight="1">
      <x:c r="A2532" s="115" t="str">
        <x:v>EXT-MONDE-T051-V27</x:v>
      </x:c>
      <x:c r="B2532" s="115" t="str">
        <x:v>EXT-MONDE-T051</x:v>
      </x:c>
      <x:c r="C2532" s="115" t="str">
        <x:v>Parcs attractions</x:v>
      </x:c>
      <x:c r="D2532" s="115" t="str">
        <x:v>Parc aquatique</x:v>
      </x:c>
      <x:c r="E2532" s="115" t="n">
        <x:v>27</x:v>
      </x:c>
      <x:c r="F2532" s="115" t="str">
        <x:v>Inspection physique</x:v>
      </x:c>
      <x:c r="G2532" s="115" t="str">
        <x:v>1 niveaux ; 32 pièces ; 248 segments de mur ; 0 transitions. Inspection physique ; architecture complète encore ouverte.</x:v>
      </x:c>
      <x:c r="H2532" s="115" t="str">
        <x:v>L 386 ; l 462 ; hauteur 18 m ; choix de composition auteur ; dimensions réelles à documenter</x:v>
      </x:c>
      <x:c r="I2532" s="115" t="str">
        <x:v>À équilibrer</x:v>
      </x:c>
      <x:c r="J2532" s="115" t="str">
        <x:v>Non</x:v>
      </x:c>
      <x:c r="K2532" s="115" t="str">
        <x:v>Pièces décrites, murs, portes, niveaux et mobilier inspectables à l’échelle. Volumes réservés, raccord au seed, butin, rencontres et services de campagne restent à terminer.</x:v>
      </x:c>
    </x:row>
    <x:row r="2533" ht="96" customHeight="1">
      <x:c r="A2533" s="115" t="str">
        <x:v>EXT-MONDE-T051-V28</x:v>
      </x:c>
      <x:c r="B2533" s="115" t="str">
        <x:v>EXT-MONDE-T051</x:v>
      </x:c>
      <x:c r="C2533" s="115" t="str">
        <x:v>Parcs attractions</x:v>
      </x:c>
      <x:c r="D2533" s="115" t="str">
        <x:v>Parc aquatique</x:v>
      </x:c>
      <x:c r="E2533" s="115" t="n">
        <x:v>28</x:v>
      </x:c>
      <x:c r="F2533" s="115" t="str">
        <x:v>Inspection physique</x:v>
      </x:c>
      <x:c r="G2533" s="115" t="str">
        <x:v>1 niveaux ; 32 pièces ; 248 segments de mur ; 0 transitions. Inspection physique ; architecture complète encore ouverte.</x:v>
      </x:c>
      <x:c r="H2533" s="115" t="str">
        <x:v>L 386 ; l 462 ; hauteur 18 m ; choix de composition auteur ; dimensions réelles à documenter</x:v>
      </x:c>
      <x:c r="I2533" s="115" t="str">
        <x:v>À équilibrer</x:v>
      </x:c>
      <x:c r="J2533" s="115" t="str">
        <x:v>Non</x:v>
      </x:c>
      <x:c r="K2533" s="115" t="str">
        <x:v>Pièces décrites, murs, portes, niveaux et mobilier inspectables à l’échelle. Volumes réservés, raccord au seed, butin, rencontres et services de campagne restent à terminer.</x:v>
      </x:c>
    </x:row>
    <x:row r="2534" ht="96" customHeight="1">
      <x:c r="A2534" s="115" t="str">
        <x:v>EXT-MONDE-T051-V29</x:v>
      </x:c>
      <x:c r="B2534" s="115" t="str">
        <x:v>EXT-MONDE-T051</x:v>
      </x:c>
      <x:c r="C2534" s="115" t="str">
        <x:v>Parcs attractions</x:v>
      </x:c>
      <x:c r="D2534" s="115" t="str">
        <x:v>Parc aquatique</x:v>
      </x:c>
      <x:c r="E2534" s="115" t="n">
        <x:v>29</x:v>
      </x:c>
      <x:c r="F2534" s="115" t="str">
        <x:v>Inspection physique</x:v>
      </x:c>
      <x:c r="G2534" s="115" t="str">
        <x:v>1 niveaux ; 32 pièces ; 248 segments de mur ; 0 transitions. Inspection physique ; architecture complète encore ouverte.</x:v>
      </x:c>
      <x:c r="H2534" s="115" t="str">
        <x:v>L 386 ; l 462 ; hauteur 18 m ; choix de composition auteur ; dimensions réelles à documenter</x:v>
      </x:c>
      <x:c r="I2534" s="115" t="str">
        <x:v>À équilibrer</x:v>
      </x:c>
      <x:c r="J2534" s="115" t="str">
        <x:v>Non</x:v>
      </x:c>
      <x:c r="K2534" s="115" t="str">
        <x:v>Pièces décrites, murs, portes, niveaux et mobilier inspectables à l’échelle. Volumes réservés, raccord au seed, butin, rencontres et services de campagne restent à terminer.</x:v>
      </x:c>
    </x:row>
    <x:row r="2535" ht="96" customHeight="1">
      <x:c r="A2535" s="115" t="str">
        <x:v>EXT-MONDE-T051-V30</x:v>
      </x:c>
      <x:c r="B2535" s="115" t="str">
        <x:v>EXT-MONDE-T051</x:v>
      </x:c>
      <x:c r="C2535" s="115" t="str">
        <x:v>Parcs attractions</x:v>
      </x:c>
      <x:c r="D2535" s="115" t="str">
        <x:v>Parc aquatique</x:v>
      </x:c>
      <x:c r="E2535" s="115" t="n">
        <x:v>30</x:v>
      </x:c>
      <x:c r="F2535" s="115" t="str">
        <x:v>Inspection physique</x:v>
      </x:c>
      <x:c r="G2535" s="115" t="str">
        <x:v>1 niveaux ; 32 pièces ; 248 segments de mur ; 0 transitions. Inspection physique ; architecture complète encore ouverte.</x:v>
      </x:c>
      <x:c r="H2535" s="115" t="str">
        <x:v>L 386 ; l 462 ; hauteur 18 m ; choix de composition auteur ; dimensions réelles à documenter</x:v>
      </x:c>
      <x:c r="I2535" s="115" t="str">
        <x:v>À équilibrer</x:v>
      </x:c>
      <x:c r="J2535" s="115" t="str">
        <x:v>Non</x:v>
      </x:c>
      <x:c r="K2535" s="115" t="str">
        <x:v>Pièces décrites, murs, portes, niveaux et mobilier inspectables à l’échelle. Volumes réservés, raccord au seed, butin, rencontres et services de campagne restent à terminer.</x:v>
      </x:c>
    </x:row>
    <x:row r="2536" ht="96" customHeight="1">
      <x:c r="A2536" s="115" t="str">
        <x:v>EXT-MONDE-T051-V31</x:v>
      </x:c>
      <x:c r="B2536" s="115" t="str">
        <x:v>EXT-MONDE-T051</x:v>
      </x:c>
      <x:c r="C2536" s="115" t="str">
        <x:v>Parcs attractions</x:v>
      </x:c>
      <x:c r="D2536" s="115" t="str">
        <x:v>Parc aquatique</x:v>
      </x:c>
      <x:c r="E2536" s="115" t="n">
        <x:v>31</x:v>
      </x:c>
      <x:c r="F2536" s="115" t="str">
        <x:v>Inspection physique</x:v>
      </x:c>
      <x:c r="G2536" s="115" t="str">
        <x:v>1 niveaux ; 32 pièces ; 248 segments de mur ; 0 transitions. Inspection physique ; architecture complète encore ouverte.</x:v>
      </x:c>
      <x:c r="H2536" s="115" t="str">
        <x:v>L 398 ; l 470 ; hauteur 18 m ; choix de composition auteur ; dimensions réelles à documenter</x:v>
      </x:c>
      <x:c r="I2536" s="115" t="str">
        <x:v>À équilibrer</x:v>
      </x:c>
      <x:c r="J2536" s="115" t="str">
        <x:v>Non</x:v>
      </x:c>
      <x:c r="K2536" s="115" t="str">
        <x:v>Pièces décrites, murs, portes, niveaux et mobilier inspectables à l’échelle. Volumes réservés, raccord au seed, butin, rencontres et services de campagne restent à terminer.</x:v>
      </x:c>
    </x:row>
    <x:row r="2537" ht="96" customHeight="1">
      <x:c r="A2537" s="115" t="str">
        <x:v>EXT-MONDE-T051-V32</x:v>
      </x:c>
      <x:c r="B2537" s="115" t="str">
        <x:v>EXT-MONDE-T051</x:v>
      </x:c>
      <x:c r="C2537" s="115" t="str">
        <x:v>Parcs attractions</x:v>
      </x:c>
      <x:c r="D2537" s="115" t="str">
        <x:v>Parc aquatique</x:v>
      </x:c>
      <x:c r="E2537" s="115" t="n">
        <x:v>32</x:v>
      </x:c>
      <x:c r="F2537" s="115" t="str">
        <x:v>Inspection physique</x:v>
      </x:c>
      <x:c r="G2537" s="115" t="str">
        <x:v>1 niveaux ; 32 pièces ; 248 segments de mur ; 0 transitions. Inspection physique ; architecture complète encore ouverte.</x:v>
      </x:c>
      <x:c r="H2537" s="115" t="str">
        <x:v>L 398 ; l 470 ; hauteur 18 m ; choix de composition auteur ; dimensions réelles à documenter</x:v>
      </x:c>
      <x:c r="I2537" s="115" t="str">
        <x:v>À équilibrer</x:v>
      </x:c>
      <x:c r="J2537" s="115" t="str">
        <x:v>Non</x:v>
      </x:c>
      <x:c r="K2537" s="115" t="str">
        <x:v>Pièces décrites, murs, portes, niveaux et mobilier inspectables à l’échelle. Volumes réservés, raccord au seed, butin, rencontres et services de campagne restent à terminer.</x:v>
      </x:c>
    </x:row>
    <x:row r="2538" ht="96" customHeight="1">
      <x:c r="A2538" s="115" t="str">
        <x:v>EXT-MONDE-T051-V33</x:v>
      </x:c>
      <x:c r="B2538" s="115" t="str">
        <x:v>EXT-MONDE-T051</x:v>
      </x:c>
      <x:c r="C2538" s="115" t="str">
        <x:v>Parcs attractions</x:v>
      </x:c>
      <x:c r="D2538" s="115" t="str">
        <x:v>Parc aquatique</x:v>
      </x:c>
      <x:c r="E2538" s="115" t="n">
        <x:v>33</x:v>
      </x:c>
      <x:c r="F2538" s="115" t="str">
        <x:v>Inspection physique</x:v>
      </x:c>
      <x:c r="G2538" s="115" t="str">
        <x:v>1 niveaux ; 32 pièces ; 248 segments de mur ; 0 transitions. Inspection physique ; architecture complète encore ouverte.</x:v>
      </x:c>
      <x:c r="H2538" s="115" t="str">
        <x:v>L 398 ; l 470 ; hauteur 18 m ; choix de composition auteur ; dimensions réelles à documenter</x:v>
      </x:c>
      <x:c r="I2538" s="115" t="str">
        <x:v>À équilibrer</x:v>
      </x:c>
      <x:c r="J2538" s="115" t="str">
        <x:v>Non</x:v>
      </x:c>
      <x:c r="K2538" s="115" t="str">
        <x:v>Pièces décrites, murs, portes, niveaux et mobilier inspectables à l’échelle. Volumes réservés, raccord au seed, butin, rencontres et services de campagne restent à terminer.</x:v>
      </x:c>
    </x:row>
    <x:row r="2539" ht="96" customHeight="1">
      <x:c r="A2539" s="115" t="str">
        <x:v>EXT-MONDE-T051-V34</x:v>
      </x:c>
      <x:c r="B2539" s="115" t="str">
        <x:v>EXT-MONDE-T051</x:v>
      </x:c>
      <x:c r="C2539" s="115" t="str">
        <x:v>Parcs attractions</x:v>
      </x:c>
      <x:c r="D2539" s="115" t="str">
        <x:v>Parc aquatique</x:v>
      </x:c>
      <x:c r="E2539" s="115" t="n">
        <x:v>34</x:v>
      </x:c>
      <x:c r="F2539" s="115" t="str">
        <x:v>Inspection physique</x:v>
      </x:c>
      <x:c r="G2539" s="115" t="str">
        <x:v>1 niveaux ; 32 pièces ; 248 segments de mur ; 0 transitions. Inspection physique ; architecture complète encore ouverte.</x:v>
      </x:c>
      <x:c r="H2539" s="115" t="str">
        <x:v>L 398 ; l 470 ; hauteur 18 m ; choix de composition auteur ; dimensions réelles à documenter</x:v>
      </x:c>
      <x:c r="I2539" s="115" t="str">
        <x:v>À équilibrer</x:v>
      </x:c>
      <x:c r="J2539" s="115" t="str">
        <x:v>Non</x:v>
      </x:c>
      <x:c r="K2539" s="115" t="str">
        <x:v>Pièces décrites, murs, portes, niveaux et mobilier inspectables à l’échelle. Volumes réservés, raccord au seed, butin, rencontres et services de campagne restent à terminer.</x:v>
      </x:c>
    </x:row>
    <x:row r="2540" ht="96" customHeight="1">
      <x:c r="A2540" s="115" t="str">
        <x:v>EXT-MONDE-T051-V35</x:v>
      </x:c>
      <x:c r="B2540" s="115" t="str">
        <x:v>EXT-MONDE-T051</x:v>
      </x:c>
      <x:c r="C2540" s="115" t="str">
        <x:v>Parcs attractions</x:v>
      </x:c>
      <x:c r="D2540" s="115" t="str">
        <x:v>Parc aquatique</x:v>
      </x:c>
      <x:c r="E2540" s="115" t="n">
        <x:v>35</x:v>
      </x:c>
      <x:c r="F2540" s="115" t="str">
        <x:v>Inspection physique</x:v>
      </x:c>
      <x:c r="G2540" s="115" t="str">
        <x:v>1 niveaux ; 32 pièces ; 248 segments de mur ; 0 transitions. Inspection physique ; architecture complète encore ouverte.</x:v>
      </x:c>
      <x:c r="H2540" s="115" t="str">
        <x:v>L 398 ; l 470 ; hauteur 18 m ; choix de composition auteur ; dimensions réelles à documenter</x:v>
      </x:c>
      <x:c r="I2540" s="115" t="str">
        <x:v>À équilibrer</x:v>
      </x:c>
      <x:c r="J2540" s="115" t="str">
        <x:v>Non</x:v>
      </x:c>
      <x:c r="K2540" s="115" t="str">
        <x:v>Pièces décrites, murs, portes, niveaux et mobilier inspectables à l’échelle. Volumes réservés, raccord au seed, butin, rencontres et services de campagne restent à terminer.</x:v>
      </x:c>
    </x:row>
    <x:row r="2541" ht="96" customHeight="1">
      <x:c r="A2541" s="115" t="str">
        <x:v>EXT-MONDE-T051-V36</x:v>
      </x:c>
      <x:c r="B2541" s="115" t="str">
        <x:v>EXT-MONDE-T051</x:v>
      </x:c>
      <x:c r="C2541" s="115" t="str">
        <x:v>Parcs attractions</x:v>
      </x:c>
      <x:c r="D2541" s="115" t="str">
        <x:v>Parc aquatique</x:v>
      </x:c>
      <x:c r="E2541" s="115" t="n">
        <x:v>36</x:v>
      </x:c>
      <x:c r="F2541" s="115" t="str">
        <x:v>Inspection physique</x:v>
      </x:c>
      <x:c r="G2541" s="115" t="str">
        <x:v>1 niveaux ; 32 pièces ; 248 segments de mur ; 0 transitions. Inspection physique ; architecture complète encore ouverte.</x:v>
      </x:c>
      <x:c r="H2541" s="115" t="str">
        <x:v>L 398 ; l 470 ; hauteur 18 m ; choix de composition auteur ; dimensions réelles à documenter</x:v>
      </x:c>
      <x:c r="I2541" s="115" t="str">
        <x:v>À équilibrer</x:v>
      </x:c>
      <x:c r="J2541" s="115" t="str">
        <x:v>Non</x:v>
      </x:c>
      <x:c r="K2541" s="115" t="str">
        <x:v>Pièces décrites, murs, portes, niveaux et mobilier inspectables à l’échelle. Volumes réservés, raccord au seed, butin, rencontres et services de campagne restent à terminer.</x:v>
      </x:c>
    </x:row>
    <x:row r="2542" ht="96" customHeight="1">
      <x:c r="A2542" s="115" t="str">
        <x:v>EXT-MONDE-T051-V37</x:v>
      </x:c>
      <x:c r="B2542" s="115" t="str">
        <x:v>EXT-MONDE-T051</x:v>
      </x:c>
      <x:c r="C2542" s="115" t="str">
        <x:v>Parcs attractions</x:v>
      </x:c>
      <x:c r="D2542" s="115" t="str">
        <x:v>Parc aquatique</x:v>
      </x:c>
      <x:c r="E2542" s="115" t="n">
        <x:v>37</x:v>
      </x:c>
      <x:c r="F2542" s="115" t="str">
        <x:v>Inspection physique</x:v>
      </x:c>
      <x:c r="G2542" s="115" t="str">
        <x:v>1 niveaux ; 32 pièces ; 248 segments de mur ; 0 transitions. Inspection physique ; architecture complète encore ouverte.</x:v>
      </x:c>
      <x:c r="H2542" s="115" t="str">
        <x:v>L 398 ; l 470 ; hauteur 18 m ; choix de composition auteur ; dimensions réelles à documenter</x:v>
      </x:c>
      <x:c r="I2542" s="115" t="str">
        <x:v>À équilibrer</x:v>
      </x:c>
      <x:c r="J2542" s="115" t="str">
        <x:v>Non</x:v>
      </x:c>
      <x:c r="K2542" s="115" t="str">
        <x:v>Pièces décrites, murs, portes, niveaux et mobilier inspectables à l’échelle. Volumes réservés, raccord au seed, butin, rencontres et services de campagne restent à terminer.</x:v>
      </x:c>
    </x:row>
    <x:row r="2543" ht="96" customHeight="1">
      <x:c r="A2543" s="115" t="str">
        <x:v>EXT-MONDE-T051-V38</x:v>
      </x:c>
      <x:c r="B2543" s="115" t="str">
        <x:v>EXT-MONDE-T051</x:v>
      </x:c>
      <x:c r="C2543" s="115" t="str">
        <x:v>Parcs attractions</x:v>
      </x:c>
      <x:c r="D2543" s="115" t="str">
        <x:v>Parc aquatique</x:v>
      </x:c>
      <x:c r="E2543" s="115" t="n">
        <x:v>38</x:v>
      </x:c>
      <x:c r="F2543" s="115" t="str">
        <x:v>Inspection physique</x:v>
      </x:c>
      <x:c r="G2543" s="115" t="str">
        <x:v>1 niveaux ; 32 pièces ; 248 segments de mur ; 0 transitions. Inspection physique ; architecture complète encore ouverte.</x:v>
      </x:c>
      <x:c r="H2543" s="115" t="str">
        <x:v>L 398 ; l 470 ; hauteur 18 m ; choix de composition auteur ; dimensions réelles à documenter</x:v>
      </x:c>
      <x:c r="I2543" s="115" t="str">
        <x:v>À équilibrer</x:v>
      </x:c>
      <x:c r="J2543" s="115" t="str">
        <x:v>Non</x:v>
      </x:c>
      <x:c r="K2543" s="115" t="str">
        <x:v>Pièces décrites, murs, portes, niveaux et mobilier inspectables à l’échelle. Volumes réservés, raccord au seed, butin, rencontres et services de campagne restent à terminer.</x:v>
      </x:c>
    </x:row>
    <x:row r="2544" ht="96" customHeight="1">
      <x:c r="A2544" s="115" t="str">
        <x:v>EXT-MONDE-T051-V39</x:v>
      </x:c>
      <x:c r="B2544" s="115" t="str">
        <x:v>EXT-MONDE-T051</x:v>
      </x:c>
      <x:c r="C2544" s="115" t="str">
        <x:v>Parcs attractions</x:v>
      </x:c>
      <x:c r="D2544" s="115" t="str">
        <x:v>Parc aquatique</x:v>
      </x:c>
      <x:c r="E2544" s="115" t="n">
        <x:v>39</x:v>
      </x:c>
      <x:c r="F2544" s="115" t="str">
        <x:v>Inspection physique</x:v>
      </x:c>
      <x:c r="G2544" s="115" t="str">
        <x:v>1 niveaux ; 32 pièces ; 248 segments de mur ; 0 transitions. Inspection physique ; architecture complète encore ouverte.</x:v>
      </x:c>
      <x:c r="H2544" s="115" t="str">
        <x:v>L 398 ; l 470 ; hauteur 18 m ; choix de composition auteur ; dimensions réelles à documenter</x:v>
      </x:c>
      <x:c r="I2544" s="115" t="str">
        <x:v>À équilibrer</x:v>
      </x:c>
      <x:c r="J2544" s="115" t="str">
        <x:v>Non</x:v>
      </x:c>
      <x:c r="K2544" s="115" t="str">
        <x:v>Pièces décrites, murs, portes, niveaux et mobilier inspectables à l’échelle. Volumes réservés, raccord au seed, butin, rencontres et services de campagne restent à terminer.</x:v>
      </x:c>
    </x:row>
    <x:row r="2545" ht="96" customHeight="1">
      <x:c r="A2545" s="115" t="str">
        <x:v>EXT-MONDE-T051-V40</x:v>
      </x:c>
      <x:c r="B2545" s="115" t="str">
        <x:v>EXT-MONDE-T051</x:v>
      </x:c>
      <x:c r="C2545" s="115" t="str">
        <x:v>Parcs attractions</x:v>
      </x:c>
      <x:c r="D2545" s="115" t="str">
        <x:v>Parc aquatique</x:v>
      </x:c>
      <x:c r="E2545" s="115" t="n">
        <x:v>40</x:v>
      </x:c>
      <x:c r="F2545" s="115" t="str">
        <x:v>Inspection physique</x:v>
      </x:c>
      <x:c r="G2545" s="115" t="str">
        <x:v>1 niveaux ; 32 pièces ; 248 segments de mur ; 0 transitions. Inspection physique ; architecture complète encore ouverte.</x:v>
      </x:c>
      <x:c r="H2545" s="115" t="str">
        <x:v>L 398 ; l 470 ; hauteur 18 m ; choix de composition auteur ; dimensions réelles à documenter</x:v>
      </x:c>
      <x:c r="I2545" s="115" t="str">
        <x:v>À équilibrer</x:v>
      </x:c>
      <x:c r="J2545" s="115" t="str">
        <x:v>Non</x:v>
      </x:c>
      <x:c r="K2545" s="115" t="str">
        <x:v>Pièces décrites, murs, portes, niveaux et mobilier inspectables à l’échelle. Volumes réservés, raccord au seed, butin, rencontres et services de campagne restent à terminer.</x:v>
      </x:c>
    </x:row>
    <x:row r="2546" ht="96" customHeight="1">
      <x:c r="A2546" s="115" t="str">
        <x:v>EXT-MONDE-T051-V41</x:v>
      </x:c>
      <x:c r="B2546" s="115" t="str">
        <x:v>EXT-MONDE-T051</x:v>
      </x:c>
      <x:c r="C2546" s="115" t="str">
        <x:v>Parcs attractions</x:v>
      </x:c>
      <x:c r="D2546" s="115" t="str">
        <x:v>Parc aquatique</x:v>
      </x:c>
      <x:c r="E2546" s="115" t="n">
        <x:v>41</x:v>
      </x:c>
      <x:c r="F2546" s="115" t="str">
        <x:v>Inspection physique</x:v>
      </x:c>
      <x:c r="G2546" s="115" t="str">
        <x:v>1 niveaux ; 32 pièces ; 248 segments de mur ; 0 transitions. Inspection physique ; architecture complète encore ouverte.</x:v>
      </x:c>
      <x:c r="H2546" s="115" t="str">
        <x:v>L 410 ; l 478 ; hauteur 18 m ; choix de composition auteur ; dimensions réelles à documenter</x:v>
      </x:c>
      <x:c r="I2546" s="115" t="str">
        <x:v>À équilibrer</x:v>
      </x:c>
      <x:c r="J2546" s="115" t="str">
        <x:v>Non</x:v>
      </x:c>
      <x:c r="K2546" s="115" t="str">
        <x:v>Pièces décrites, murs, portes, niveaux et mobilier inspectables à l’échelle. Volumes réservés, raccord au seed, butin, rencontres et services de campagne restent à terminer.</x:v>
      </x:c>
    </x:row>
    <x:row r="2547" ht="96" customHeight="1">
      <x:c r="A2547" s="115" t="str">
        <x:v>EXT-MONDE-T051-V42</x:v>
      </x:c>
      <x:c r="B2547" s="115" t="str">
        <x:v>EXT-MONDE-T051</x:v>
      </x:c>
      <x:c r="C2547" s="115" t="str">
        <x:v>Parcs attractions</x:v>
      </x:c>
      <x:c r="D2547" s="115" t="str">
        <x:v>Parc aquatique</x:v>
      </x:c>
      <x:c r="E2547" s="115" t="n">
        <x:v>42</x:v>
      </x:c>
      <x:c r="F2547" s="115" t="str">
        <x:v>Inspection physique</x:v>
      </x:c>
      <x:c r="G2547" s="115" t="str">
        <x:v>1 niveaux ; 32 pièces ; 248 segments de mur ; 0 transitions. Inspection physique ; architecture complète encore ouverte.</x:v>
      </x:c>
      <x:c r="H2547" s="115" t="str">
        <x:v>L 410 ; l 478 ; hauteur 18 m ; choix de composition auteur ; dimensions réelles à documenter</x:v>
      </x:c>
      <x:c r="I2547" s="115" t="str">
        <x:v>À équilibrer</x:v>
      </x:c>
      <x:c r="J2547" s="115" t="str">
        <x:v>Non</x:v>
      </x:c>
      <x:c r="K2547" s="115" t="str">
        <x:v>Pièces décrites, murs, portes, niveaux et mobilier inspectables à l’échelle. Volumes réservés, raccord au seed, butin, rencontres et services de campagne restent à terminer.</x:v>
      </x:c>
    </x:row>
    <x:row r="2548" ht="96" customHeight="1">
      <x:c r="A2548" s="115" t="str">
        <x:v>EXT-MONDE-T051-V43</x:v>
      </x:c>
      <x:c r="B2548" s="115" t="str">
        <x:v>EXT-MONDE-T051</x:v>
      </x:c>
      <x:c r="C2548" s="115" t="str">
        <x:v>Parcs attractions</x:v>
      </x:c>
      <x:c r="D2548" s="115" t="str">
        <x:v>Parc aquatique</x:v>
      </x:c>
      <x:c r="E2548" s="115" t="n">
        <x:v>43</x:v>
      </x:c>
      <x:c r="F2548" s="115" t="str">
        <x:v>Inspection physique</x:v>
      </x:c>
      <x:c r="G2548" s="115" t="str">
        <x:v>1 niveaux ; 32 pièces ; 248 segments de mur ; 0 transitions. Inspection physique ; architecture complète encore ouverte.</x:v>
      </x:c>
      <x:c r="H2548" s="115" t="str">
        <x:v>L 410 ; l 478 ; hauteur 18 m ; choix de composition auteur ; dimensions réelles à documenter</x:v>
      </x:c>
      <x:c r="I2548" s="115" t="str">
        <x:v>À équilibrer</x:v>
      </x:c>
      <x:c r="J2548" s="115" t="str">
        <x:v>Non</x:v>
      </x:c>
      <x:c r="K2548" s="115" t="str">
        <x:v>Pièces décrites, murs, portes, niveaux et mobilier inspectables à l’échelle. Volumes réservés, raccord au seed, butin, rencontres et services de campagne restent à terminer.</x:v>
      </x:c>
    </x:row>
    <x:row r="2549" ht="96" customHeight="1">
      <x:c r="A2549" s="115" t="str">
        <x:v>EXT-MONDE-T051-V44</x:v>
      </x:c>
      <x:c r="B2549" s="115" t="str">
        <x:v>EXT-MONDE-T051</x:v>
      </x:c>
      <x:c r="C2549" s="115" t="str">
        <x:v>Parcs attractions</x:v>
      </x:c>
      <x:c r="D2549" s="115" t="str">
        <x:v>Parc aquatique</x:v>
      </x:c>
      <x:c r="E2549" s="115" t="n">
        <x:v>44</x:v>
      </x:c>
      <x:c r="F2549" s="115" t="str">
        <x:v>Inspection physique</x:v>
      </x:c>
      <x:c r="G2549" s="115" t="str">
        <x:v>1 niveaux ; 32 pièces ; 248 segments de mur ; 0 transitions. Inspection physique ; architecture complète encore ouverte.</x:v>
      </x:c>
      <x:c r="H2549" s="115" t="str">
        <x:v>L 410 ; l 478 ; hauteur 18 m ; choix de composition auteur ; dimensions réelles à documenter</x:v>
      </x:c>
      <x:c r="I2549" s="115" t="str">
        <x:v>À équilibrer</x:v>
      </x:c>
      <x:c r="J2549" s="115" t="str">
        <x:v>Non</x:v>
      </x:c>
      <x:c r="K2549" s="115" t="str">
        <x:v>Pièces décrites, murs, portes, niveaux et mobilier inspectables à l’échelle. Volumes réservés, raccord au seed, butin, rencontres et services de campagne restent à terminer.</x:v>
      </x:c>
    </x:row>
    <x:row r="2550" ht="96" customHeight="1">
      <x:c r="A2550" s="115" t="str">
        <x:v>EXT-MONDE-T051-V45</x:v>
      </x:c>
      <x:c r="B2550" s="115" t="str">
        <x:v>EXT-MONDE-T051</x:v>
      </x:c>
      <x:c r="C2550" s="115" t="str">
        <x:v>Parcs attractions</x:v>
      </x:c>
      <x:c r="D2550" s="115" t="str">
        <x:v>Parc aquatique</x:v>
      </x:c>
      <x:c r="E2550" s="115" t="n">
        <x:v>45</x:v>
      </x:c>
      <x:c r="F2550" s="115" t="str">
        <x:v>Inspection physique</x:v>
      </x:c>
      <x:c r="G2550" s="115" t="str">
        <x:v>1 niveaux ; 32 pièces ; 248 segments de mur ; 0 transitions. Inspection physique ; architecture complète encore ouverte.</x:v>
      </x:c>
      <x:c r="H2550" s="115" t="str">
        <x:v>L 410 ; l 478 ; hauteur 18 m ; choix de composition auteur ; dimensions réelles à documenter</x:v>
      </x:c>
      <x:c r="I2550" s="115" t="str">
        <x:v>À équilibrer</x:v>
      </x:c>
      <x:c r="J2550" s="115" t="str">
        <x:v>Non</x:v>
      </x:c>
      <x:c r="K2550" s="115" t="str">
        <x:v>Pièces décrites, murs, portes, niveaux et mobilier inspectables à l’échelle. Volumes réservés, raccord au seed, butin, rencontres et services de campagne restent à terminer.</x:v>
      </x:c>
    </x:row>
    <x:row r="2551" ht="96" customHeight="1">
      <x:c r="A2551" s="115" t="str">
        <x:v>EXT-MONDE-T051-V46</x:v>
      </x:c>
      <x:c r="B2551" s="115" t="str">
        <x:v>EXT-MONDE-T051</x:v>
      </x:c>
      <x:c r="C2551" s="115" t="str">
        <x:v>Parcs attractions</x:v>
      </x:c>
      <x:c r="D2551" s="115" t="str">
        <x:v>Parc aquatique</x:v>
      </x:c>
      <x:c r="E2551" s="115" t="n">
        <x:v>46</x:v>
      </x:c>
      <x:c r="F2551" s="115" t="str">
        <x:v>Inspection physique</x:v>
      </x:c>
      <x:c r="G2551" s="115" t="str">
        <x:v>1 niveaux ; 32 pièces ; 248 segments de mur ; 0 transitions. Inspection physique ; architecture complète encore ouverte.</x:v>
      </x:c>
      <x:c r="H2551" s="115" t="str">
        <x:v>L 410 ; l 478 ; hauteur 18 m ; choix de composition auteur ; dimensions réelles à documenter</x:v>
      </x:c>
      <x:c r="I2551" s="115" t="str">
        <x:v>À équilibrer</x:v>
      </x:c>
      <x:c r="J2551" s="115" t="str">
        <x:v>Non</x:v>
      </x:c>
      <x:c r="K2551" s="115" t="str">
        <x:v>Pièces décrites, murs, portes, niveaux et mobilier inspectables à l’échelle. Volumes réservés, raccord au seed, butin, rencontres et services de campagne restent à terminer.</x:v>
      </x:c>
    </x:row>
    <x:row r="2552" ht="96" customHeight="1">
      <x:c r="A2552" s="115" t="str">
        <x:v>EXT-MONDE-T051-V47</x:v>
      </x:c>
      <x:c r="B2552" s="115" t="str">
        <x:v>EXT-MONDE-T051</x:v>
      </x:c>
      <x:c r="C2552" s="115" t="str">
        <x:v>Parcs attractions</x:v>
      </x:c>
      <x:c r="D2552" s="115" t="str">
        <x:v>Parc aquatique</x:v>
      </x:c>
      <x:c r="E2552" s="115" t="n">
        <x:v>47</x:v>
      </x:c>
      <x:c r="F2552" s="115" t="str">
        <x:v>Inspection physique</x:v>
      </x:c>
      <x:c r="G2552" s="115" t="str">
        <x:v>1 niveaux ; 32 pièces ; 248 segments de mur ; 0 transitions. Inspection physique ; architecture complète encore ouverte.</x:v>
      </x:c>
      <x:c r="H2552" s="115" t="str">
        <x:v>L 410 ; l 478 ; hauteur 18 m ; choix de composition auteur ; dimensions réelles à documenter</x:v>
      </x:c>
      <x:c r="I2552" s="115" t="str">
        <x:v>À équilibrer</x:v>
      </x:c>
      <x:c r="J2552" s="115" t="str">
        <x:v>Non</x:v>
      </x:c>
      <x:c r="K2552" s="115" t="str">
        <x:v>Pièces décrites, murs, portes, niveaux et mobilier inspectables à l’échelle. Volumes réservés, raccord au seed, butin, rencontres et services de campagne restent à terminer.</x:v>
      </x:c>
    </x:row>
    <x:row r="2553" ht="96" customHeight="1">
      <x:c r="A2553" s="115" t="str">
        <x:v>EXT-MONDE-T051-V48</x:v>
      </x:c>
      <x:c r="B2553" s="115" t="str">
        <x:v>EXT-MONDE-T051</x:v>
      </x:c>
      <x:c r="C2553" s="115" t="str">
        <x:v>Parcs attractions</x:v>
      </x:c>
      <x:c r="D2553" s="115" t="str">
        <x:v>Parc aquatique</x:v>
      </x:c>
      <x:c r="E2553" s="115" t="n">
        <x:v>48</x:v>
      </x:c>
      <x:c r="F2553" s="115" t="str">
        <x:v>Inspection physique</x:v>
      </x:c>
      <x:c r="G2553" s="115" t="str">
        <x:v>1 niveaux ; 32 pièces ; 248 segments de mur ; 0 transitions. Inspection physique ; architecture complète encore ouverte.</x:v>
      </x:c>
      <x:c r="H2553" s="115" t="str">
        <x:v>L 410 ; l 478 ; hauteur 18 m ; choix de composition auteur ; dimensions réelles à documenter</x:v>
      </x:c>
      <x:c r="I2553" s="115" t="str">
        <x:v>À équilibrer</x:v>
      </x:c>
      <x:c r="J2553" s="115" t="str">
        <x:v>Non</x:v>
      </x:c>
      <x:c r="K2553" s="115" t="str">
        <x:v>Pièces décrites, murs, portes, niveaux et mobilier inspectables à l’échelle. Volumes réservés, raccord au seed, butin, rencontres et services de campagne restent à terminer.</x:v>
      </x:c>
    </x:row>
    <x:row r="2554" ht="96" customHeight="1">
      <x:c r="A2554" s="115" t="str">
        <x:v>EXT-MONDE-T051-V49</x:v>
      </x:c>
      <x:c r="B2554" s="115" t="str">
        <x:v>EXT-MONDE-T051</x:v>
      </x:c>
      <x:c r="C2554" s="115" t="str">
        <x:v>Parcs attractions</x:v>
      </x:c>
      <x:c r="D2554" s="115" t="str">
        <x:v>Parc aquatique</x:v>
      </x:c>
      <x:c r="E2554" s="115" t="n">
        <x:v>49</x:v>
      </x:c>
      <x:c r="F2554" s="115" t="str">
        <x:v>Inspection physique</x:v>
      </x:c>
      <x:c r="G2554" s="115" t="str">
        <x:v>1 niveaux ; 32 pièces ; 248 segments de mur ; 0 transitions. Inspection physique ; architecture complète encore ouverte.</x:v>
      </x:c>
      <x:c r="H2554" s="115" t="str">
        <x:v>L 410 ; l 478 ; hauteur 18 m ; choix de composition auteur ; dimensions réelles à documenter</x:v>
      </x:c>
      <x:c r="I2554" s="115" t="str">
        <x:v>À équilibrer</x:v>
      </x:c>
      <x:c r="J2554" s="115" t="str">
        <x:v>Non</x:v>
      </x:c>
      <x:c r="K2554" s="115" t="str">
        <x:v>Pièces décrites, murs, portes, niveaux et mobilier inspectables à l’échelle. Volumes réservés, raccord au seed, butin, rencontres et services de campagne restent à terminer.</x:v>
      </x:c>
    </x:row>
    <x:row r="2555" ht="96" customHeight="1">
      <x:c r="A2555" s="115" t="str">
        <x:v>EXT-MONDE-T051-V50</x:v>
      </x:c>
      <x:c r="B2555" s="115" t="str">
        <x:v>EXT-MONDE-T051</x:v>
      </x:c>
      <x:c r="C2555" s="115" t="str">
        <x:v>Parcs attractions</x:v>
      </x:c>
      <x:c r="D2555" s="115" t="str">
        <x:v>Parc aquatique</x:v>
      </x:c>
      <x:c r="E2555" s="115" t="n">
        <x:v>50</x:v>
      </x:c>
      <x:c r="F2555" s="115" t="str">
        <x:v>Inspection physique</x:v>
      </x:c>
      <x:c r="G2555" s="115" t="str">
        <x:v>1 niveaux ; 32 pièces ; 248 segments de mur ; 0 transitions. Inspection physique ; architecture complète encore ouverte.</x:v>
      </x:c>
      <x:c r="H2555" s="115" t="str">
        <x:v>L 410 ; l 478 ; hauteur 18 m ; choix de composition auteur ; dimensions réelles à documenter</x:v>
      </x:c>
      <x:c r="I2555" s="115" t="str">
        <x:v>À équilibrer</x:v>
      </x:c>
      <x:c r="J2555" s="115" t="str">
        <x:v>Non</x:v>
      </x:c>
      <x:c r="K2555" s="115" t="str">
        <x:v>Pièces décrites, murs, portes, niveaux et mobilier inspectables à l’échelle. Volumes réservés, raccord au seed, butin, rencontres et services de campagne restent à terminer.</x:v>
      </x:c>
    </x:row>
    <x:row r="2556" ht="96" customHeight="1">
      <x:c r="A2556" s="115" t="str">
        <x:v>EXT-MONDE-T052-V01</x:v>
      </x:c>
      <x:c r="B2556" s="115" t="str">
        <x:v>EXT-MONDE-T052</x:v>
      </x:c>
      <x:c r="C2556" s="115" t="str">
        <x:v>Parcs attractions</x:v>
      </x:c>
      <x:c r="D2556" s="115" t="str">
        <x:v>Parc thématique abandonné</x:v>
      </x:c>
      <x:c r="E2556" s="115" t="n">
        <x:v>1</x:v>
      </x:c>
      <x:c r="F2556" s="115" t="str">
        <x:v>Inspection physique</x:v>
      </x:c>
      <x:c r="G2556" s="115" t="str">
        <x:v>1 niveaux ; 32 pièces ; 248 segments de mur ; 0 transitions. Inspection physique ; architecture complète encore ouverte.</x:v>
      </x:c>
      <x:c r="H2556" s="115" t="str">
        <x:v>L 362 ; l 502 ; hauteur 24 m ; choix de composition auteur ; dimensions réelles à documenter</x:v>
      </x:c>
      <x:c r="I2556" s="115" t="str">
        <x:v>À équilibrer</x:v>
      </x:c>
      <x:c r="J2556" s="115" t="str">
        <x:v>Non</x:v>
      </x:c>
      <x:c r="K2556" s="115" t="str">
        <x:v>Pièces décrites, murs, portes, niveaux et mobilier inspectables à l’échelle. Volumes réservés, raccord au seed, butin, rencontres et services de campagne restent à terminer.</x:v>
      </x:c>
    </x:row>
    <x:row r="2557" ht="96" customHeight="1">
      <x:c r="A2557" s="115" t="str">
        <x:v>EXT-MONDE-T052-V02</x:v>
      </x:c>
      <x:c r="B2557" s="115" t="str">
        <x:v>EXT-MONDE-T052</x:v>
      </x:c>
      <x:c r="C2557" s="115" t="str">
        <x:v>Parcs attractions</x:v>
      </x:c>
      <x:c r="D2557" s="115" t="str">
        <x:v>Parc thématique abandonné</x:v>
      </x:c>
      <x:c r="E2557" s="115" t="n">
        <x:v>2</x:v>
      </x:c>
      <x:c r="F2557" s="115" t="str">
        <x:v>Inspection physique</x:v>
      </x:c>
      <x:c r="G2557" s="115" t="str">
        <x:v>1 niveaux ; 32 pièces ; 248 segments de mur ; 0 transitions. Inspection physique ; architecture complète encore ouverte.</x:v>
      </x:c>
      <x:c r="H2557" s="115" t="str">
        <x:v>L 362 ; l 502 ; hauteur 24 m ; choix de composition auteur ; dimensions réelles à documenter</x:v>
      </x:c>
      <x:c r="I2557" s="115" t="str">
        <x:v>À équilibrer</x:v>
      </x:c>
      <x:c r="J2557" s="115" t="str">
        <x:v>Non</x:v>
      </x:c>
      <x:c r="K2557" s="115" t="str">
        <x:v>Pièces décrites, murs, portes, niveaux et mobilier inspectables à l’échelle. Volumes réservés, raccord au seed, butin, rencontres et services de campagne restent à terminer.</x:v>
      </x:c>
    </x:row>
    <x:row r="2558" ht="96" customHeight="1">
      <x:c r="A2558" s="115" t="str">
        <x:v>EXT-MONDE-T052-V03</x:v>
      </x:c>
      <x:c r="B2558" s="115" t="str">
        <x:v>EXT-MONDE-T052</x:v>
      </x:c>
      <x:c r="C2558" s="115" t="str">
        <x:v>Parcs attractions</x:v>
      </x:c>
      <x:c r="D2558" s="115" t="str">
        <x:v>Parc thématique abandonné</x:v>
      </x:c>
      <x:c r="E2558" s="115" t="n">
        <x:v>3</x:v>
      </x:c>
      <x:c r="F2558" s="115" t="str">
        <x:v>Inspection physique</x:v>
      </x:c>
      <x:c r="G2558" s="115" t="str">
        <x:v>1 niveaux ; 32 pièces ; 248 segments de mur ; 0 transitions. Inspection physique ; architecture complète encore ouverte.</x:v>
      </x:c>
      <x:c r="H2558" s="115" t="str">
        <x:v>L 362 ; l 502 ; hauteur 24 m ; choix de composition auteur ; dimensions réelles à documenter</x:v>
      </x:c>
      <x:c r="I2558" s="115" t="str">
        <x:v>À équilibrer</x:v>
      </x:c>
      <x:c r="J2558" s="115" t="str">
        <x:v>Non</x:v>
      </x:c>
      <x:c r="K2558" s="115" t="str">
        <x:v>Pièces décrites, murs, portes, niveaux et mobilier inspectables à l’échelle. Volumes réservés, raccord au seed, butin, rencontres et services de campagne restent à terminer.</x:v>
      </x:c>
    </x:row>
    <x:row r="2559" ht="96" customHeight="1">
      <x:c r="A2559" s="115" t="str">
        <x:v>EXT-MONDE-T052-V04</x:v>
      </x:c>
      <x:c r="B2559" s="115" t="str">
        <x:v>EXT-MONDE-T052</x:v>
      </x:c>
      <x:c r="C2559" s="115" t="str">
        <x:v>Parcs attractions</x:v>
      </x:c>
      <x:c r="D2559" s="115" t="str">
        <x:v>Parc thématique abandonné</x:v>
      </x:c>
      <x:c r="E2559" s="115" t="n">
        <x:v>4</x:v>
      </x:c>
      <x:c r="F2559" s="115" t="str">
        <x:v>Inspection physique</x:v>
      </x:c>
      <x:c r="G2559" s="115" t="str">
        <x:v>1 niveaux ; 32 pièces ; 248 segments de mur ; 0 transitions. Inspection physique ; architecture complète encore ouverte.</x:v>
      </x:c>
      <x:c r="H2559" s="115" t="str">
        <x:v>L 362 ; l 502 ; hauteur 24 m ; choix de composition auteur ; dimensions réelles à documenter</x:v>
      </x:c>
      <x:c r="I2559" s="115" t="str">
        <x:v>À équilibrer</x:v>
      </x:c>
      <x:c r="J2559" s="115" t="str">
        <x:v>Non</x:v>
      </x:c>
      <x:c r="K2559" s="115" t="str">
        <x:v>Pièces décrites, murs, portes, niveaux et mobilier inspectables à l’échelle. Volumes réservés, raccord au seed, butin, rencontres et services de campagne restent à terminer.</x:v>
      </x:c>
    </x:row>
    <x:row r="2560" ht="96" customHeight="1">
      <x:c r="A2560" s="115" t="str">
        <x:v>EXT-MONDE-T052-V05</x:v>
      </x:c>
      <x:c r="B2560" s="115" t="str">
        <x:v>EXT-MONDE-T052</x:v>
      </x:c>
      <x:c r="C2560" s="115" t="str">
        <x:v>Parcs attractions</x:v>
      </x:c>
      <x:c r="D2560" s="115" t="str">
        <x:v>Parc thématique abandonné</x:v>
      </x:c>
      <x:c r="E2560" s="115" t="n">
        <x:v>5</x:v>
      </x:c>
      <x:c r="F2560" s="115" t="str">
        <x:v>Inspection physique</x:v>
      </x:c>
      <x:c r="G2560" s="115" t="str">
        <x:v>1 niveaux ; 32 pièces ; 248 segments de mur ; 0 transitions. Inspection physique ; architecture complète encore ouverte.</x:v>
      </x:c>
      <x:c r="H2560" s="115" t="str">
        <x:v>L 362 ; l 502 ; hauteur 24 m ; choix de composition auteur ; dimensions réelles à documenter</x:v>
      </x:c>
      <x:c r="I2560" s="115" t="str">
        <x:v>À équilibrer</x:v>
      </x:c>
      <x:c r="J2560" s="115" t="str">
        <x:v>Non</x:v>
      </x:c>
      <x:c r="K2560" s="115" t="str">
        <x:v>Pièces décrites, murs, portes, niveaux et mobilier inspectables à l’échelle. Volumes réservés, raccord au seed, butin, rencontres et services de campagne restent à terminer.</x:v>
      </x:c>
    </x:row>
    <x:row r="2561" ht="96" customHeight="1">
      <x:c r="A2561" s="115" t="str">
        <x:v>EXT-MONDE-T052-V06</x:v>
      </x:c>
      <x:c r="B2561" s="115" t="str">
        <x:v>EXT-MONDE-T052</x:v>
      </x:c>
      <x:c r="C2561" s="115" t="str">
        <x:v>Parcs attractions</x:v>
      </x:c>
      <x:c r="D2561" s="115" t="str">
        <x:v>Parc thématique abandonné</x:v>
      </x:c>
      <x:c r="E2561" s="115" t="n">
        <x:v>6</x:v>
      </x:c>
      <x:c r="F2561" s="115" t="str">
        <x:v>Inspection physique</x:v>
      </x:c>
      <x:c r="G2561" s="115" t="str">
        <x:v>1 niveaux ; 32 pièces ; 248 segments de mur ; 0 transitions. Inspection physique ; architecture complète encore ouverte.</x:v>
      </x:c>
      <x:c r="H2561" s="115" t="str">
        <x:v>L 362 ; l 502 ; hauteur 24 m ; choix de composition auteur ; dimensions réelles à documenter</x:v>
      </x:c>
      <x:c r="I2561" s="115" t="str">
        <x:v>À équilibrer</x:v>
      </x:c>
      <x:c r="J2561" s="115" t="str">
        <x:v>Non</x:v>
      </x:c>
      <x:c r="K2561" s="115" t="str">
        <x:v>Pièces décrites, murs, portes, niveaux et mobilier inspectables à l’échelle. Volumes réservés, raccord au seed, butin, rencontres et services de campagne restent à terminer.</x:v>
      </x:c>
    </x:row>
    <x:row r="2562" ht="96" customHeight="1">
      <x:c r="A2562" s="115" t="str">
        <x:v>EXT-MONDE-T052-V07</x:v>
      </x:c>
      <x:c r="B2562" s="115" t="str">
        <x:v>EXT-MONDE-T052</x:v>
      </x:c>
      <x:c r="C2562" s="115" t="str">
        <x:v>Parcs attractions</x:v>
      </x:c>
      <x:c r="D2562" s="115" t="str">
        <x:v>Parc thématique abandonné</x:v>
      </x:c>
      <x:c r="E2562" s="115" t="n">
        <x:v>7</x:v>
      </x:c>
      <x:c r="F2562" s="115" t="str">
        <x:v>Inspection physique</x:v>
      </x:c>
      <x:c r="G2562" s="115" t="str">
        <x:v>1 niveaux ; 32 pièces ; 248 segments de mur ; 0 transitions. Inspection physique ; architecture complète encore ouverte.</x:v>
      </x:c>
      <x:c r="H2562" s="115" t="str">
        <x:v>L 362 ; l 502 ; hauteur 24 m ; choix de composition auteur ; dimensions réelles à documenter</x:v>
      </x:c>
      <x:c r="I2562" s="115" t="str">
        <x:v>À équilibrer</x:v>
      </x:c>
      <x:c r="J2562" s="115" t="str">
        <x:v>Non</x:v>
      </x:c>
      <x:c r="K2562" s="115" t="str">
        <x:v>Pièces décrites, murs, portes, niveaux et mobilier inspectables à l’échelle. Volumes réservés, raccord au seed, butin, rencontres et services de campagne restent à terminer.</x:v>
      </x:c>
    </x:row>
    <x:row r="2563" ht="96" customHeight="1">
      <x:c r="A2563" s="115" t="str">
        <x:v>EXT-MONDE-T052-V08</x:v>
      </x:c>
      <x:c r="B2563" s="115" t="str">
        <x:v>EXT-MONDE-T052</x:v>
      </x:c>
      <x:c r="C2563" s="115" t="str">
        <x:v>Parcs attractions</x:v>
      </x:c>
      <x:c r="D2563" s="115" t="str">
        <x:v>Parc thématique abandonné</x:v>
      </x:c>
      <x:c r="E2563" s="115" t="n">
        <x:v>8</x:v>
      </x:c>
      <x:c r="F2563" s="115" t="str">
        <x:v>Inspection physique</x:v>
      </x:c>
      <x:c r="G2563" s="115" t="str">
        <x:v>1 niveaux ; 32 pièces ; 248 segments de mur ; 0 transitions. Inspection physique ; architecture complète encore ouverte.</x:v>
      </x:c>
      <x:c r="H2563" s="115" t="str">
        <x:v>L 362 ; l 502 ; hauteur 24 m ; choix de composition auteur ; dimensions réelles à documenter</x:v>
      </x:c>
      <x:c r="I2563" s="115" t="str">
        <x:v>À équilibrer</x:v>
      </x:c>
      <x:c r="J2563" s="115" t="str">
        <x:v>Non</x:v>
      </x:c>
      <x:c r="K2563" s="115" t="str">
        <x:v>Pièces décrites, murs, portes, niveaux et mobilier inspectables à l’échelle. Volumes réservés, raccord au seed, butin, rencontres et services de campagne restent à terminer.</x:v>
      </x:c>
    </x:row>
    <x:row r="2564" ht="96" customHeight="1">
      <x:c r="A2564" s="115" t="str">
        <x:v>EXT-MONDE-T052-V09</x:v>
      </x:c>
      <x:c r="B2564" s="115" t="str">
        <x:v>EXT-MONDE-T052</x:v>
      </x:c>
      <x:c r="C2564" s="115" t="str">
        <x:v>Parcs attractions</x:v>
      </x:c>
      <x:c r="D2564" s="115" t="str">
        <x:v>Parc thématique abandonné</x:v>
      </x:c>
      <x:c r="E2564" s="115" t="n">
        <x:v>9</x:v>
      </x:c>
      <x:c r="F2564" s="115" t="str">
        <x:v>Inspection physique</x:v>
      </x:c>
      <x:c r="G2564" s="115" t="str">
        <x:v>1 niveaux ; 32 pièces ; 248 segments de mur ; 0 transitions. Inspection physique ; architecture complète encore ouverte.</x:v>
      </x:c>
      <x:c r="H2564" s="115" t="str">
        <x:v>L 362 ; l 502 ; hauteur 24 m ; choix de composition auteur ; dimensions réelles à documenter</x:v>
      </x:c>
      <x:c r="I2564" s="115" t="str">
        <x:v>À équilibrer</x:v>
      </x:c>
      <x:c r="J2564" s="115" t="str">
        <x:v>Non</x:v>
      </x:c>
      <x:c r="K2564" s="115" t="str">
        <x:v>Pièces décrites, murs, portes, niveaux et mobilier inspectables à l’échelle. Volumes réservés, raccord au seed, butin, rencontres et services de campagne restent à terminer.</x:v>
      </x:c>
    </x:row>
    <x:row r="2565" ht="96" customHeight="1">
      <x:c r="A2565" s="115" t="str">
        <x:v>EXT-MONDE-T052-V10</x:v>
      </x:c>
      <x:c r="B2565" s="115" t="str">
        <x:v>EXT-MONDE-T052</x:v>
      </x:c>
      <x:c r="C2565" s="115" t="str">
        <x:v>Parcs attractions</x:v>
      </x:c>
      <x:c r="D2565" s="115" t="str">
        <x:v>Parc thématique abandonné</x:v>
      </x:c>
      <x:c r="E2565" s="115" t="n">
        <x:v>10</x:v>
      </x:c>
      <x:c r="F2565" s="115" t="str">
        <x:v>Inspection physique</x:v>
      </x:c>
      <x:c r="G2565" s="115" t="str">
        <x:v>1 niveaux ; 32 pièces ; 248 segments de mur ; 0 transitions. Inspection physique ; architecture complète encore ouverte.</x:v>
      </x:c>
      <x:c r="H2565" s="115" t="str">
        <x:v>L 362 ; l 502 ; hauteur 24 m ; choix de composition auteur ; dimensions réelles à documenter</x:v>
      </x:c>
      <x:c r="I2565" s="115" t="str">
        <x:v>À équilibrer</x:v>
      </x:c>
      <x:c r="J2565" s="115" t="str">
        <x:v>Non</x:v>
      </x:c>
      <x:c r="K2565" s="115" t="str">
        <x:v>Pièces décrites, murs, portes, niveaux et mobilier inspectables à l’échelle. Volumes réservés, raccord au seed, butin, rencontres et services de campagne restent à terminer.</x:v>
      </x:c>
    </x:row>
    <x:row r="2566" ht="96" customHeight="1">
      <x:c r="A2566" s="115" t="str">
        <x:v>EXT-MONDE-T052-V11</x:v>
      </x:c>
      <x:c r="B2566" s="115" t="str">
        <x:v>EXT-MONDE-T052</x:v>
      </x:c>
      <x:c r="C2566" s="115" t="str">
        <x:v>Parcs attractions</x:v>
      </x:c>
      <x:c r="D2566" s="115" t="str">
        <x:v>Parc thématique abandonné</x:v>
      </x:c>
      <x:c r="E2566" s="115" t="n">
        <x:v>11</x:v>
      </x:c>
      <x:c r="F2566" s="115" t="str">
        <x:v>Inspection physique</x:v>
      </x:c>
      <x:c r="G2566" s="115" t="str">
        <x:v>1 niveaux ; 32 pièces ; 248 segments de mur ; 0 transitions. Inspection physique ; architecture complète encore ouverte.</x:v>
      </x:c>
      <x:c r="H2566" s="115" t="str">
        <x:v>L 374 ; l 510 ; hauteur 24 m ; choix de composition auteur ; dimensions réelles à documenter</x:v>
      </x:c>
      <x:c r="I2566" s="115" t="str">
        <x:v>À équilibrer</x:v>
      </x:c>
      <x:c r="J2566" s="115" t="str">
        <x:v>Non</x:v>
      </x:c>
      <x:c r="K2566" s="115" t="str">
        <x:v>Pièces décrites, murs, portes, niveaux et mobilier inspectables à l’échelle. Volumes réservés, raccord au seed, butin, rencontres et services de campagne restent à terminer.</x:v>
      </x:c>
    </x:row>
    <x:row r="2567" ht="96" customHeight="1">
      <x:c r="A2567" s="115" t="str">
        <x:v>EXT-MONDE-T052-V12</x:v>
      </x:c>
      <x:c r="B2567" s="115" t="str">
        <x:v>EXT-MONDE-T052</x:v>
      </x:c>
      <x:c r="C2567" s="115" t="str">
        <x:v>Parcs attractions</x:v>
      </x:c>
      <x:c r="D2567" s="115" t="str">
        <x:v>Parc thématique abandonné</x:v>
      </x:c>
      <x:c r="E2567" s="115" t="n">
        <x:v>12</x:v>
      </x:c>
      <x:c r="F2567" s="115" t="str">
        <x:v>Inspection physique</x:v>
      </x:c>
      <x:c r="G2567" s="115" t="str">
        <x:v>1 niveaux ; 32 pièces ; 248 segments de mur ; 0 transitions. Inspection physique ; architecture complète encore ouverte.</x:v>
      </x:c>
      <x:c r="H2567" s="115" t="str">
        <x:v>L 374 ; l 510 ; hauteur 24 m ; choix de composition auteur ; dimensions réelles à documenter</x:v>
      </x:c>
      <x:c r="I2567" s="115" t="str">
        <x:v>À équilibrer</x:v>
      </x:c>
      <x:c r="J2567" s="115" t="str">
        <x:v>Non</x:v>
      </x:c>
      <x:c r="K2567" s="115" t="str">
        <x:v>Pièces décrites, murs, portes, niveaux et mobilier inspectables à l’échelle. Volumes réservés, raccord au seed, butin, rencontres et services de campagne restent à terminer.</x:v>
      </x:c>
    </x:row>
    <x:row r="2568" ht="96" customHeight="1">
      <x:c r="A2568" s="115" t="str">
        <x:v>EXT-MONDE-T052-V13</x:v>
      </x:c>
      <x:c r="B2568" s="115" t="str">
        <x:v>EXT-MONDE-T052</x:v>
      </x:c>
      <x:c r="C2568" s="115" t="str">
        <x:v>Parcs attractions</x:v>
      </x:c>
      <x:c r="D2568" s="115" t="str">
        <x:v>Parc thématique abandonné</x:v>
      </x:c>
      <x:c r="E2568" s="115" t="n">
        <x:v>13</x:v>
      </x:c>
      <x:c r="F2568" s="115" t="str">
        <x:v>Inspection physique</x:v>
      </x:c>
      <x:c r="G2568" s="115" t="str">
        <x:v>1 niveaux ; 32 pièces ; 248 segments de mur ; 0 transitions. Inspection physique ; architecture complète encore ouverte.</x:v>
      </x:c>
      <x:c r="H2568" s="115" t="str">
        <x:v>L 374 ; l 510 ; hauteur 24 m ; choix de composition auteur ; dimensions réelles à documenter</x:v>
      </x:c>
      <x:c r="I2568" s="115" t="str">
        <x:v>À équilibrer</x:v>
      </x:c>
      <x:c r="J2568" s="115" t="str">
        <x:v>Non</x:v>
      </x:c>
      <x:c r="K2568" s="115" t="str">
        <x:v>Pièces décrites, murs, portes, niveaux et mobilier inspectables à l’échelle. Volumes réservés, raccord au seed, butin, rencontres et services de campagne restent à terminer.</x:v>
      </x:c>
    </x:row>
    <x:row r="2569" ht="96" customHeight="1">
      <x:c r="A2569" s="115" t="str">
        <x:v>EXT-MONDE-T052-V14</x:v>
      </x:c>
      <x:c r="B2569" s="115" t="str">
        <x:v>EXT-MONDE-T052</x:v>
      </x:c>
      <x:c r="C2569" s="115" t="str">
        <x:v>Parcs attractions</x:v>
      </x:c>
      <x:c r="D2569" s="115" t="str">
        <x:v>Parc thématique abandonné</x:v>
      </x:c>
      <x:c r="E2569" s="115" t="n">
        <x:v>14</x:v>
      </x:c>
      <x:c r="F2569" s="115" t="str">
        <x:v>Inspection physique</x:v>
      </x:c>
      <x:c r="G2569" s="115" t="str">
        <x:v>1 niveaux ; 32 pièces ; 248 segments de mur ; 0 transitions. Inspection physique ; architecture complète encore ouverte.</x:v>
      </x:c>
      <x:c r="H2569" s="115" t="str">
        <x:v>L 374 ; l 510 ; hauteur 24 m ; choix de composition auteur ; dimensions réelles à documenter</x:v>
      </x:c>
      <x:c r="I2569" s="115" t="str">
        <x:v>À équilibrer</x:v>
      </x:c>
      <x:c r="J2569" s="115" t="str">
        <x:v>Non</x:v>
      </x:c>
      <x:c r="K2569" s="115" t="str">
        <x:v>Pièces décrites, murs, portes, niveaux et mobilier inspectables à l’échelle. Volumes réservés, raccord au seed, butin, rencontres et services de campagne restent à terminer.</x:v>
      </x:c>
    </x:row>
    <x:row r="2570" ht="96" customHeight="1">
      <x:c r="A2570" s="115" t="str">
        <x:v>EXT-MONDE-T052-V15</x:v>
      </x:c>
      <x:c r="B2570" s="115" t="str">
        <x:v>EXT-MONDE-T052</x:v>
      </x:c>
      <x:c r="C2570" s="115" t="str">
        <x:v>Parcs attractions</x:v>
      </x:c>
      <x:c r="D2570" s="115" t="str">
        <x:v>Parc thématique abandonné</x:v>
      </x:c>
      <x:c r="E2570" s="115" t="n">
        <x:v>15</x:v>
      </x:c>
      <x:c r="F2570" s="115" t="str">
        <x:v>Inspection physique</x:v>
      </x:c>
      <x:c r="G2570" s="115" t="str">
        <x:v>1 niveaux ; 32 pièces ; 248 segments de mur ; 0 transitions. Inspection physique ; architecture complète encore ouverte.</x:v>
      </x:c>
      <x:c r="H2570" s="115" t="str">
        <x:v>L 374 ; l 510 ; hauteur 24 m ; choix de composition auteur ; dimensions réelles à documenter</x:v>
      </x:c>
      <x:c r="I2570" s="115" t="str">
        <x:v>À équilibrer</x:v>
      </x:c>
      <x:c r="J2570" s="115" t="str">
        <x:v>Non</x:v>
      </x:c>
      <x:c r="K2570" s="115" t="str">
        <x:v>Pièces décrites, murs, portes, niveaux et mobilier inspectables à l’échelle. Volumes réservés, raccord au seed, butin, rencontres et services de campagne restent à terminer.</x:v>
      </x:c>
    </x:row>
    <x:row r="2571" ht="96" customHeight="1">
      <x:c r="A2571" s="115" t="str">
        <x:v>EXT-MONDE-T052-V16</x:v>
      </x:c>
      <x:c r="B2571" s="115" t="str">
        <x:v>EXT-MONDE-T052</x:v>
      </x:c>
      <x:c r="C2571" s="115" t="str">
        <x:v>Parcs attractions</x:v>
      </x:c>
      <x:c r="D2571" s="115" t="str">
        <x:v>Parc thématique abandonné</x:v>
      </x:c>
      <x:c r="E2571" s="115" t="n">
        <x:v>16</x:v>
      </x:c>
      <x:c r="F2571" s="115" t="str">
        <x:v>Inspection physique</x:v>
      </x:c>
      <x:c r="G2571" s="115" t="str">
        <x:v>1 niveaux ; 32 pièces ; 248 segments de mur ; 0 transitions. Inspection physique ; architecture complète encore ouverte.</x:v>
      </x:c>
      <x:c r="H2571" s="115" t="str">
        <x:v>L 374 ; l 510 ; hauteur 24 m ; choix de composition auteur ; dimensions réelles à documenter</x:v>
      </x:c>
      <x:c r="I2571" s="115" t="str">
        <x:v>À équilibrer</x:v>
      </x:c>
      <x:c r="J2571" s="115" t="str">
        <x:v>Non</x:v>
      </x:c>
      <x:c r="K2571" s="115" t="str">
        <x:v>Pièces décrites, murs, portes, niveaux et mobilier inspectables à l’échelle. Volumes réservés, raccord au seed, butin, rencontres et services de campagne restent à terminer.</x:v>
      </x:c>
    </x:row>
    <x:row r="2572" ht="96" customHeight="1">
      <x:c r="A2572" s="115" t="str">
        <x:v>EXT-MONDE-T052-V17</x:v>
      </x:c>
      <x:c r="B2572" s="115" t="str">
        <x:v>EXT-MONDE-T052</x:v>
      </x:c>
      <x:c r="C2572" s="115" t="str">
        <x:v>Parcs attractions</x:v>
      </x:c>
      <x:c r="D2572" s="115" t="str">
        <x:v>Parc thématique abandonné</x:v>
      </x:c>
      <x:c r="E2572" s="115" t="n">
        <x:v>17</x:v>
      </x:c>
      <x:c r="F2572" s="115" t="str">
        <x:v>Inspection physique</x:v>
      </x:c>
      <x:c r="G2572" s="115" t="str">
        <x:v>1 niveaux ; 32 pièces ; 248 segments de mur ; 0 transitions. Inspection physique ; architecture complète encore ouverte.</x:v>
      </x:c>
      <x:c r="H2572" s="115" t="str">
        <x:v>L 374 ; l 510 ; hauteur 24 m ; choix de composition auteur ; dimensions réelles à documenter</x:v>
      </x:c>
      <x:c r="I2572" s="115" t="str">
        <x:v>À équilibrer</x:v>
      </x:c>
      <x:c r="J2572" s="115" t="str">
        <x:v>Non</x:v>
      </x:c>
      <x:c r="K2572" s="115" t="str">
        <x:v>Pièces décrites, murs, portes, niveaux et mobilier inspectables à l’échelle. Volumes réservés, raccord au seed, butin, rencontres et services de campagne restent à terminer.</x:v>
      </x:c>
    </x:row>
    <x:row r="2573" ht="96" customHeight="1">
      <x:c r="A2573" s="115" t="str">
        <x:v>EXT-MONDE-T052-V18</x:v>
      </x:c>
      <x:c r="B2573" s="115" t="str">
        <x:v>EXT-MONDE-T052</x:v>
      </x:c>
      <x:c r="C2573" s="115" t="str">
        <x:v>Parcs attractions</x:v>
      </x:c>
      <x:c r="D2573" s="115" t="str">
        <x:v>Parc thématique abandonné</x:v>
      </x:c>
      <x:c r="E2573" s="115" t="n">
        <x:v>18</x:v>
      </x:c>
      <x:c r="F2573" s="115" t="str">
        <x:v>Inspection physique</x:v>
      </x:c>
      <x:c r="G2573" s="115" t="str">
        <x:v>1 niveaux ; 32 pièces ; 248 segments de mur ; 0 transitions. Inspection physique ; architecture complète encore ouverte.</x:v>
      </x:c>
      <x:c r="H2573" s="115" t="str">
        <x:v>L 374 ; l 510 ; hauteur 24 m ; choix de composition auteur ; dimensions réelles à documenter</x:v>
      </x:c>
      <x:c r="I2573" s="115" t="str">
        <x:v>À équilibrer</x:v>
      </x:c>
      <x:c r="J2573" s="115" t="str">
        <x:v>Non</x:v>
      </x:c>
      <x:c r="K2573" s="115" t="str">
        <x:v>Pièces décrites, murs, portes, niveaux et mobilier inspectables à l’échelle. Volumes réservés, raccord au seed, butin, rencontres et services de campagne restent à terminer.</x:v>
      </x:c>
    </x:row>
    <x:row r="2574" ht="96" customHeight="1">
      <x:c r="A2574" s="115" t="str">
        <x:v>EXT-MONDE-T052-V19</x:v>
      </x:c>
      <x:c r="B2574" s="115" t="str">
        <x:v>EXT-MONDE-T052</x:v>
      </x:c>
      <x:c r="C2574" s="115" t="str">
        <x:v>Parcs attractions</x:v>
      </x:c>
      <x:c r="D2574" s="115" t="str">
        <x:v>Parc thématique abandonné</x:v>
      </x:c>
      <x:c r="E2574" s="115" t="n">
        <x:v>19</x:v>
      </x:c>
      <x:c r="F2574" s="115" t="str">
        <x:v>Inspection physique</x:v>
      </x:c>
      <x:c r="G2574" s="115" t="str">
        <x:v>1 niveaux ; 32 pièces ; 248 segments de mur ; 0 transitions. Inspection physique ; architecture complète encore ouverte.</x:v>
      </x:c>
      <x:c r="H2574" s="115" t="str">
        <x:v>L 374 ; l 510 ; hauteur 24 m ; choix de composition auteur ; dimensions réelles à documenter</x:v>
      </x:c>
      <x:c r="I2574" s="115" t="str">
        <x:v>À équilibrer</x:v>
      </x:c>
      <x:c r="J2574" s="115" t="str">
        <x:v>Non</x:v>
      </x:c>
      <x:c r="K2574" s="115" t="str">
        <x:v>Pièces décrites, murs, portes, niveaux et mobilier inspectables à l’échelle. Volumes réservés, raccord au seed, butin, rencontres et services de campagne restent à terminer.</x:v>
      </x:c>
    </x:row>
    <x:row r="2575" ht="96" customHeight="1">
      <x:c r="A2575" s="115" t="str">
        <x:v>EXT-MONDE-T052-V20</x:v>
      </x:c>
      <x:c r="B2575" s="115" t="str">
        <x:v>EXT-MONDE-T052</x:v>
      </x:c>
      <x:c r="C2575" s="115" t="str">
        <x:v>Parcs attractions</x:v>
      </x:c>
      <x:c r="D2575" s="115" t="str">
        <x:v>Parc thématique abandonné</x:v>
      </x:c>
      <x:c r="E2575" s="115" t="n">
        <x:v>20</x:v>
      </x:c>
      <x:c r="F2575" s="115" t="str">
        <x:v>Inspection physique</x:v>
      </x:c>
      <x:c r="G2575" s="115" t="str">
        <x:v>1 niveaux ; 32 pièces ; 248 segments de mur ; 0 transitions. Inspection physique ; architecture complète encore ouverte.</x:v>
      </x:c>
      <x:c r="H2575" s="115" t="str">
        <x:v>L 374 ; l 510 ; hauteur 24 m ; choix de composition auteur ; dimensions réelles à documenter</x:v>
      </x:c>
      <x:c r="I2575" s="115" t="str">
        <x:v>À équilibrer</x:v>
      </x:c>
      <x:c r="J2575" s="115" t="str">
        <x:v>Non</x:v>
      </x:c>
      <x:c r="K2575" s="115" t="str">
        <x:v>Pièces décrites, murs, portes, niveaux et mobilier inspectables à l’échelle. Volumes réservés, raccord au seed, butin, rencontres et services de campagne restent à terminer.</x:v>
      </x:c>
    </x:row>
    <x:row r="2576" ht="96" customHeight="1">
      <x:c r="A2576" s="115" t="str">
        <x:v>EXT-MONDE-T052-V21</x:v>
      </x:c>
      <x:c r="B2576" s="115" t="str">
        <x:v>EXT-MONDE-T052</x:v>
      </x:c>
      <x:c r="C2576" s="115" t="str">
        <x:v>Parcs attractions</x:v>
      </x:c>
      <x:c r="D2576" s="115" t="str">
        <x:v>Parc thématique abandonné</x:v>
      </x:c>
      <x:c r="E2576" s="115" t="n">
        <x:v>21</x:v>
      </x:c>
      <x:c r="F2576" s="115" t="str">
        <x:v>Inspection physique</x:v>
      </x:c>
      <x:c r="G2576" s="115" t="str">
        <x:v>1 niveaux ; 32 pièces ; 248 segments de mur ; 0 transitions. Inspection physique ; architecture complète encore ouverte.</x:v>
      </x:c>
      <x:c r="H2576" s="115" t="str">
        <x:v>L 386 ; l 518 ; hauteur 24 m ; choix de composition auteur ; dimensions réelles à documenter</x:v>
      </x:c>
      <x:c r="I2576" s="115" t="str">
        <x:v>À équilibrer</x:v>
      </x:c>
      <x:c r="J2576" s="115" t="str">
        <x:v>Non</x:v>
      </x:c>
      <x:c r="K2576" s="115" t="str">
        <x:v>Pièces décrites, murs, portes, niveaux et mobilier inspectables à l’échelle. Volumes réservés, raccord au seed, butin, rencontres et services de campagne restent à terminer.</x:v>
      </x:c>
    </x:row>
    <x:row r="2577" ht="96" customHeight="1">
      <x:c r="A2577" s="115" t="str">
        <x:v>EXT-MONDE-T052-V22</x:v>
      </x:c>
      <x:c r="B2577" s="115" t="str">
        <x:v>EXT-MONDE-T052</x:v>
      </x:c>
      <x:c r="C2577" s="115" t="str">
        <x:v>Parcs attractions</x:v>
      </x:c>
      <x:c r="D2577" s="115" t="str">
        <x:v>Parc thématique abandonné</x:v>
      </x:c>
      <x:c r="E2577" s="115" t="n">
        <x:v>22</x:v>
      </x:c>
      <x:c r="F2577" s="115" t="str">
        <x:v>Inspection physique</x:v>
      </x:c>
      <x:c r="G2577" s="115" t="str">
        <x:v>1 niveaux ; 32 pièces ; 248 segments de mur ; 0 transitions. Inspection physique ; architecture complète encore ouverte.</x:v>
      </x:c>
      <x:c r="H2577" s="115" t="str">
        <x:v>L 386 ; l 518 ; hauteur 24 m ; choix de composition auteur ; dimensions réelles à documenter</x:v>
      </x:c>
      <x:c r="I2577" s="115" t="str">
        <x:v>À équilibrer</x:v>
      </x:c>
      <x:c r="J2577" s="115" t="str">
        <x:v>Non</x:v>
      </x:c>
      <x:c r="K2577" s="115" t="str">
        <x:v>Pièces décrites, murs, portes, niveaux et mobilier inspectables à l’échelle. Volumes réservés, raccord au seed, butin, rencontres et services de campagne restent à terminer.</x:v>
      </x:c>
    </x:row>
    <x:row r="2578" ht="96" customHeight="1">
      <x:c r="A2578" s="115" t="str">
        <x:v>EXT-MONDE-T052-V23</x:v>
      </x:c>
      <x:c r="B2578" s="115" t="str">
        <x:v>EXT-MONDE-T052</x:v>
      </x:c>
      <x:c r="C2578" s="115" t="str">
        <x:v>Parcs attractions</x:v>
      </x:c>
      <x:c r="D2578" s="115" t="str">
        <x:v>Parc thématique abandonné</x:v>
      </x:c>
      <x:c r="E2578" s="115" t="n">
        <x:v>23</x:v>
      </x:c>
      <x:c r="F2578" s="115" t="str">
        <x:v>Inspection physique</x:v>
      </x:c>
      <x:c r="G2578" s="115" t="str">
        <x:v>1 niveaux ; 32 pièces ; 248 segments de mur ; 0 transitions. Inspection physique ; architecture complète encore ouverte.</x:v>
      </x:c>
      <x:c r="H2578" s="115" t="str">
        <x:v>L 386 ; l 518 ; hauteur 24 m ; choix de composition auteur ; dimensions réelles à documenter</x:v>
      </x:c>
      <x:c r="I2578" s="115" t="str">
        <x:v>À équilibrer</x:v>
      </x:c>
      <x:c r="J2578" s="115" t="str">
        <x:v>Non</x:v>
      </x:c>
      <x:c r="K2578" s="115" t="str">
        <x:v>Pièces décrites, murs, portes, niveaux et mobilier inspectables à l’échelle. Volumes réservés, raccord au seed, butin, rencontres et services de campagne restent à terminer.</x:v>
      </x:c>
    </x:row>
    <x:row r="2579" ht="96" customHeight="1">
      <x:c r="A2579" s="115" t="str">
        <x:v>EXT-MONDE-T052-V24</x:v>
      </x:c>
      <x:c r="B2579" s="115" t="str">
        <x:v>EXT-MONDE-T052</x:v>
      </x:c>
      <x:c r="C2579" s="115" t="str">
        <x:v>Parcs attractions</x:v>
      </x:c>
      <x:c r="D2579" s="115" t="str">
        <x:v>Parc thématique abandonné</x:v>
      </x:c>
      <x:c r="E2579" s="115" t="n">
        <x:v>24</x:v>
      </x:c>
      <x:c r="F2579" s="115" t="str">
        <x:v>Inspection physique</x:v>
      </x:c>
      <x:c r="G2579" s="115" t="str">
        <x:v>1 niveaux ; 32 pièces ; 248 segments de mur ; 0 transitions. Inspection physique ; architecture complète encore ouverte.</x:v>
      </x:c>
      <x:c r="H2579" s="115" t="str">
        <x:v>L 386 ; l 518 ; hauteur 24 m ; choix de composition auteur ; dimensions réelles à documenter</x:v>
      </x:c>
      <x:c r="I2579" s="115" t="str">
        <x:v>À équilibrer</x:v>
      </x:c>
      <x:c r="J2579" s="115" t="str">
        <x:v>Non</x:v>
      </x:c>
      <x:c r="K2579" s="115" t="str">
        <x:v>Pièces décrites, murs, portes, niveaux et mobilier inspectables à l’échelle. Volumes réservés, raccord au seed, butin, rencontres et services de campagne restent à terminer.</x:v>
      </x:c>
    </x:row>
    <x:row r="2580" ht="96" customHeight="1">
      <x:c r="A2580" s="115" t="str">
        <x:v>EXT-MONDE-T052-V25</x:v>
      </x:c>
      <x:c r="B2580" s="115" t="str">
        <x:v>EXT-MONDE-T052</x:v>
      </x:c>
      <x:c r="C2580" s="115" t="str">
        <x:v>Parcs attractions</x:v>
      </x:c>
      <x:c r="D2580" s="115" t="str">
        <x:v>Parc thématique abandonné</x:v>
      </x:c>
      <x:c r="E2580" s="115" t="n">
        <x:v>25</x:v>
      </x:c>
      <x:c r="F2580" s="115" t="str">
        <x:v>Inspection physique</x:v>
      </x:c>
      <x:c r="G2580" s="115" t="str">
        <x:v>1 niveaux ; 32 pièces ; 248 segments de mur ; 0 transitions. Inspection physique ; architecture complète encore ouverte.</x:v>
      </x:c>
      <x:c r="H2580" s="115" t="str">
        <x:v>L 386 ; l 518 ; hauteur 24 m ; choix de composition auteur ; dimensions réelles à documenter</x:v>
      </x:c>
      <x:c r="I2580" s="115" t="str">
        <x:v>À équilibrer</x:v>
      </x:c>
      <x:c r="J2580" s="115" t="str">
        <x:v>Non</x:v>
      </x:c>
      <x:c r="K2580" s="115" t="str">
        <x:v>Pièces décrites, murs, portes, niveaux et mobilier inspectables à l’échelle. Volumes réservés, raccord au seed, butin, rencontres et services de campagne restent à terminer.</x:v>
      </x:c>
    </x:row>
    <x:row r="2581" ht="96" customHeight="1">
      <x:c r="A2581" s="115" t="str">
        <x:v>EXT-MONDE-T052-V26</x:v>
      </x:c>
      <x:c r="B2581" s="115" t="str">
        <x:v>EXT-MONDE-T052</x:v>
      </x:c>
      <x:c r="C2581" s="115" t="str">
        <x:v>Parcs attractions</x:v>
      </x:c>
      <x:c r="D2581" s="115" t="str">
        <x:v>Parc thématique abandonné</x:v>
      </x:c>
      <x:c r="E2581" s="115" t="n">
        <x:v>26</x:v>
      </x:c>
      <x:c r="F2581" s="115" t="str">
        <x:v>Inspection physique</x:v>
      </x:c>
      <x:c r="G2581" s="115" t="str">
        <x:v>1 niveaux ; 32 pièces ; 248 segments de mur ; 0 transitions. Inspection physique ; architecture complète encore ouverte.</x:v>
      </x:c>
      <x:c r="H2581" s="115" t="str">
        <x:v>L 386 ; l 518 ; hauteur 24 m ; choix de composition auteur ; dimensions réelles à documenter</x:v>
      </x:c>
      <x:c r="I2581" s="115" t="str">
        <x:v>À équilibrer</x:v>
      </x:c>
      <x:c r="J2581" s="115" t="str">
        <x:v>Non</x:v>
      </x:c>
      <x:c r="K2581" s="115" t="str">
        <x:v>Pièces décrites, murs, portes, niveaux et mobilier inspectables à l’échelle. Volumes réservés, raccord au seed, butin, rencontres et services de campagne restent à terminer.</x:v>
      </x:c>
    </x:row>
    <x:row r="2582" ht="96" customHeight="1">
      <x:c r="A2582" s="115" t="str">
        <x:v>EXT-MONDE-T052-V27</x:v>
      </x:c>
      <x:c r="B2582" s="115" t="str">
        <x:v>EXT-MONDE-T052</x:v>
      </x:c>
      <x:c r="C2582" s="115" t="str">
        <x:v>Parcs attractions</x:v>
      </x:c>
      <x:c r="D2582" s="115" t="str">
        <x:v>Parc thématique abandonné</x:v>
      </x:c>
      <x:c r="E2582" s="115" t="n">
        <x:v>27</x:v>
      </x:c>
      <x:c r="F2582" s="115" t="str">
        <x:v>Inspection physique</x:v>
      </x:c>
      <x:c r="G2582" s="115" t="str">
        <x:v>1 niveaux ; 32 pièces ; 248 segments de mur ; 0 transitions. Inspection physique ; architecture complète encore ouverte.</x:v>
      </x:c>
      <x:c r="H2582" s="115" t="str">
        <x:v>L 386 ; l 518 ; hauteur 24 m ; choix de composition auteur ; dimensions réelles à documenter</x:v>
      </x:c>
      <x:c r="I2582" s="115" t="str">
        <x:v>À équilibrer</x:v>
      </x:c>
      <x:c r="J2582" s="115" t="str">
        <x:v>Non</x:v>
      </x:c>
      <x:c r="K2582" s="115" t="str">
        <x:v>Pièces décrites, murs, portes, niveaux et mobilier inspectables à l’échelle. Volumes réservés, raccord au seed, butin, rencontres et services de campagne restent à terminer.</x:v>
      </x:c>
    </x:row>
    <x:row r="2583" ht="96" customHeight="1">
      <x:c r="A2583" s="115" t="str">
        <x:v>EXT-MONDE-T052-V28</x:v>
      </x:c>
      <x:c r="B2583" s="115" t="str">
        <x:v>EXT-MONDE-T052</x:v>
      </x:c>
      <x:c r="C2583" s="115" t="str">
        <x:v>Parcs attractions</x:v>
      </x:c>
      <x:c r="D2583" s="115" t="str">
        <x:v>Parc thématique abandonné</x:v>
      </x:c>
      <x:c r="E2583" s="115" t="n">
        <x:v>28</x:v>
      </x:c>
      <x:c r="F2583" s="115" t="str">
        <x:v>Inspection physique</x:v>
      </x:c>
      <x:c r="G2583" s="115" t="str">
        <x:v>1 niveaux ; 32 pièces ; 248 segments de mur ; 0 transitions. Inspection physique ; architecture complète encore ouverte.</x:v>
      </x:c>
      <x:c r="H2583" s="115" t="str">
        <x:v>L 386 ; l 518 ; hauteur 24 m ; choix de composition auteur ; dimensions réelles à documenter</x:v>
      </x:c>
      <x:c r="I2583" s="115" t="str">
        <x:v>À équilibrer</x:v>
      </x:c>
      <x:c r="J2583" s="115" t="str">
        <x:v>Non</x:v>
      </x:c>
      <x:c r="K2583" s="115" t="str">
        <x:v>Pièces décrites, murs, portes, niveaux et mobilier inspectables à l’échelle. Volumes réservés, raccord au seed, butin, rencontres et services de campagne restent à terminer.</x:v>
      </x:c>
    </x:row>
    <x:row r="2584" ht="96" customHeight="1">
      <x:c r="A2584" s="115" t="str">
        <x:v>EXT-MONDE-T052-V29</x:v>
      </x:c>
      <x:c r="B2584" s="115" t="str">
        <x:v>EXT-MONDE-T052</x:v>
      </x:c>
      <x:c r="C2584" s="115" t="str">
        <x:v>Parcs attractions</x:v>
      </x:c>
      <x:c r="D2584" s="115" t="str">
        <x:v>Parc thématique abandonné</x:v>
      </x:c>
      <x:c r="E2584" s="115" t="n">
        <x:v>29</x:v>
      </x:c>
      <x:c r="F2584" s="115" t="str">
        <x:v>Inspection physique</x:v>
      </x:c>
      <x:c r="G2584" s="115" t="str">
        <x:v>1 niveaux ; 32 pièces ; 248 segments de mur ; 0 transitions. Inspection physique ; architecture complète encore ouverte.</x:v>
      </x:c>
      <x:c r="H2584" s="115" t="str">
        <x:v>L 386 ; l 518 ; hauteur 24 m ; choix de composition auteur ; dimensions réelles à documenter</x:v>
      </x:c>
      <x:c r="I2584" s="115" t="str">
        <x:v>À équilibrer</x:v>
      </x:c>
      <x:c r="J2584" s="115" t="str">
        <x:v>Non</x:v>
      </x:c>
      <x:c r="K2584" s="115" t="str">
        <x:v>Pièces décrites, murs, portes, niveaux et mobilier inspectables à l’échelle. Volumes réservés, raccord au seed, butin, rencontres et services de campagne restent à terminer.</x:v>
      </x:c>
    </x:row>
    <x:row r="2585" ht="96" customHeight="1">
      <x:c r="A2585" s="115" t="str">
        <x:v>EXT-MONDE-T052-V30</x:v>
      </x:c>
      <x:c r="B2585" s="115" t="str">
        <x:v>EXT-MONDE-T052</x:v>
      </x:c>
      <x:c r="C2585" s="115" t="str">
        <x:v>Parcs attractions</x:v>
      </x:c>
      <x:c r="D2585" s="115" t="str">
        <x:v>Parc thématique abandonné</x:v>
      </x:c>
      <x:c r="E2585" s="115" t="n">
        <x:v>30</x:v>
      </x:c>
      <x:c r="F2585" s="115" t="str">
        <x:v>Inspection physique</x:v>
      </x:c>
      <x:c r="G2585" s="115" t="str">
        <x:v>1 niveaux ; 32 pièces ; 248 segments de mur ; 0 transitions. Inspection physique ; architecture complète encore ouverte.</x:v>
      </x:c>
      <x:c r="H2585" s="115" t="str">
        <x:v>L 386 ; l 518 ; hauteur 24 m ; choix de composition auteur ; dimensions réelles à documenter</x:v>
      </x:c>
      <x:c r="I2585" s="115" t="str">
        <x:v>À équilibrer</x:v>
      </x:c>
      <x:c r="J2585" s="115" t="str">
        <x:v>Non</x:v>
      </x:c>
      <x:c r="K2585" s="115" t="str">
        <x:v>Pièces décrites, murs, portes, niveaux et mobilier inspectables à l’échelle. Volumes réservés, raccord au seed, butin, rencontres et services de campagne restent à terminer.</x:v>
      </x:c>
    </x:row>
    <x:row r="2586" ht="96" customHeight="1">
      <x:c r="A2586" s="115" t="str">
        <x:v>EXT-MONDE-T052-V31</x:v>
      </x:c>
      <x:c r="B2586" s="115" t="str">
        <x:v>EXT-MONDE-T052</x:v>
      </x:c>
      <x:c r="C2586" s="115" t="str">
        <x:v>Parcs attractions</x:v>
      </x:c>
      <x:c r="D2586" s="115" t="str">
        <x:v>Parc thématique abandonné</x:v>
      </x:c>
      <x:c r="E2586" s="115" t="n">
        <x:v>31</x:v>
      </x:c>
      <x:c r="F2586" s="115" t="str">
        <x:v>Inspection physique</x:v>
      </x:c>
      <x:c r="G2586" s="115" t="str">
        <x:v>1 niveaux ; 32 pièces ; 248 segments de mur ; 0 transitions. Inspection physique ; architecture complète encore ouverte.</x:v>
      </x:c>
      <x:c r="H2586" s="115" t="str">
        <x:v>L 398 ; l 526 ; hauteur 24 m ; choix de composition auteur ; dimensions réelles à documenter</x:v>
      </x:c>
      <x:c r="I2586" s="115" t="str">
        <x:v>À équilibrer</x:v>
      </x:c>
      <x:c r="J2586" s="115" t="str">
        <x:v>Non</x:v>
      </x:c>
      <x:c r="K2586" s="115" t="str">
        <x:v>Pièces décrites, murs, portes, niveaux et mobilier inspectables à l’échelle. Volumes réservés, raccord au seed, butin, rencontres et services de campagne restent à terminer.</x:v>
      </x:c>
    </x:row>
    <x:row r="2587" ht="96" customHeight="1">
      <x:c r="A2587" s="115" t="str">
        <x:v>EXT-MONDE-T052-V32</x:v>
      </x:c>
      <x:c r="B2587" s="115" t="str">
        <x:v>EXT-MONDE-T052</x:v>
      </x:c>
      <x:c r="C2587" s="115" t="str">
        <x:v>Parcs attractions</x:v>
      </x:c>
      <x:c r="D2587" s="115" t="str">
        <x:v>Parc thématique abandonné</x:v>
      </x:c>
      <x:c r="E2587" s="115" t="n">
        <x:v>32</x:v>
      </x:c>
      <x:c r="F2587" s="115" t="str">
        <x:v>Inspection physique</x:v>
      </x:c>
      <x:c r="G2587" s="115" t="str">
        <x:v>1 niveaux ; 32 pièces ; 248 segments de mur ; 0 transitions. Inspection physique ; architecture complète encore ouverte.</x:v>
      </x:c>
      <x:c r="H2587" s="115" t="str">
        <x:v>L 398 ; l 526 ; hauteur 24 m ; choix de composition auteur ; dimensions réelles à documenter</x:v>
      </x:c>
      <x:c r="I2587" s="115" t="str">
        <x:v>À équilibrer</x:v>
      </x:c>
      <x:c r="J2587" s="115" t="str">
        <x:v>Non</x:v>
      </x:c>
      <x:c r="K2587" s="115" t="str">
        <x:v>Pièces décrites, murs, portes, niveaux et mobilier inspectables à l’échelle. Volumes réservés, raccord au seed, butin, rencontres et services de campagne restent à terminer.</x:v>
      </x:c>
    </x:row>
    <x:row r="2588" ht="96" customHeight="1">
      <x:c r="A2588" s="115" t="str">
        <x:v>EXT-MONDE-T052-V33</x:v>
      </x:c>
      <x:c r="B2588" s="115" t="str">
        <x:v>EXT-MONDE-T052</x:v>
      </x:c>
      <x:c r="C2588" s="115" t="str">
        <x:v>Parcs attractions</x:v>
      </x:c>
      <x:c r="D2588" s="115" t="str">
        <x:v>Parc thématique abandonné</x:v>
      </x:c>
      <x:c r="E2588" s="115" t="n">
        <x:v>33</x:v>
      </x:c>
      <x:c r="F2588" s="115" t="str">
        <x:v>Inspection physique</x:v>
      </x:c>
      <x:c r="G2588" s="115" t="str">
        <x:v>1 niveaux ; 32 pièces ; 248 segments de mur ; 0 transitions. Inspection physique ; architecture complète encore ouverte.</x:v>
      </x:c>
      <x:c r="H2588" s="115" t="str">
        <x:v>L 398 ; l 526 ; hauteur 24 m ; choix de composition auteur ; dimensions réelles à documenter</x:v>
      </x:c>
      <x:c r="I2588" s="115" t="str">
        <x:v>À équilibrer</x:v>
      </x:c>
      <x:c r="J2588" s="115" t="str">
        <x:v>Non</x:v>
      </x:c>
      <x:c r="K2588" s="115" t="str">
        <x:v>Pièces décrites, murs, portes, niveaux et mobilier inspectables à l’échelle. Volumes réservés, raccord au seed, butin, rencontres et services de campagne restent à terminer.</x:v>
      </x:c>
    </x:row>
    <x:row r="2589" ht="96" customHeight="1">
      <x:c r="A2589" s="115" t="str">
        <x:v>EXT-MONDE-T052-V34</x:v>
      </x:c>
      <x:c r="B2589" s="115" t="str">
        <x:v>EXT-MONDE-T052</x:v>
      </x:c>
      <x:c r="C2589" s="115" t="str">
        <x:v>Parcs attractions</x:v>
      </x:c>
      <x:c r="D2589" s="115" t="str">
        <x:v>Parc thématique abandonné</x:v>
      </x:c>
      <x:c r="E2589" s="115" t="n">
        <x:v>34</x:v>
      </x:c>
      <x:c r="F2589" s="115" t="str">
        <x:v>Inspection physique</x:v>
      </x:c>
      <x:c r="G2589" s="115" t="str">
        <x:v>1 niveaux ; 32 pièces ; 248 segments de mur ; 0 transitions. Inspection physique ; architecture complète encore ouverte.</x:v>
      </x:c>
      <x:c r="H2589" s="115" t="str">
        <x:v>L 398 ; l 526 ; hauteur 24 m ; choix de composition auteur ; dimensions réelles à documenter</x:v>
      </x:c>
      <x:c r="I2589" s="115" t="str">
        <x:v>À équilibrer</x:v>
      </x:c>
      <x:c r="J2589" s="115" t="str">
        <x:v>Non</x:v>
      </x:c>
      <x:c r="K2589" s="115" t="str">
        <x:v>Pièces décrites, murs, portes, niveaux et mobilier inspectables à l’échelle. Volumes réservés, raccord au seed, butin, rencontres et services de campagne restent à terminer.</x:v>
      </x:c>
    </x:row>
    <x:row r="2590" ht="96" customHeight="1">
      <x:c r="A2590" s="115" t="str">
        <x:v>EXT-MONDE-T052-V35</x:v>
      </x:c>
      <x:c r="B2590" s="115" t="str">
        <x:v>EXT-MONDE-T052</x:v>
      </x:c>
      <x:c r="C2590" s="115" t="str">
        <x:v>Parcs attractions</x:v>
      </x:c>
      <x:c r="D2590" s="115" t="str">
        <x:v>Parc thématique abandonné</x:v>
      </x:c>
      <x:c r="E2590" s="115" t="n">
        <x:v>35</x:v>
      </x:c>
      <x:c r="F2590" s="115" t="str">
        <x:v>Inspection physique</x:v>
      </x:c>
      <x:c r="G2590" s="115" t="str">
        <x:v>1 niveaux ; 32 pièces ; 248 segments de mur ; 0 transitions. Inspection physique ; architecture complète encore ouverte.</x:v>
      </x:c>
      <x:c r="H2590" s="115" t="str">
        <x:v>L 398 ; l 526 ; hauteur 24 m ; choix de composition auteur ; dimensions réelles à documenter</x:v>
      </x:c>
      <x:c r="I2590" s="115" t="str">
        <x:v>À équilibrer</x:v>
      </x:c>
      <x:c r="J2590" s="115" t="str">
        <x:v>Non</x:v>
      </x:c>
      <x:c r="K2590" s="115" t="str">
        <x:v>Pièces décrites, murs, portes, niveaux et mobilier inspectables à l’échelle. Volumes réservés, raccord au seed, butin, rencontres et services de campagne restent à terminer.</x:v>
      </x:c>
    </x:row>
    <x:row r="2591" ht="96" customHeight="1">
      <x:c r="A2591" s="115" t="str">
        <x:v>EXT-MONDE-T052-V36</x:v>
      </x:c>
      <x:c r="B2591" s="115" t="str">
        <x:v>EXT-MONDE-T052</x:v>
      </x:c>
      <x:c r="C2591" s="115" t="str">
        <x:v>Parcs attractions</x:v>
      </x:c>
      <x:c r="D2591" s="115" t="str">
        <x:v>Parc thématique abandonné</x:v>
      </x:c>
      <x:c r="E2591" s="115" t="n">
        <x:v>36</x:v>
      </x:c>
      <x:c r="F2591" s="115" t="str">
        <x:v>Inspection physique</x:v>
      </x:c>
      <x:c r="G2591" s="115" t="str">
        <x:v>1 niveaux ; 32 pièces ; 248 segments de mur ; 0 transitions. Inspection physique ; architecture complète encore ouverte.</x:v>
      </x:c>
      <x:c r="H2591" s="115" t="str">
        <x:v>L 398 ; l 526 ; hauteur 24 m ; choix de composition auteur ; dimensions réelles à documenter</x:v>
      </x:c>
      <x:c r="I2591" s="115" t="str">
        <x:v>À équilibrer</x:v>
      </x:c>
      <x:c r="J2591" s="115" t="str">
        <x:v>Non</x:v>
      </x:c>
      <x:c r="K2591" s="115" t="str">
        <x:v>Pièces décrites, murs, portes, niveaux et mobilier inspectables à l’échelle. Volumes réservés, raccord au seed, butin, rencontres et services de campagne restent à terminer.</x:v>
      </x:c>
    </x:row>
    <x:row r="2592" ht="96" customHeight="1">
      <x:c r="A2592" s="115" t="str">
        <x:v>EXT-MONDE-T052-V37</x:v>
      </x:c>
      <x:c r="B2592" s="115" t="str">
        <x:v>EXT-MONDE-T052</x:v>
      </x:c>
      <x:c r="C2592" s="115" t="str">
        <x:v>Parcs attractions</x:v>
      </x:c>
      <x:c r="D2592" s="115" t="str">
        <x:v>Parc thématique abandonné</x:v>
      </x:c>
      <x:c r="E2592" s="115" t="n">
        <x:v>37</x:v>
      </x:c>
      <x:c r="F2592" s="115" t="str">
        <x:v>Inspection physique</x:v>
      </x:c>
      <x:c r="G2592" s="115" t="str">
        <x:v>1 niveaux ; 32 pièces ; 248 segments de mur ; 0 transitions. Inspection physique ; architecture complète encore ouverte.</x:v>
      </x:c>
      <x:c r="H2592" s="115" t="str">
        <x:v>L 398 ; l 526 ; hauteur 24 m ; choix de composition auteur ; dimensions réelles à documenter</x:v>
      </x:c>
      <x:c r="I2592" s="115" t="str">
        <x:v>À équilibrer</x:v>
      </x:c>
      <x:c r="J2592" s="115" t="str">
        <x:v>Non</x:v>
      </x:c>
      <x:c r="K2592" s="115" t="str">
        <x:v>Pièces décrites, murs, portes, niveaux et mobilier inspectables à l’échelle. Volumes réservés, raccord au seed, butin, rencontres et services de campagne restent à terminer.</x:v>
      </x:c>
    </x:row>
    <x:row r="2593" ht="96" customHeight="1">
      <x:c r="A2593" s="115" t="str">
        <x:v>EXT-MONDE-T052-V38</x:v>
      </x:c>
      <x:c r="B2593" s="115" t="str">
        <x:v>EXT-MONDE-T052</x:v>
      </x:c>
      <x:c r="C2593" s="115" t="str">
        <x:v>Parcs attractions</x:v>
      </x:c>
      <x:c r="D2593" s="115" t="str">
        <x:v>Parc thématique abandonné</x:v>
      </x:c>
      <x:c r="E2593" s="115" t="n">
        <x:v>38</x:v>
      </x:c>
      <x:c r="F2593" s="115" t="str">
        <x:v>Inspection physique</x:v>
      </x:c>
      <x:c r="G2593" s="115" t="str">
        <x:v>1 niveaux ; 32 pièces ; 248 segments de mur ; 0 transitions. Inspection physique ; architecture complète encore ouverte.</x:v>
      </x:c>
      <x:c r="H2593" s="115" t="str">
        <x:v>L 398 ; l 526 ; hauteur 24 m ; choix de composition auteur ; dimensions réelles à documenter</x:v>
      </x:c>
      <x:c r="I2593" s="115" t="str">
        <x:v>À équilibrer</x:v>
      </x:c>
      <x:c r="J2593" s="115" t="str">
        <x:v>Non</x:v>
      </x:c>
      <x:c r="K2593" s="115" t="str">
        <x:v>Pièces décrites, murs, portes, niveaux et mobilier inspectables à l’échelle. Volumes réservés, raccord au seed, butin, rencontres et services de campagne restent à terminer.</x:v>
      </x:c>
    </x:row>
    <x:row r="2594" ht="96" customHeight="1">
      <x:c r="A2594" s="115" t="str">
        <x:v>EXT-MONDE-T052-V39</x:v>
      </x:c>
      <x:c r="B2594" s="115" t="str">
        <x:v>EXT-MONDE-T052</x:v>
      </x:c>
      <x:c r="C2594" s="115" t="str">
        <x:v>Parcs attractions</x:v>
      </x:c>
      <x:c r="D2594" s="115" t="str">
        <x:v>Parc thématique abandonné</x:v>
      </x:c>
      <x:c r="E2594" s="115" t="n">
        <x:v>39</x:v>
      </x:c>
      <x:c r="F2594" s="115" t="str">
        <x:v>Inspection physique</x:v>
      </x:c>
      <x:c r="G2594" s="115" t="str">
        <x:v>1 niveaux ; 32 pièces ; 248 segments de mur ; 0 transitions. Inspection physique ; architecture complète encore ouverte.</x:v>
      </x:c>
      <x:c r="H2594" s="115" t="str">
        <x:v>L 398 ; l 526 ; hauteur 24 m ; choix de composition auteur ; dimensions réelles à documenter</x:v>
      </x:c>
      <x:c r="I2594" s="115" t="str">
        <x:v>À équilibrer</x:v>
      </x:c>
      <x:c r="J2594" s="115" t="str">
        <x:v>Non</x:v>
      </x:c>
      <x:c r="K2594" s="115" t="str">
        <x:v>Pièces décrites, murs, portes, niveaux et mobilier inspectables à l’échelle. Volumes réservés, raccord au seed, butin, rencontres et services de campagne restent à terminer.</x:v>
      </x:c>
    </x:row>
    <x:row r="2595" ht="96" customHeight="1">
      <x:c r="A2595" s="115" t="str">
        <x:v>EXT-MONDE-T052-V40</x:v>
      </x:c>
      <x:c r="B2595" s="115" t="str">
        <x:v>EXT-MONDE-T052</x:v>
      </x:c>
      <x:c r="C2595" s="115" t="str">
        <x:v>Parcs attractions</x:v>
      </x:c>
      <x:c r="D2595" s="115" t="str">
        <x:v>Parc thématique abandonné</x:v>
      </x:c>
      <x:c r="E2595" s="115" t="n">
        <x:v>40</x:v>
      </x:c>
      <x:c r="F2595" s="115" t="str">
        <x:v>Inspection physique</x:v>
      </x:c>
      <x:c r="G2595" s="115" t="str">
        <x:v>1 niveaux ; 32 pièces ; 248 segments de mur ; 0 transitions. Inspection physique ; architecture complète encore ouverte.</x:v>
      </x:c>
      <x:c r="H2595" s="115" t="str">
        <x:v>L 398 ; l 526 ; hauteur 24 m ; choix de composition auteur ; dimensions réelles à documenter</x:v>
      </x:c>
      <x:c r="I2595" s="115" t="str">
        <x:v>À équilibrer</x:v>
      </x:c>
      <x:c r="J2595" s="115" t="str">
        <x:v>Non</x:v>
      </x:c>
      <x:c r="K2595" s="115" t="str">
        <x:v>Pièces décrites, murs, portes, niveaux et mobilier inspectables à l’échelle. Volumes réservés, raccord au seed, butin, rencontres et services de campagne restent à terminer.</x:v>
      </x:c>
    </x:row>
    <x:row r="2596" ht="96" customHeight="1">
      <x:c r="A2596" s="115" t="str">
        <x:v>EXT-MONDE-T052-V41</x:v>
      </x:c>
      <x:c r="B2596" s="115" t="str">
        <x:v>EXT-MONDE-T052</x:v>
      </x:c>
      <x:c r="C2596" s="115" t="str">
        <x:v>Parcs attractions</x:v>
      </x:c>
      <x:c r="D2596" s="115" t="str">
        <x:v>Parc thématique abandonné</x:v>
      </x:c>
      <x:c r="E2596" s="115" t="n">
        <x:v>41</x:v>
      </x:c>
      <x:c r="F2596" s="115" t="str">
        <x:v>Inspection physique</x:v>
      </x:c>
      <x:c r="G2596" s="115" t="str">
        <x:v>1 niveaux ; 32 pièces ; 248 segments de mur ; 0 transitions. Inspection physique ; architecture complète encore ouverte.</x:v>
      </x:c>
      <x:c r="H2596" s="115" t="str">
        <x:v>L 410 ; l 534 ; hauteur 24 m ; choix de composition auteur ; dimensions réelles à documenter</x:v>
      </x:c>
      <x:c r="I2596" s="115" t="str">
        <x:v>À équilibrer</x:v>
      </x:c>
      <x:c r="J2596" s="115" t="str">
        <x:v>Non</x:v>
      </x:c>
      <x:c r="K2596" s="115" t="str">
        <x:v>Pièces décrites, murs, portes, niveaux et mobilier inspectables à l’échelle. Volumes réservés, raccord au seed, butin, rencontres et services de campagne restent à terminer.</x:v>
      </x:c>
    </x:row>
    <x:row r="2597" ht="96" customHeight="1">
      <x:c r="A2597" s="115" t="str">
        <x:v>EXT-MONDE-T052-V42</x:v>
      </x:c>
      <x:c r="B2597" s="115" t="str">
        <x:v>EXT-MONDE-T052</x:v>
      </x:c>
      <x:c r="C2597" s="115" t="str">
        <x:v>Parcs attractions</x:v>
      </x:c>
      <x:c r="D2597" s="115" t="str">
        <x:v>Parc thématique abandonné</x:v>
      </x:c>
      <x:c r="E2597" s="115" t="n">
        <x:v>42</x:v>
      </x:c>
      <x:c r="F2597" s="115" t="str">
        <x:v>Inspection physique</x:v>
      </x:c>
      <x:c r="G2597" s="115" t="str">
        <x:v>1 niveaux ; 32 pièces ; 248 segments de mur ; 0 transitions. Inspection physique ; architecture complète encore ouverte.</x:v>
      </x:c>
      <x:c r="H2597" s="115" t="str">
        <x:v>L 410 ; l 534 ; hauteur 24 m ; choix de composition auteur ; dimensions réelles à documenter</x:v>
      </x:c>
      <x:c r="I2597" s="115" t="str">
        <x:v>À équilibrer</x:v>
      </x:c>
      <x:c r="J2597" s="115" t="str">
        <x:v>Non</x:v>
      </x:c>
      <x:c r="K2597" s="115" t="str">
        <x:v>Pièces décrites, murs, portes, niveaux et mobilier inspectables à l’échelle. Volumes réservés, raccord au seed, butin, rencontres et services de campagne restent à terminer.</x:v>
      </x:c>
    </x:row>
    <x:row r="2598" ht="96" customHeight="1">
      <x:c r="A2598" s="115" t="str">
        <x:v>EXT-MONDE-T052-V43</x:v>
      </x:c>
      <x:c r="B2598" s="115" t="str">
        <x:v>EXT-MONDE-T052</x:v>
      </x:c>
      <x:c r="C2598" s="115" t="str">
        <x:v>Parcs attractions</x:v>
      </x:c>
      <x:c r="D2598" s="115" t="str">
        <x:v>Parc thématique abandonné</x:v>
      </x:c>
      <x:c r="E2598" s="115" t="n">
        <x:v>43</x:v>
      </x:c>
      <x:c r="F2598" s="115" t="str">
        <x:v>Inspection physique</x:v>
      </x:c>
      <x:c r="G2598" s="115" t="str">
        <x:v>1 niveaux ; 32 pièces ; 248 segments de mur ; 0 transitions. Inspection physique ; architecture complète encore ouverte.</x:v>
      </x:c>
      <x:c r="H2598" s="115" t="str">
        <x:v>L 410 ; l 534 ; hauteur 24 m ; choix de composition auteur ; dimensions réelles à documenter</x:v>
      </x:c>
      <x:c r="I2598" s="115" t="str">
        <x:v>À équilibrer</x:v>
      </x:c>
      <x:c r="J2598" s="115" t="str">
        <x:v>Non</x:v>
      </x:c>
      <x:c r="K2598" s="115" t="str">
        <x:v>Pièces décrites, murs, portes, niveaux et mobilier inspectables à l’échelle. Volumes réservés, raccord au seed, butin, rencontres et services de campagne restent à terminer.</x:v>
      </x:c>
    </x:row>
    <x:row r="2599" ht="96" customHeight="1">
      <x:c r="A2599" s="115" t="str">
        <x:v>EXT-MONDE-T052-V44</x:v>
      </x:c>
      <x:c r="B2599" s="115" t="str">
        <x:v>EXT-MONDE-T052</x:v>
      </x:c>
      <x:c r="C2599" s="115" t="str">
        <x:v>Parcs attractions</x:v>
      </x:c>
      <x:c r="D2599" s="115" t="str">
        <x:v>Parc thématique abandonné</x:v>
      </x:c>
      <x:c r="E2599" s="115" t="n">
        <x:v>44</x:v>
      </x:c>
      <x:c r="F2599" s="115" t="str">
        <x:v>Inspection physique</x:v>
      </x:c>
      <x:c r="G2599" s="115" t="str">
        <x:v>1 niveaux ; 32 pièces ; 248 segments de mur ; 0 transitions. Inspection physique ; architecture complète encore ouverte.</x:v>
      </x:c>
      <x:c r="H2599" s="115" t="str">
        <x:v>L 410 ; l 534 ; hauteur 24 m ; choix de composition auteur ; dimensions réelles à documenter</x:v>
      </x:c>
      <x:c r="I2599" s="115" t="str">
        <x:v>À équilibrer</x:v>
      </x:c>
      <x:c r="J2599" s="115" t="str">
        <x:v>Non</x:v>
      </x:c>
      <x:c r="K2599" s="115" t="str">
        <x:v>Pièces décrites, murs, portes, niveaux et mobilier inspectables à l’échelle. Volumes réservés, raccord au seed, butin, rencontres et services de campagne restent à terminer.</x:v>
      </x:c>
    </x:row>
    <x:row r="2600" ht="96" customHeight="1">
      <x:c r="A2600" s="115" t="str">
        <x:v>EXT-MONDE-T052-V45</x:v>
      </x:c>
      <x:c r="B2600" s="115" t="str">
        <x:v>EXT-MONDE-T052</x:v>
      </x:c>
      <x:c r="C2600" s="115" t="str">
        <x:v>Parcs attractions</x:v>
      </x:c>
      <x:c r="D2600" s="115" t="str">
        <x:v>Parc thématique abandonné</x:v>
      </x:c>
      <x:c r="E2600" s="115" t="n">
        <x:v>45</x:v>
      </x:c>
      <x:c r="F2600" s="115" t="str">
        <x:v>Inspection physique</x:v>
      </x:c>
      <x:c r="G2600" s="115" t="str">
        <x:v>1 niveaux ; 32 pièces ; 248 segments de mur ; 0 transitions. Inspection physique ; architecture complète encore ouverte.</x:v>
      </x:c>
      <x:c r="H2600" s="115" t="str">
        <x:v>L 410 ; l 534 ; hauteur 24 m ; choix de composition auteur ; dimensions réelles à documenter</x:v>
      </x:c>
      <x:c r="I2600" s="115" t="str">
        <x:v>À équilibrer</x:v>
      </x:c>
      <x:c r="J2600" s="115" t="str">
        <x:v>Non</x:v>
      </x:c>
      <x:c r="K2600" s="115" t="str">
        <x:v>Pièces décrites, murs, portes, niveaux et mobilier inspectables à l’échelle. Volumes réservés, raccord au seed, butin, rencontres et services de campagne restent à terminer.</x:v>
      </x:c>
    </x:row>
    <x:row r="2601" ht="96" customHeight="1">
      <x:c r="A2601" s="115" t="str">
        <x:v>EXT-MONDE-T052-V46</x:v>
      </x:c>
      <x:c r="B2601" s="115" t="str">
        <x:v>EXT-MONDE-T052</x:v>
      </x:c>
      <x:c r="C2601" s="115" t="str">
        <x:v>Parcs attractions</x:v>
      </x:c>
      <x:c r="D2601" s="115" t="str">
        <x:v>Parc thématique abandonné</x:v>
      </x:c>
      <x:c r="E2601" s="115" t="n">
        <x:v>46</x:v>
      </x:c>
      <x:c r="F2601" s="115" t="str">
        <x:v>Inspection physique</x:v>
      </x:c>
      <x:c r="G2601" s="115" t="str">
        <x:v>1 niveaux ; 32 pièces ; 248 segments de mur ; 0 transitions. Inspection physique ; architecture complète encore ouverte.</x:v>
      </x:c>
      <x:c r="H2601" s="115" t="str">
        <x:v>L 410 ; l 534 ; hauteur 24 m ; choix de composition auteur ; dimensions réelles à documenter</x:v>
      </x:c>
      <x:c r="I2601" s="115" t="str">
        <x:v>À équilibrer</x:v>
      </x:c>
      <x:c r="J2601" s="115" t="str">
        <x:v>Non</x:v>
      </x:c>
      <x:c r="K2601" s="115" t="str">
        <x:v>Pièces décrites, murs, portes, niveaux et mobilier inspectables à l’échelle. Volumes réservés, raccord au seed, butin, rencontres et services de campagne restent à terminer.</x:v>
      </x:c>
    </x:row>
    <x:row r="2602" ht="96" customHeight="1">
      <x:c r="A2602" s="115" t="str">
        <x:v>EXT-MONDE-T052-V47</x:v>
      </x:c>
      <x:c r="B2602" s="115" t="str">
        <x:v>EXT-MONDE-T052</x:v>
      </x:c>
      <x:c r="C2602" s="115" t="str">
        <x:v>Parcs attractions</x:v>
      </x:c>
      <x:c r="D2602" s="115" t="str">
        <x:v>Parc thématique abandonné</x:v>
      </x:c>
      <x:c r="E2602" s="115" t="n">
        <x:v>47</x:v>
      </x:c>
      <x:c r="F2602" s="115" t="str">
        <x:v>Inspection physique</x:v>
      </x:c>
      <x:c r="G2602" s="115" t="str">
        <x:v>1 niveaux ; 32 pièces ; 248 segments de mur ; 0 transitions. Inspection physique ; architecture complète encore ouverte.</x:v>
      </x:c>
      <x:c r="H2602" s="115" t="str">
        <x:v>L 410 ; l 534 ; hauteur 24 m ; choix de composition auteur ; dimensions réelles à documenter</x:v>
      </x:c>
      <x:c r="I2602" s="115" t="str">
        <x:v>À équilibrer</x:v>
      </x:c>
      <x:c r="J2602" s="115" t="str">
        <x:v>Non</x:v>
      </x:c>
      <x:c r="K2602" s="115" t="str">
        <x:v>Pièces décrites, murs, portes, niveaux et mobilier inspectables à l’échelle. Volumes réservés, raccord au seed, butin, rencontres et services de campagne restent à terminer.</x:v>
      </x:c>
    </x:row>
    <x:row r="2603" ht="96" customHeight="1">
      <x:c r="A2603" s="115" t="str">
        <x:v>EXT-MONDE-T052-V48</x:v>
      </x:c>
      <x:c r="B2603" s="115" t="str">
        <x:v>EXT-MONDE-T052</x:v>
      </x:c>
      <x:c r="C2603" s="115" t="str">
        <x:v>Parcs attractions</x:v>
      </x:c>
      <x:c r="D2603" s="115" t="str">
        <x:v>Parc thématique abandonné</x:v>
      </x:c>
      <x:c r="E2603" s="115" t="n">
        <x:v>48</x:v>
      </x:c>
      <x:c r="F2603" s="115" t="str">
        <x:v>Inspection physique</x:v>
      </x:c>
      <x:c r="G2603" s="115" t="str">
        <x:v>1 niveaux ; 32 pièces ; 248 segments de mur ; 0 transitions. Inspection physique ; architecture complète encore ouverte.</x:v>
      </x:c>
      <x:c r="H2603" s="115" t="str">
        <x:v>L 410 ; l 534 ; hauteur 24 m ; choix de composition auteur ; dimensions réelles à documenter</x:v>
      </x:c>
      <x:c r="I2603" s="115" t="str">
        <x:v>À équilibrer</x:v>
      </x:c>
      <x:c r="J2603" s="115" t="str">
        <x:v>Non</x:v>
      </x:c>
      <x:c r="K2603" s="115" t="str">
        <x:v>Pièces décrites, murs, portes, niveaux et mobilier inspectables à l’échelle. Volumes réservés, raccord au seed, butin, rencontres et services de campagne restent à terminer.</x:v>
      </x:c>
    </x:row>
    <x:row r="2604" ht="96" customHeight="1">
      <x:c r="A2604" s="115" t="str">
        <x:v>EXT-MONDE-T052-V49</x:v>
      </x:c>
      <x:c r="B2604" s="115" t="str">
        <x:v>EXT-MONDE-T052</x:v>
      </x:c>
      <x:c r="C2604" s="115" t="str">
        <x:v>Parcs attractions</x:v>
      </x:c>
      <x:c r="D2604" s="115" t="str">
        <x:v>Parc thématique abandonné</x:v>
      </x:c>
      <x:c r="E2604" s="115" t="n">
        <x:v>49</x:v>
      </x:c>
      <x:c r="F2604" s="115" t="str">
        <x:v>Inspection physique</x:v>
      </x:c>
      <x:c r="G2604" s="115" t="str">
        <x:v>1 niveaux ; 32 pièces ; 248 segments de mur ; 0 transitions. Inspection physique ; architecture complète encore ouverte.</x:v>
      </x:c>
      <x:c r="H2604" s="115" t="str">
        <x:v>L 410 ; l 534 ; hauteur 24 m ; choix de composition auteur ; dimensions réelles à documenter</x:v>
      </x:c>
      <x:c r="I2604" s="115" t="str">
        <x:v>À équilibrer</x:v>
      </x:c>
      <x:c r="J2604" s="115" t="str">
        <x:v>Non</x:v>
      </x:c>
      <x:c r="K2604" s="115" t="str">
        <x:v>Pièces décrites, murs, portes, niveaux et mobilier inspectables à l’échelle. Volumes réservés, raccord au seed, butin, rencontres et services de campagne restent à terminer.</x:v>
      </x:c>
    </x:row>
    <x:row r="2605" ht="96" customHeight="1">
      <x:c r="A2605" s="115" t="str">
        <x:v>EXT-MONDE-T052-V50</x:v>
      </x:c>
      <x:c r="B2605" s="115" t="str">
        <x:v>EXT-MONDE-T052</x:v>
      </x:c>
      <x:c r="C2605" s="115" t="str">
        <x:v>Parcs attractions</x:v>
      </x:c>
      <x:c r="D2605" s="115" t="str">
        <x:v>Parc thématique abandonné</x:v>
      </x:c>
      <x:c r="E2605" s="115" t="n">
        <x:v>50</x:v>
      </x:c>
      <x:c r="F2605" s="115" t="str">
        <x:v>Inspection physique</x:v>
      </x:c>
      <x:c r="G2605" s="115" t="str">
        <x:v>1 niveaux ; 32 pièces ; 248 segments de mur ; 0 transitions. Inspection physique ; architecture complète encore ouverte.</x:v>
      </x:c>
      <x:c r="H2605" s="115" t="str">
        <x:v>L 410 ; l 534 ; hauteur 24 m ; choix de composition auteur ; dimensions réelles à documenter</x:v>
      </x:c>
      <x:c r="I2605" s="115" t="str">
        <x:v>À équilibrer</x:v>
      </x:c>
      <x:c r="J2605" s="115" t="str">
        <x:v>Non</x:v>
      </x:c>
      <x:c r="K2605" s="115" t="str">
        <x:v>Pièces décrites, murs, portes, niveaux et mobilier inspectables à l’échelle. Volumes réservés, raccord au seed, butin, rencontres et services de campagne restent à terminer.</x:v>
      </x:c>
    </x:row>
    <x:row r="2606" ht="96" customHeight="1">
      <x:c r="A2606" s="115" t="str">
        <x:v>EXT-MONDE-T053-V01</x:v>
      </x:c>
      <x:c r="B2606" s="115" t="str">
        <x:v>EXT-MONDE-T053</x:v>
      </x:c>
      <x:c r="C2606" s="115" t="str">
        <x:v>Usines</x:v>
      </x:c>
      <x:c r="D2606" s="115" t="str">
        <x:v>Usine agroalimentaire</x:v>
      </x:c>
      <x:c r="E2606" s="115" t="n">
        <x:v>1</x:v>
      </x:c>
      <x:c r="F2606" s="115" t="str">
        <x:v>Inspection physique</x:v>
      </x:c>
      <x:c r="G2606" s="115" t="str">
        <x:v>1 niveaux ; 38 pièces ; 291 segments de mur ; 0 transitions. Inspection physique ; architecture complète encore ouverte.</x:v>
      </x:c>
      <x:c r="H2606" s="115" t="str">
        <x:v>L 350 ; l 320 ; hauteur 6,2 m ; choix de composition auteur ; dimensions réelles à documenter</x:v>
      </x:c>
      <x:c r="I2606" s="115" t="str">
        <x:v>À équilibrer</x:v>
      </x:c>
      <x:c r="J2606" s="115" t="str">
        <x:v>Non</x:v>
      </x:c>
      <x:c r="K2606" s="115" t="str">
        <x:v>Pièces décrites, murs, portes, niveaux et mobilier inspectables à l’échelle. Volumes réservés, raccord au seed, butin, rencontres et services de campagne restent à terminer.</x:v>
      </x:c>
    </x:row>
    <x:row r="2607" ht="96" customHeight="1">
      <x:c r="A2607" s="115" t="str">
        <x:v>EXT-MONDE-T053-V02</x:v>
      </x:c>
      <x:c r="B2607" s="115" t="str">
        <x:v>EXT-MONDE-T053</x:v>
      </x:c>
      <x:c r="C2607" s="115" t="str">
        <x:v>Usines</x:v>
      </x:c>
      <x:c r="D2607" s="115" t="str">
        <x:v>Usine agroalimentaire</x:v>
      </x:c>
      <x:c r="E2607" s="115" t="n">
        <x:v>2</x:v>
      </x:c>
      <x:c r="F2607" s="115" t="str">
        <x:v>Inspection physique</x:v>
      </x:c>
      <x:c r="G2607" s="115" t="str">
        <x:v>1 niveaux ; 38 pièces ; 291 segments de mur ; 0 transitions. Inspection physique ; architecture complète encore ouverte.</x:v>
      </x:c>
      <x:c r="H2607" s="115" t="str">
        <x:v>L 350 ; l 320 ; hauteur 6,2 m ; choix de composition auteur ; dimensions réelles à documenter</x:v>
      </x:c>
      <x:c r="I2607" s="115" t="str">
        <x:v>À équilibrer</x:v>
      </x:c>
      <x:c r="J2607" s="115" t="str">
        <x:v>Non</x:v>
      </x:c>
      <x:c r="K2607" s="115" t="str">
        <x:v>Pièces décrites, murs, portes, niveaux et mobilier inspectables à l’échelle. Volumes réservés, raccord au seed, butin, rencontres et services de campagne restent à terminer.</x:v>
      </x:c>
    </x:row>
    <x:row r="2608" ht="96" customHeight="1">
      <x:c r="A2608" s="115" t="str">
        <x:v>EXT-MONDE-T053-V03</x:v>
      </x:c>
      <x:c r="B2608" s="115" t="str">
        <x:v>EXT-MONDE-T053</x:v>
      </x:c>
      <x:c r="C2608" s="115" t="str">
        <x:v>Usines</x:v>
      </x:c>
      <x:c r="D2608" s="115" t="str">
        <x:v>Usine agroalimentaire</x:v>
      </x:c>
      <x:c r="E2608" s="115" t="n">
        <x:v>3</x:v>
      </x:c>
      <x:c r="F2608" s="115" t="str">
        <x:v>Inspection physique</x:v>
      </x:c>
      <x:c r="G2608" s="115" t="str">
        <x:v>1 niveaux ; 38 pièces ; 291 segments de mur ; 0 transitions. Inspection physique ; architecture complète encore ouverte.</x:v>
      </x:c>
      <x:c r="H2608" s="115" t="str">
        <x:v>L 350 ; l 320 ; hauteur 6,2 m ; choix de composition auteur ; dimensions réelles à documenter</x:v>
      </x:c>
      <x:c r="I2608" s="115" t="str">
        <x:v>À équilibrer</x:v>
      </x:c>
      <x:c r="J2608" s="115" t="str">
        <x:v>Non</x:v>
      </x:c>
      <x:c r="K2608" s="115" t="str">
        <x:v>Pièces décrites, murs, portes, niveaux et mobilier inspectables à l’échelle. Volumes réservés, raccord au seed, butin, rencontres et services de campagne restent à terminer.</x:v>
      </x:c>
    </x:row>
    <x:row r="2609" ht="96" customHeight="1">
      <x:c r="A2609" s="115" t="str">
        <x:v>EXT-MONDE-T053-V04</x:v>
      </x:c>
      <x:c r="B2609" s="115" t="str">
        <x:v>EXT-MONDE-T053</x:v>
      </x:c>
      <x:c r="C2609" s="115" t="str">
        <x:v>Usines</x:v>
      </x:c>
      <x:c r="D2609" s="115" t="str">
        <x:v>Usine agroalimentaire</x:v>
      </x:c>
      <x:c r="E2609" s="115" t="n">
        <x:v>4</x:v>
      </x:c>
      <x:c r="F2609" s="115" t="str">
        <x:v>Inspection physique</x:v>
      </x:c>
      <x:c r="G2609" s="115" t="str">
        <x:v>1 niveaux ; 38 pièces ; 291 segments de mur ; 0 transitions. Inspection physique ; architecture complète encore ouverte.</x:v>
      </x:c>
      <x:c r="H2609" s="115" t="str">
        <x:v>L 350 ; l 320 ; hauteur 6,2 m ; choix de composition auteur ; dimensions réelles à documenter</x:v>
      </x:c>
      <x:c r="I2609" s="115" t="str">
        <x:v>À équilibrer</x:v>
      </x:c>
      <x:c r="J2609" s="115" t="str">
        <x:v>Non</x:v>
      </x:c>
      <x:c r="K2609" s="115" t="str">
        <x:v>Pièces décrites, murs, portes, niveaux et mobilier inspectables à l’échelle. Volumes réservés, raccord au seed, butin, rencontres et services de campagne restent à terminer.</x:v>
      </x:c>
    </x:row>
    <x:row r="2610" ht="96" customHeight="1">
      <x:c r="A2610" s="115" t="str">
        <x:v>EXT-MONDE-T053-V05</x:v>
      </x:c>
      <x:c r="B2610" s="115" t="str">
        <x:v>EXT-MONDE-T053</x:v>
      </x:c>
      <x:c r="C2610" s="115" t="str">
        <x:v>Usines</x:v>
      </x:c>
      <x:c r="D2610" s="115" t="str">
        <x:v>Usine agroalimentaire</x:v>
      </x:c>
      <x:c r="E2610" s="115" t="n">
        <x:v>5</x:v>
      </x:c>
      <x:c r="F2610" s="115" t="str">
        <x:v>Inspection physique</x:v>
      </x:c>
      <x:c r="G2610" s="115" t="str">
        <x:v>1 niveaux ; 38 pièces ; 291 segments de mur ; 0 transitions. Inspection physique ; architecture complète encore ouverte.</x:v>
      </x:c>
      <x:c r="H2610" s="115" t="str">
        <x:v>L 350 ; l 320 ; hauteur 6,2 m ; choix de composition auteur ; dimensions réelles à documenter</x:v>
      </x:c>
      <x:c r="I2610" s="115" t="str">
        <x:v>À équilibrer</x:v>
      </x:c>
      <x:c r="J2610" s="115" t="str">
        <x:v>Non</x:v>
      </x:c>
      <x:c r="K2610" s="115" t="str">
        <x:v>Pièces décrites, murs, portes, niveaux et mobilier inspectables à l’échelle. Volumes réservés, raccord au seed, butin, rencontres et services de campagne restent à terminer.</x:v>
      </x:c>
    </x:row>
    <x:row r="2611" ht="96" customHeight="1">
      <x:c r="A2611" s="115" t="str">
        <x:v>EXT-MONDE-T053-V06</x:v>
      </x:c>
      <x:c r="B2611" s="115" t="str">
        <x:v>EXT-MONDE-T053</x:v>
      </x:c>
      <x:c r="C2611" s="115" t="str">
        <x:v>Usines</x:v>
      </x:c>
      <x:c r="D2611" s="115" t="str">
        <x:v>Usine agroalimentaire</x:v>
      </x:c>
      <x:c r="E2611" s="115" t="n">
        <x:v>6</x:v>
      </x:c>
      <x:c r="F2611" s="115" t="str">
        <x:v>Inspection physique</x:v>
      </x:c>
      <x:c r="G2611" s="115" t="str">
        <x:v>1 niveaux ; 38 pièces ; 291 segments de mur ; 0 transitions. Inspection physique ; architecture complète encore ouverte.</x:v>
      </x:c>
      <x:c r="H2611" s="115" t="str">
        <x:v>L 350 ; l 320 ; hauteur 6,2 m ; choix de composition auteur ; dimensions réelles à documenter</x:v>
      </x:c>
      <x:c r="I2611" s="115" t="str">
        <x:v>À équilibrer</x:v>
      </x:c>
      <x:c r="J2611" s="115" t="str">
        <x:v>Non</x:v>
      </x:c>
      <x:c r="K2611" s="115" t="str">
        <x:v>Pièces décrites, murs, portes, niveaux et mobilier inspectables à l’échelle. Volumes réservés, raccord au seed, butin, rencontres et services de campagne restent à terminer.</x:v>
      </x:c>
    </x:row>
    <x:row r="2612" ht="96" customHeight="1">
      <x:c r="A2612" s="115" t="str">
        <x:v>EXT-MONDE-T053-V07</x:v>
      </x:c>
      <x:c r="B2612" s="115" t="str">
        <x:v>EXT-MONDE-T053</x:v>
      </x:c>
      <x:c r="C2612" s="115" t="str">
        <x:v>Usines</x:v>
      </x:c>
      <x:c r="D2612" s="115" t="str">
        <x:v>Usine agroalimentaire</x:v>
      </x:c>
      <x:c r="E2612" s="115" t="n">
        <x:v>7</x:v>
      </x:c>
      <x:c r="F2612" s="115" t="str">
        <x:v>Inspection physique</x:v>
      </x:c>
      <x:c r="G2612" s="115" t="str">
        <x:v>1 niveaux ; 38 pièces ; 291 segments de mur ; 0 transitions. Inspection physique ; architecture complète encore ouverte.</x:v>
      </x:c>
      <x:c r="H2612" s="115" t="str">
        <x:v>L 350 ; l 320 ; hauteur 6,2 m ; choix de composition auteur ; dimensions réelles à documenter</x:v>
      </x:c>
      <x:c r="I2612" s="115" t="str">
        <x:v>À équilibrer</x:v>
      </x:c>
      <x:c r="J2612" s="115" t="str">
        <x:v>Non</x:v>
      </x:c>
      <x:c r="K2612" s="115" t="str">
        <x:v>Pièces décrites, murs, portes, niveaux et mobilier inspectables à l’échelle. Volumes réservés, raccord au seed, butin, rencontres et services de campagne restent à terminer.</x:v>
      </x:c>
    </x:row>
    <x:row r="2613" ht="96" customHeight="1">
      <x:c r="A2613" s="115" t="str">
        <x:v>EXT-MONDE-T053-V08</x:v>
      </x:c>
      <x:c r="B2613" s="115" t="str">
        <x:v>EXT-MONDE-T053</x:v>
      </x:c>
      <x:c r="C2613" s="115" t="str">
        <x:v>Usines</x:v>
      </x:c>
      <x:c r="D2613" s="115" t="str">
        <x:v>Usine agroalimentaire</x:v>
      </x:c>
      <x:c r="E2613" s="115" t="n">
        <x:v>8</x:v>
      </x:c>
      <x:c r="F2613" s="115" t="str">
        <x:v>Inspection physique</x:v>
      </x:c>
      <x:c r="G2613" s="115" t="str">
        <x:v>1 niveaux ; 38 pièces ; 291 segments de mur ; 0 transitions. Inspection physique ; architecture complète encore ouverte.</x:v>
      </x:c>
      <x:c r="H2613" s="115" t="str">
        <x:v>L 350 ; l 320 ; hauteur 6,2 m ; choix de composition auteur ; dimensions réelles à documenter</x:v>
      </x:c>
      <x:c r="I2613" s="115" t="str">
        <x:v>À équilibrer</x:v>
      </x:c>
      <x:c r="J2613" s="115" t="str">
        <x:v>Non</x:v>
      </x:c>
      <x:c r="K2613" s="115" t="str">
        <x:v>Pièces décrites, murs, portes, niveaux et mobilier inspectables à l’échelle. Volumes réservés, raccord au seed, butin, rencontres et services de campagne restent à terminer.</x:v>
      </x:c>
    </x:row>
    <x:row r="2614" ht="96" customHeight="1">
      <x:c r="A2614" s="115" t="str">
        <x:v>EXT-MONDE-T053-V09</x:v>
      </x:c>
      <x:c r="B2614" s="115" t="str">
        <x:v>EXT-MONDE-T053</x:v>
      </x:c>
      <x:c r="C2614" s="115" t="str">
        <x:v>Usines</x:v>
      </x:c>
      <x:c r="D2614" s="115" t="str">
        <x:v>Usine agroalimentaire</x:v>
      </x:c>
      <x:c r="E2614" s="115" t="n">
        <x:v>9</x:v>
      </x:c>
      <x:c r="F2614" s="115" t="str">
        <x:v>Inspection physique</x:v>
      </x:c>
      <x:c r="G2614" s="115" t="str">
        <x:v>1 niveaux ; 38 pièces ; 291 segments de mur ; 0 transitions. Inspection physique ; architecture complète encore ouverte.</x:v>
      </x:c>
      <x:c r="H2614" s="115" t="str">
        <x:v>L 350 ; l 320 ; hauteur 6,2 m ; choix de composition auteur ; dimensions réelles à documenter</x:v>
      </x:c>
      <x:c r="I2614" s="115" t="str">
        <x:v>À équilibrer</x:v>
      </x:c>
      <x:c r="J2614" s="115" t="str">
        <x:v>Non</x:v>
      </x:c>
      <x:c r="K2614" s="115" t="str">
        <x:v>Pièces décrites, murs, portes, niveaux et mobilier inspectables à l’échelle. Volumes réservés, raccord au seed, butin, rencontres et services de campagne restent à terminer.</x:v>
      </x:c>
    </x:row>
    <x:row r="2615" ht="96" customHeight="1">
      <x:c r="A2615" s="115" t="str">
        <x:v>EXT-MONDE-T053-V10</x:v>
      </x:c>
      <x:c r="B2615" s="115" t="str">
        <x:v>EXT-MONDE-T053</x:v>
      </x:c>
      <x:c r="C2615" s="115" t="str">
        <x:v>Usines</x:v>
      </x:c>
      <x:c r="D2615" s="115" t="str">
        <x:v>Usine agroalimentaire</x:v>
      </x:c>
      <x:c r="E2615" s="115" t="n">
        <x:v>10</x:v>
      </x:c>
      <x:c r="F2615" s="115" t="str">
        <x:v>Inspection physique</x:v>
      </x:c>
      <x:c r="G2615" s="115" t="str">
        <x:v>1 niveaux ; 38 pièces ; 291 segments de mur ; 0 transitions. Inspection physique ; architecture complète encore ouverte.</x:v>
      </x:c>
      <x:c r="H2615" s="115" t="str">
        <x:v>L 350 ; l 320 ; hauteur 6,2 m ; choix de composition auteur ; dimensions réelles à documenter</x:v>
      </x:c>
      <x:c r="I2615" s="115" t="str">
        <x:v>À équilibrer</x:v>
      </x:c>
      <x:c r="J2615" s="115" t="str">
        <x:v>Non</x:v>
      </x:c>
      <x:c r="K2615" s="115" t="str">
        <x:v>Pièces décrites, murs, portes, niveaux et mobilier inspectables à l’échelle. Volumes réservés, raccord au seed, butin, rencontres et services de campagne restent à terminer.</x:v>
      </x:c>
    </x:row>
    <x:row r="2616" ht="96" customHeight="1">
      <x:c r="A2616" s="115" t="str">
        <x:v>EXT-MONDE-T053-V11</x:v>
      </x:c>
      <x:c r="B2616" s="115" t="str">
        <x:v>EXT-MONDE-T053</x:v>
      </x:c>
      <x:c r="C2616" s="115" t="str">
        <x:v>Usines</x:v>
      </x:c>
      <x:c r="D2616" s="115" t="str">
        <x:v>Usine agroalimentaire</x:v>
      </x:c>
      <x:c r="E2616" s="115" t="n">
        <x:v>11</x:v>
      </x:c>
      <x:c r="F2616" s="115" t="str">
        <x:v>Inspection physique</x:v>
      </x:c>
      <x:c r="G2616" s="115" t="str">
        <x:v>1 niveaux ; 38 pièces ; 291 segments de mur ; 0 transitions. Inspection physique ; architecture complète encore ouverte.</x:v>
      </x:c>
      <x:c r="H2616" s="115" t="str">
        <x:v>L 368 ; l 344 ; hauteur 6,45 m ; choix de composition auteur ; dimensions réelles à documenter</x:v>
      </x:c>
      <x:c r="I2616" s="115" t="str">
        <x:v>À équilibrer</x:v>
      </x:c>
      <x:c r="J2616" s="115" t="str">
        <x:v>Non</x:v>
      </x:c>
      <x:c r="K2616" s="115" t="str">
        <x:v>Pièces décrites, murs, portes, niveaux et mobilier inspectables à l’échelle. Volumes réservés, raccord au seed, butin, rencontres et services de campagne restent à terminer.</x:v>
      </x:c>
    </x:row>
    <x:row r="2617" ht="96" customHeight="1">
      <x:c r="A2617" s="115" t="str">
        <x:v>EXT-MONDE-T053-V12</x:v>
      </x:c>
      <x:c r="B2617" s="115" t="str">
        <x:v>EXT-MONDE-T053</x:v>
      </x:c>
      <x:c r="C2617" s="115" t="str">
        <x:v>Usines</x:v>
      </x:c>
      <x:c r="D2617" s="115" t="str">
        <x:v>Usine agroalimentaire</x:v>
      </x:c>
      <x:c r="E2617" s="115" t="n">
        <x:v>12</x:v>
      </x:c>
      <x:c r="F2617" s="115" t="str">
        <x:v>Inspection physique</x:v>
      </x:c>
      <x:c r="G2617" s="115" t="str">
        <x:v>1 niveaux ; 38 pièces ; 291 segments de mur ; 0 transitions. Inspection physique ; architecture complète encore ouverte.</x:v>
      </x:c>
      <x:c r="H2617" s="115" t="str">
        <x:v>L 368 ; l 344 ; hauteur 6,45 m ; choix de composition auteur ; dimensions réelles à documenter</x:v>
      </x:c>
      <x:c r="I2617" s="115" t="str">
        <x:v>À équilibrer</x:v>
      </x:c>
      <x:c r="J2617" s="115" t="str">
        <x:v>Non</x:v>
      </x:c>
      <x:c r="K2617" s="115" t="str">
        <x:v>Pièces décrites, murs, portes, niveaux et mobilier inspectables à l’échelle. Volumes réservés, raccord au seed, butin, rencontres et services de campagne restent à terminer.</x:v>
      </x:c>
    </x:row>
    <x:row r="2618" ht="96" customHeight="1">
      <x:c r="A2618" s="115" t="str">
        <x:v>EXT-MONDE-T053-V13</x:v>
      </x:c>
      <x:c r="B2618" s="115" t="str">
        <x:v>EXT-MONDE-T053</x:v>
      </x:c>
      <x:c r="C2618" s="115" t="str">
        <x:v>Usines</x:v>
      </x:c>
      <x:c r="D2618" s="115" t="str">
        <x:v>Usine agroalimentaire</x:v>
      </x:c>
      <x:c r="E2618" s="115" t="n">
        <x:v>13</x:v>
      </x:c>
      <x:c r="F2618" s="115" t="str">
        <x:v>Inspection physique</x:v>
      </x:c>
      <x:c r="G2618" s="115" t="str">
        <x:v>1 niveaux ; 38 pièces ; 291 segments de mur ; 0 transitions. Inspection physique ; architecture complète encore ouverte.</x:v>
      </x:c>
      <x:c r="H2618" s="115" t="str">
        <x:v>L 368 ; l 344 ; hauteur 6,45 m ; choix de composition auteur ; dimensions réelles à documenter</x:v>
      </x:c>
      <x:c r="I2618" s="115" t="str">
        <x:v>À équilibrer</x:v>
      </x:c>
      <x:c r="J2618" s="115" t="str">
        <x:v>Non</x:v>
      </x:c>
      <x:c r="K2618" s="115" t="str">
        <x:v>Pièces décrites, murs, portes, niveaux et mobilier inspectables à l’échelle. Volumes réservés, raccord au seed, butin, rencontres et services de campagne restent à terminer.</x:v>
      </x:c>
    </x:row>
    <x:row r="2619" ht="96" customHeight="1">
      <x:c r="A2619" s="115" t="str">
        <x:v>EXT-MONDE-T053-V14</x:v>
      </x:c>
      <x:c r="B2619" s="115" t="str">
        <x:v>EXT-MONDE-T053</x:v>
      </x:c>
      <x:c r="C2619" s="115" t="str">
        <x:v>Usines</x:v>
      </x:c>
      <x:c r="D2619" s="115" t="str">
        <x:v>Usine agroalimentaire</x:v>
      </x:c>
      <x:c r="E2619" s="115" t="n">
        <x:v>14</x:v>
      </x:c>
      <x:c r="F2619" s="115" t="str">
        <x:v>Inspection physique</x:v>
      </x:c>
      <x:c r="G2619" s="115" t="str">
        <x:v>1 niveaux ; 38 pièces ; 291 segments de mur ; 0 transitions. Inspection physique ; architecture complète encore ouverte.</x:v>
      </x:c>
      <x:c r="H2619" s="115" t="str">
        <x:v>L 368 ; l 344 ; hauteur 6,45 m ; choix de composition auteur ; dimensions réelles à documenter</x:v>
      </x:c>
      <x:c r="I2619" s="115" t="str">
        <x:v>À équilibrer</x:v>
      </x:c>
      <x:c r="J2619" s="115" t="str">
        <x:v>Non</x:v>
      </x:c>
      <x:c r="K2619" s="115" t="str">
        <x:v>Pièces décrites, murs, portes, niveaux et mobilier inspectables à l’échelle. Volumes réservés, raccord au seed, butin, rencontres et services de campagne restent à terminer.</x:v>
      </x:c>
    </x:row>
    <x:row r="2620" ht="96" customHeight="1">
      <x:c r="A2620" s="115" t="str">
        <x:v>EXT-MONDE-T053-V15</x:v>
      </x:c>
      <x:c r="B2620" s="115" t="str">
        <x:v>EXT-MONDE-T053</x:v>
      </x:c>
      <x:c r="C2620" s="115" t="str">
        <x:v>Usines</x:v>
      </x:c>
      <x:c r="D2620" s="115" t="str">
        <x:v>Usine agroalimentaire</x:v>
      </x:c>
      <x:c r="E2620" s="115" t="n">
        <x:v>15</x:v>
      </x:c>
      <x:c r="F2620" s="115" t="str">
        <x:v>Inspection physique</x:v>
      </x:c>
      <x:c r="G2620" s="115" t="str">
        <x:v>1 niveaux ; 38 pièces ; 291 segments de mur ; 0 transitions. Inspection physique ; architecture complète encore ouverte.</x:v>
      </x:c>
      <x:c r="H2620" s="115" t="str">
        <x:v>L 368 ; l 344 ; hauteur 6,45 m ; choix de composition auteur ; dimensions réelles à documenter</x:v>
      </x:c>
      <x:c r="I2620" s="115" t="str">
        <x:v>À équilibrer</x:v>
      </x:c>
      <x:c r="J2620" s="115" t="str">
        <x:v>Non</x:v>
      </x:c>
      <x:c r="K2620" s="115" t="str">
        <x:v>Pièces décrites, murs, portes, niveaux et mobilier inspectables à l’échelle. Volumes réservés, raccord au seed, butin, rencontres et services de campagne restent à terminer.</x:v>
      </x:c>
    </x:row>
    <x:row r="2621" ht="96" customHeight="1">
      <x:c r="A2621" s="115" t="str">
        <x:v>EXT-MONDE-T053-V16</x:v>
      </x:c>
      <x:c r="B2621" s="115" t="str">
        <x:v>EXT-MONDE-T053</x:v>
      </x:c>
      <x:c r="C2621" s="115" t="str">
        <x:v>Usines</x:v>
      </x:c>
      <x:c r="D2621" s="115" t="str">
        <x:v>Usine agroalimentaire</x:v>
      </x:c>
      <x:c r="E2621" s="115" t="n">
        <x:v>16</x:v>
      </x:c>
      <x:c r="F2621" s="115" t="str">
        <x:v>Inspection physique</x:v>
      </x:c>
      <x:c r="G2621" s="115" t="str">
        <x:v>1 niveaux ; 38 pièces ; 291 segments de mur ; 0 transitions. Inspection physique ; architecture complète encore ouverte.</x:v>
      </x:c>
      <x:c r="H2621" s="115" t="str">
        <x:v>L 368 ; l 344 ; hauteur 6,45 m ; choix de composition auteur ; dimensions réelles à documenter</x:v>
      </x:c>
      <x:c r="I2621" s="115" t="str">
        <x:v>À équilibrer</x:v>
      </x:c>
      <x:c r="J2621" s="115" t="str">
        <x:v>Non</x:v>
      </x:c>
      <x:c r="K2621" s="115" t="str">
        <x:v>Pièces décrites, murs, portes, niveaux et mobilier inspectables à l’échelle. Volumes réservés, raccord au seed, butin, rencontres et services de campagne restent à terminer.</x:v>
      </x:c>
    </x:row>
    <x:row r="2622" ht="96" customHeight="1">
      <x:c r="A2622" s="115" t="str">
        <x:v>EXT-MONDE-T053-V17</x:v>
      </x:c>
      <x:c r="B2622" s="115" t="str">
        <x:v>EXT-MONDE-T053</x:v>
      </x:c>
      <x:c r="C2622" s="115" t="str">
        <x:v>Usines</x:v>
      </x:c>
      <x:c r="D2622" s="115" t="str">
        <x:v>Usine agroalimentaire</x:v>
      </x:c>
      <x:c r="E2622" s="115" t="n">
        <x:v>17</x:v>
      </x:c>
      <x:c r="F2622" s="115" t="str">
        <x:v>Inspection physique</x:v>
      </x:c>
      <x:c r="G2622" s="115" t="str">
        <x:v>1 niveaux ; 38 pièces ; 291 segments de mur ; 0 transitions. Inspection physique ; architecture complète encore ouverte.</x:v>
      </x:c>
      <x:c r="H2622" s="115" t="str">
        <x:v>L 368 ; l 344 ; hauteur 6,45 m ; choix de composition auteur ; dimensions réelles à documenter</x:v>
      </x:c>
      <x:c r="I2622" s="115" t="str">
        <x:v>À équilibrer</x:v>
      </x:c>
      <x:c r="J2622" s="115" t="str">
        <x:v>Non</x:v>
      </x:c>
      <x:c r="K2622" s="115" t="str">
        <x:v>Pièces décrites, murs, portes, niveaux et mobilier inspectables à l’échelle. Volumes réservés, raccord au seed, butin, rencontres et services de campagne restent à terminer.</x:v>
      </x:c>
    </x:row>
    <x:row r="2623" ht="96" customHeight="1">
      <x:c r="A2623" s="115" t="str">
        <x:v>EXT-MONDE-T053-V18</x:v>
      </x:c>
      <x:c r="B2623" s="115" t="str">
        <x:v>EXT-MONDE-T053</x:v>
      </x:c>
      <x:c r="C2623" s="115" t="str">
        <x:v>Usines</x:v>
      </x:c>
      <x:c r="D2623" s="115" t="str">
        <x:v>Usine agroalimentaire</x:v>
      </x:c>
      <x:c r="E2623" s="115" t="n">
        <x:v>18</x:v>
      </x:c>
      <x:c r="F2623" s="115" t="str">
        <x:v>Inspection physique</x:v>
      </x:c>
      <x:c r="G2623" s="115" t="str">
        <x:v>1 niveaux ; 38 pièces ; 291 segments de mur ; 0 transitions. Inspection physique ; architecture complète encore ouverte.</x:v>
      </x:c>
      <x:c r="H2623" s="115" t="str">
        <x:v>L 368 ; l 344 ; hauteur 6,45 m ; choix de composition auteur ; dimensions réelles à documenter</x:v>
      </x:c>
      <x:c r="I2623" s="115" t="str">
        <x:v>À équilibrer</x:v>
      </x:c>
      <x:c r="J2623" s="115" t="str">
        <x:v>Non</x:v>
      </x:c>
      <x:c r="K2623" s="115" t="str">
        <x:v>Pièces décrites, murs, portes, niveaux et mobilier inspectables à l’échelle. Volumes réservés, raccord au seed, butin, rencontres et services de campagne restent à terminer.</x:v>
      </x:c>
    </x:row>
    <x:row r="2624" ht="96" customHeight="1">
      <x:c r="A2624" s="115" t="str">
        <x:v>EXT-MONDE-T053-V19</x:v>
      </x:c>
      <x:c r="B2624" s="115" t="str">
        <x:v>EXT-MONDE-T053</x:v>
      </x:c>
      <x:c r="C2624" s="115" t="str">
        <x:v>Usines</x:v>
      </x:c>
      <x:c r="D2624" s="115" t="str">
        <x:v>Usine agroalimentaire</x:v>
      </x:c>
      <x:c r="E2624" s="115" t="n">
        <x:v>19</x:v>
      </x:c>
      <x:c r="F2624" s="115" t="str">
        <x:v>Inspection physique</x:v>
      </x:c>
      <x:c r="G2624" s="115" t="str">
        <x:v>1 niveaux ; 38 pièces ; 291 segments de mur ; 0 transitions. Inspection physique ; architecture complète encore ouverte.</x:v>
      </x:c>
      <x:c r="H2624" s="115" t="str">
        <x:v>L 368 ; l 344 ; hauteur 6,45 m ; choix de composition auteur ; dimensions réelles à documenter</x:v>
      </x:c>
      <x:c r="I2624" s="115" t="str">
        <x:v>À équilibrer</x:v>
      </x:c>
      <x:c r="J2624" s="115" t="str">
        <x:v>Non</x:v>
      </x:c>
      <x:c r="K2624" s="115" t="str">
        <x:v>Pièces décrites, murs, portes, niveaux et mobilier inspectables à l’échelle. Volumes réservés, raccord au seed, butin, rencontres et services de campagne restent à terminer.</x:v>
      </x:c>
    </x:row>
    <x:row r="2625" ht="96" customHeight="1">
      <x:c r="A2625" s="115" t="str">
        <x:v>EXT-MONDE-T053-V20</x:v>
      </x:c>
      <x:c r="B2625" s="115" t="str">
        <x:v>EXT-MONDE-T053</x:v>
      </x:c>
      <x:c r="C2625" s="115" t="str">
        <x:v>Usines</x:v>
      </x:c>
      <x:c r="D2625" s="115" t="str">
        <x:v>Usine agroalimentaire</x:v>
      </x:c>
      <x:c r="E2625" s="115" t="n">
        <x:v>20</x:v>
      </x:c>
      <x:c r="F2625" s="115" t="str">
        <x:v>Inspection physique</x:v>
      </x:c>
      <x:c r="G2625" s="115" t="str">
        <x:v>1 niveaux ; 38 pièces ; 291 segments de mur ; 0 transitions. Inspection physique ; architecture complète encore ouverte.</x:v>
      </x:c>
      <x:c r="H2625" s="115" t="str">
        <x:v>L 368 ; l 344 ; hauteur 6,45 m ; choix de composition auteur ; dimensions réelles à documenter</x:v>
      </x:c>
      <x:c r="I2625" s="115" t="str">
        <x:v>À équilibrer</x:v>
      </x:c>
      <x:c r="J2625" s="115" t="str">
        <x:v>Non</x:v>
      </x:c>
      <x:c r="K2625" s="115" t="str">
        <x:v>Pièces décrites, murs, portes, niveaux et mobilier inspectables à l’échelle. Volumes réservés, raccord au seed, butin, rencontres et services de campagne restent à terminer.</x:v>
      </x:c>
    </x:row>
    <x:row r="2626" ht="96" customHeight="1">
      <x:c r="A2626" s="115" t="str">
        <x:v>EXT-MONDE-T053-V21</x:v>
      </x:c>
      <x:c r="B2626" s="115" t="str">
        <x:v>EXT-MONDE-T053</x:v>
      </x:c>
      <x:c r="C2626" s="115" t="str">
        <x:v>Usines</x:v>
      </x:c>
      <x:c r="D2626" s="115" t="str">
        <x:v>Usine agroalimentaire</x:v>
      </x:c>
      <x:c r="E2626" s="115" t="n">
        <x:v>21</x:v>
      </x:c>
      <x:c r="F2626" s="115" t="str">
        <x:v>Inspection physique</x:v>
      </x:c>
      <x:c r="G2626" s="115" t="str">
        <x:v>1 niveaux ; 38 pièces ; 291 segments de mur ; 0 transitions. Inspection physique ; architecture complète encore ouverte.</x:v>
      </x:c>
      <x:c r="H2626" s="115" t="str">
        <x:v>L 386 ; l 368 ; hauteur 6,7 m ; choix de composition auteur ; dimensions réelles à documenter</x:v>
      </x:c>
      <x:c r="I2626" s="115" t="str">
        <x:v>À équilibrer</x:v>
      </x:c>
      <x:c r="J2626" s="115" t="str">
        <x:v>Non</x:v>
      </x:c>
      <x:c r="K2626" s="115" t="str">
        <x:v>Pièces décrites, murs, portes, niveaux et mobilier inspectables à l’échelle. Volumes réservés, raccord au seed, butin, rencontres et services de campagne restent à terminer.</x:v>
      </x:c>
    </x:row>
    <x:row r="2627" ht="96" customHeight="1">
      <x:c r="A2627" s="115" t="str">
        <x:v>EXT-MONDE-T053-V22</x:v>
      </x:c>
      <x:c r="B2627" s="115" t="str">
        <x:v>EXT-MONDE-T053</x:v>
      </x:c>
      <x:c r="C2627" s="115" t="str">
        <x:v>Usines</x:v>
      </x:c>
      <x:c r="D2627" s="115" t="str">
        <x:v>Usine agroalimentaire</x:v>
      </x:c>
      <x:c r="E2627" s="115" t="n">
        <x:v>22</x:v>
      </x:c>
      <x:c r="F2627" s="115" t="str">
        <x:v>Inspection physique</x:v>
      </x:c>
      <x:c r="G2627" s="115" t="str">
        <x:v>1 niveaux ; 38 pièces ; 291 segments de mur ; 0 transitions. Inspection physique ; architecture complète encore ouverte.</x:v>
      </x:c>
      <x:c r="H2627" s="115" t="str">
        <x:v>L 386 ; l 368 ; hauteur 6,7 m ; choix de composition auteur ; dimensions réelles à documenter</x:v>
      </x:c>
      <x:c r="I2627" s="115" t="str">
        <x:v>À équilibrer</x:v>
      </x:c>
      <x:c r="J2627" s="115" t="str">
        <x:v>Non</x:v>
      </x:c>
      <x:c r="K2627" s="115" t="str">
        <x:v>Pièces décrites, murs, portes, niveaux et mobilier inspectables à l’échelle. Volumes réservés, raccord au seed, butin, rencontres et services de campagne restent à terminer.</x:v>
      </x:c>
    </x:row>
    <x:row r="2628" ht="96" customHeight="1">
      <x:c r="A2628" s="115" t="str">
        <x:v>EXT-MONDE-T053-V23</x:v>
      </x:c>
      <x:c r="B2628" s="115" t="str">
        <x:v>EXT-MONDE-T053</x:v>
      </x:c>
      <x:c r="C2628" s="115" t="str">
        <x:v>Usines</x:v>
      </x:c>
      <x:c r="D2628" s="115" t="str">
        <x:v>Usine agroalimentaire</x:v>
      </x:c>
      <x:c r="E2628" s="115" t="n">
        <x:v>23</x:v>
      </x:c>
      <x:c r="F2628" s="115" t="str">
        <x:v>Inspection physique</x:v>
      </x:c>
      <x:c r="G2628" s="115" t="str">
        <x:v>1 niveaux ; 38 pièces ; 291 segments de mur ; 0 transitions. Inspection physique ; architecture complète encore ouverte.</x:v>
      </x:c>
      <x:c r="H2628" s="115" t="str">
        <x:v>L 386 ; l 368 ; hauteur 6,7 m ; choix de composition auteur ; dimensions réelles à documenter</x:v>
      </x:c>
      <x:c r="I2628" s="115" t="str">
        <x:v>À équilibrer</x:v>
      </x:c>
      <x:c r="J2628" s="115" t="str">
        <x:v>Non</x:v>
      </x:c>
      <x:c r="K2628" s="115" t="str">
        <x:v>Pièces décrites, murs, portes, niveaux et mobilier inspectables à l’échelle. Volumes réservés, raccord au seed, butin, rencontres et services de campagne restent à terminer.</x:v>
      </x:c>
    </x:row>
    <x:row r="2629" ht="96" customHeight="1">
      <x:c r="A2629" s="115" t="str">
        <x:v>EXT-MONDE-T053-V24</x:v>
      </x:c>
      <x:c r="B2629" s="115" t="str">
        <x:v>EXT-MONDE-T053</x:v>
      </x:c>
      <x:c r="C2629" s="115" t="str">
        <x:v>Usines</x:v>
      </x:c>
      <x:c r="D2629" s="115" t="str">
        <x:v>Usine agroalimentaire</x:v>
      </x:c>
      <x:c r="E2629" s="115" t="n">
        <x:v>24</x:v>
      </x:c>
      <x:c r="F2629" s="115" t="str">
        <x:v>Inspection physique</x:v>
      </x:c>
      <x:c r="G2629" s="115" t="str">
        <x:v>1 niveaux ; 38 pièces ; 291 segments de mur ; 0 transitions. Inspection physique ; architecture complète encore ouverte.</x:v>
      </x:c>
      <x:c r="H2629" s="115" t="str">
        <x:v>L 386 ; l 368 ; hauteur 6,7 m ; choix de composition auteur ; dimensions réelles à documenter</x:v>
      </x:c>
      <x:c r="I2629" s="115" t="str">
        <x:v>À équilibrer</x:v>
      </x:c>
      <x:c r="J2629" s="115" t="str">
        <x:v>Non</x:v>
      </x:c>
      <x:c r="K2629" s="115" t="str">
        <x:v>Pièces décrites, murs, portes, niveaux et mobilier inspectables à l’échelle. Volumes réservés, raccord au seed, butin, rencontres et services de campagne restent à terminer.</x:v>
      </x:c>
    </x:row>
    <x:row r="2630" ht="96" customHeight="1">
      <x:c r="A2630" s="115" t="str">
        <x:v>EXT-MONDE-T053-V25</x:v>
      </x:c>
      <x:c r="B2630" s="115" t="str">
        <x:v>EXT-MONDE-T053</x:v>
      </x:c>
      <x:c r="C2630" s="115" t="str">
        <x:v>Usines</x:v>
      </x:c>
      <x:c r="D2630" s="115" t="str">
        <x:v>Usine agroalimentaire</x:v>
      </x:c>
      <x:c r="E2630" s="115" t="n">
        <x:v>25</x:v>
      </x:c>
      <x:c r="F2630" s="115" t="str">
        <x:v>Inspection physique</x:v>
      </x:c>
      <x:c r="G2630" s="115" t="str">
        <x:v>1 niveaux ; 38 pièces ; 291 segments de mur ; 0 transitions. Inspection physique ; architecture complète encore ouverte.</x:v>
      </x:c>
      <x:c r="H2630" s="115" t="str">
        <x:v>L 386 ; l 368 ; hauteur 6,7 m ; choix de composition auteur ; dimensions réelles à documenter</x:v>
      </x:c>
      <x:c r="I2630" s="115" t="str">
        <x:v>À équilibrer</x:v>
      </x:c>
      <x:c r="J2630" s="115" t="str">
        <x:v>Non</x:v>
      </x:c>
      <x:c r="K2630" s="115" t="str">
        <x:v>Pièces décrites, murs, portes, niveaux et mobilier inspectables à l’échelle. Volumes réservés, raccord au seed, butin, rencontres et services de campagne restent à terminer.</x:v>
      </x:c>
    </x:row>
    <x:row r="2631" ht="96" customHeight="1">
      <x:c r="A2631" s="115" t="str">
        <x:v>EXT-MONDE-T053-V26</x:v>
      </x:c>
      <x:c r="B2631" s="115" t="str">
        <x:v>EXT-MONDE-T053</x:v>
      </x:c>
      <x:c r="C2631" s="115" t="str">
        <x:v>Usines</x:v>
      </x:c>
      <x:c r="D2631" s="115" t="str">
        <x:v>Usine agroalimentaire</x:v>
      </x:c>
      <x:c r="E2631" s="115" t="n">
        <x:v>26</x:v>
      </x:c>
      <x:c r="F2631" s="115" t="str">
        <x:v>Inspection physique</x:v>
      </x:c>
      <x:c r="G2631" s="115" t="str">
        <x:v>1 niveaux ; 38 pièces ; 291 segments de mur ; 0 transitions. Inspection physique ; architecture complète encore ouverte.</x:v>
      </x:c>
      <x:c r="H2631" s="115" t="str">
        <x:v>L 386 ; l 368 ; hauteur 6,7 m ; choix de composition auteur ; dimensions réelles à documenter</x:v>
      </x:c>
      <x:c r="I2631" s="115" t="str">
        <x:v>À équilibrer</x:v>
      </x:c>
      <x:c r="J2631" s="115" t="str">
        <x:v>Non</x:v>
      </x:c>
      <x:c r="K2631" s="115" t="str">
        <x:v>Pièces décrites, murs, portes, niveaux et mobilier inspectables à l’échelle. Volumes réservés, raccord au seed, butin, rencontres et services de campagne restent à terminer.</x:v>
      </x:c>
    </x:row>
    <x:row r="2632" ht="96" customHeight="1">
      <x:c r="A2632" s="115" t="str">
        <x:v>EXT-MONDE-T053-V27</x:v>
      </x:c>
      <x:c r="B2632" s="115" t="str">
        <x:v>EXT-MONDE-T053</x:v>
      </x:c>
      <x:c r="C2632" s="115" t="str">
        <x:v>Usines</x:v>
      </x:c>
      <x:c r="D2632" s="115" t="str">
        <x:v>Usine agroalimentaire</x:v>
      </x:c>
      <x:c r="E2632" s="115" t="n">
        <x:v>27</x:v>
      </x:c>
      <x:c r="F2632" s="115" t="str">
        <x:v>Inspection physique</x:v>
      </x:c>
      <x:c r="G2632" s="115" t="str">
        <x:v>1 niveaux ; 38 pièces ; 291 segments de mur ; 0 transitions. Inspection physique ; architecture complète encore ouverte.</x:v>
      </x:c>
      <x:c r="H2632" s="115" t="str">
        <x:v>L 386 ; l 368 ; hauteur 6,7 m ; choix de composition auteur ; dimensions réelles à documenter</x:v>
      </x:c>
      <x:c r="I2632" s="115" t="str">
        <x:v>À équilibrer</x:v>
      </x:c>
      <x:c r="J2632" s="115" t="str">
        <x:v>Non</x:v>
      </x:c>
      <x:c r="K2632" s="115" t="str">
        <x:v>Pièces décrites, murs, portes, niveaux et mobilier inspectables à l’échelle. Volumes réservés, raccord au seed, butin, rencontres et services de campagne restent à terminer.</x:v>
      </x:c>
    </x:row>
    <x:row r="2633" ht="96" customHeight="1">
      <x:c r="A2633" s="115" t="str">
        <x:v>EXT-MONDE-T053-V28</x:v>
      </x:c>
      <x:c r="B2633" s="115" t="str">
        <x:v>EXT-MONDE-T053</x:v>
      </x:c>
      <x:c r="C2633" s="115" t="str">
        <x:v>Usines</x:v>
      </x:c>
      <x:c r="D2633" s="115" t="str">
        <x:v>Usine agroalimentaire</x:v>
      </x:c>
      <x:c r="E2633" s="115" t="n">
        <x:v>28</x:v>
      </x:c>
      <x:c r="F2633" s="115" t="str">
        <x:v>Inspection physique</x:v>
      </x:c>
      <x:c r="G2633" s="115" t="str">
        <x:v>1 niveaux ; 38 pièces ; 291 segments de mur ; 0 transitions. Inspection physique ; architecture complète encore ouverte.</x:v>
      </x:c>
      <x:c r="H2633" s="115" t="str">
        <x:v>L 386 ; l 368 ; hauteur 6,7 m ; choix de composition auteur ; dimensions réelles à documenter</x:v>
      </x:c>
      <x:c r="I2633" s="115" t="str">
        <x:v>À équilibrer</x:v>
      </x:c>
      <x:c r="J2633" s="115" t="str">
        <x:v>Non</x:v>
      </x:c>
      <x:c r="K2633" s="115" t="str">
        <x:v>Pièces décrites, murs, portes, niveaux et mobilier inspectables à l’échelle. Volumes réservés, raccord au seed, butin, rencontres et services de campagne restent à terminer.</x:v>
      </x:c>
    </x:row>
    <x:row r="2634" ht="96" customHeight="1">
      <x:c r="A2634" s="115" t="str">
        <x:v>EXT-MONDE-T053-V29</x:v>
      </x:c>
      <x:c r="B2634" s="115" t="str">
        <x:v>EXT-MONDE-T053</x:v>
      </x:c>
      <x:c r="C2634" s="115" t="str">
        <x:v>Usines</x:v>
      </x:c>
      <x:c r="D2634" s="115" t="str">
        <x:v>Usine agroalimentaire</x:v>
      </x:c>
      <x:c r="E2634" s="115" t="n">
        <x:v>29</x:v>
      </x:c>
      <x:c r="F2634" s="115" t="str">
        <x:v>Inspection physique</x:v>
      </x:c>
      <x:c r="G2634" s="115" t="str">
        <x:v>1 niveaux ; 38 pièces ; 291 segments de mur ; 0 transitions. Inspection physique ; architecture complète encore ouverte.</x:v>
      </x:c>
      <x:c r="H2634" s="115" t="str">
        <x:v>L 386 ; l 368 ; hauteur 6,7 m ; choix de composition auteur ; dimensions réelles à documenter</x:v>
      </x:c>
      <x:c r="I2634" s="115" t="str">
        <x:v>À équilibrer</x:v>
      </x:c>
      <x:c r="J2634" s="115" t="str">
        <x:v>Non</x:v>
      </x:c>
      <x:c r="K2634" s="115" t="str">
        <x:v>Pièces décrites, murs, portes, niveaux et mobilier inspectables à l’échelle. Volumes réservés, raccord au seed, butin, rencontres et services de campagne restent à terminer.</x:v>
      </x:c>
    </x:row>
    <x:row r="2635" ht="96" customHeight="1">
      <x:c r="A2635" s="115" t="str">
        <x:v>EXT-MONDE-T053-V30</x:v>
      </x:c>
      <x:c r="B2635" s="115" t="str">
        <x:v>EXT-MONDE-T053</x:v>
      </x:c>
      <x:c r="C2635" s="115" t="str">
        <x:v>Usines</x:v>
      </x:c>
      <x:c r="D2635" s="115" t="str">
        <x:v>Usine agroalimentaire</x:v>
      </x:c>
      <x:c r="E2635" s="115" t="n">
        <x:v>30</x:v>
      </x:c>
      <x:c r="F2635" s="115" t="str">
        <x:v>Inspection physique</x:v>
      </x:c>
      <x:c r="G2635" s="115" t="str">
        <x:v>1 niveaux ; 38 pièces ; 291 segments de mur ; 0 transitions. Inspection physique ; architecture complète encore ouverte.</x:v>
      </x:c>
      <x:c r="H2635" s="115" t="str">
        <x:v>L 386 ; l 368 ; hauteur 6,7 m ; choix de composition auteur ; dimensions réelles à documenter</x:v>
      </x:c>
      <x:c r="I2635" s="115" t="str">
        <x:v>À équilibrer</x:v>
      </x:c>
      <x:c r="J2635" s="115" t="str">
        <x:v>Non</x:v>
      </x:c>
      <x:c r="K2635" s="115" t="str">
        <x:v>Pièces décrites, murs, portes, niveaux et mobilier inspectables à l’échelle. Volumes réservés, raccord au seed, butin, rencontres et services de campagne restent à terminer.</x:v>
      </x:c>
    </x:row>
    <x:row r="2636" ht="96" customHeight="1">
      <x:c r="A2636" s="115" t="str">
        <x:v>EXT-MONDE-T053-V31</x:v>
      </x:c>
      <x:c r="B2636" s="115" t="str">
        <x:v>EXT-MONDE-T053</x:v>
      </x:c>
      <x:c r="C2636" s="115" t="str">
        <x:v>Usines</x:v>
      </x:c>
      <x:c r="D2636" s="115" t="str">
        <x:v>Usine agroalimentaire</x:v>
      </x:c>
      <x:c r="E2636" s="115" t="n">
        <x:v>31</x:v>
      </x:c>
      <x:c r="F2636" s="115" t="str">
        <x:v>Inspection physique</x:v>
      </x:c>
      <x:c r="G2636" s="115" t="str">
        <x:v>1 niveaux ; 38 pièces ; 291 segments de mur ; 0 transitions. Inspection physique ; architecture complète encore ouverte.</x:v>
      </x:c>
      <x:c r="H2636" s="115" t="str">
        <x:v>L 404 ; l 392 ; hauteur 6,95 m ; choix de composition auteur ; dimensions réelles à documenter</x:v>
      </x:c>
      <x:c r="I2636" s="115" t="str">
        <x:v>À équilibrer</x:v>
      </x:c>
      <x:c r="J2636" s="115" t="str">
        <x:v>Non</x:v>
      </x:c>
      <x:c r="K2636" s="115" t="str">
        <x:v>Pièces décrites, murs, portes, niveaux et mobilier inspectables à l’échelle. Volumes réservés, raccord au seed, butin, rencontres et services de campagne restent à terminer.</x:v>
      </x:c>
    </x:row>
    <x:row r="2637" ht="96" customHeight="1">
      <x:c r="A2637" s="115" t="str">
        <x:v>EXT-MONDE-T053-V32</x:v>
      </x:c>
      <x:c r="B2637" s="115" t="str">
        <x:v>EXT-MONDE-T053</x:v>
      </x:c>
      <x:c r="C2637" s="115" t="str">
        <x:v>Usines</x:v>
      </x:c>
      <x:c r="D2637" s="115" t="str">
        <x:v>Usine agroalimentaire</x:v>
      </x:c>
      <x:c r="E2637" s="115" t="n">
        <x:v>32</x:v>
      </x:c>
      <x:c r="F2637" s="115" t="str">
        <x:v>Inspection physique</x:v>
      </x:c>
      <x:c r="G2637" s="115" t="str">
        <x:v>1 niveaux ; 38 pièces ; 291 segments de mur ; 0 transitions. Inspection physique ; architecture complète encore ouverte.</x:v>
      </x:c>
      <x:c r="H2637" s="115" t="str">
        <x:v>L 404 ; l 392 ; hauteur 6,95 m ; choix de composition auteur ; dimensions réelles à documenter</x:v>
      </x:c>
      <x:c r="I2637" s="115" t="str">
        <x:v>À équilibrer</x:v>
      </x:c>
      <x:c r="J2637" s="115" t="str">
        <x:v>Non</x:v>
      </x:c>
      <x:c r="K2637" s="115" t="str">
        <x:v>Pièces décrites, murs, portes, niveaux et mobilier inspectables à l’échelle. Volumes réservés, raccord au seed, butin, rencontres et services de campagne restent à terminer.</x:v>
      </x:c>
    </x:row>
    <x:row r="2638" ht="96" customHeight="1">
      <x:c r="A2638" s="115" t="str">
        <x:v>EXT-MONDE-T053-V33</x:v>
      </x:c>
      <x:c r="B2638" s="115" t="str">
        <x:v>EXT-MONDE-T053</x:v>
      </x:c>
      <x:c r="C2638" s="115" t="str">
        <x:v>Usines</x:v>
      </x:c>
      <x:c r="D2638" s="115" t="str">
        <x:v>Usine agroalimentaire</x:v>
      </x:c>
      <x:c r="E2638" s="115" t="n">
        <x:v>33</x:v>
      </x:c>
      <x:c r="F2638" s="115" t="str">
        <x:v>Inspection physique</x:v>
      </x:c>
      <x:c r="G2638" s="115" t="str">
        <x:v>1 niveaux ; 38 pièces ; 291 segments de mur ; 0 transitions. Inspection physique ; architecture complète encore ouverte.</x:v>
      </x:c>
      <x:c r="H2638" s="115" t="str">
        <x:v>L 404 ; l 392 ; hauteur 6,95 m ; choix de composition auteur ; dimensions réelles à documenter</x:v>
      </x:c>
      <x:c r="I2638" s="115" t="str">
        <x:v>À équilibrer</x:v>
      </x:c>
      <x:c r="J2638" s="115" t="str">
        <x:v>Non</x:v>
      </x:c>
      <x:c r="K2638" s="115" t="str">
        <x:v>Pièces décrites, murs, portes, niveaux et mobilier inspectables à l’échelle. Volumes réservés, raccord au seed, butin, rencontres et services de campagne restent à terminer.</x:v>
      </x:c>
    </x:row>
    <x:row r="2639" ht="96" customHeight="1">
      <x:c r="A2639" s="115" t="str">
        <x:v>EXT-MONDE-T053-V34</x:v>
      </x:c>
      <x:c r="B2639" s="115" t="str">
        <x:v>EXT-MONDE-T053</x:v>
      </x:c>
      <x:c r="C2639" s="115" t="str">
        <x:v>Usines</x:v>
      </x:c>
      <x:c r="D2639" s="115" t="str">
        <x:v>Usine agroalimentaire</x:v>
      </x:c>
      <x:c r="E2639" s="115" t="n">
        <x:v>34</x:v>
      </x:c>
      <x:c r="F2639" s="115" t="str">
        <x:v>Inspection physique</x:v>
      </x:c>
      <x:c r="G2639" s="115" t="str">
        <x:v>1 niveaux ; 38 pièces ; 291 segments de mur ; 0 transitions. Inspection physique ; architecture complète encore ouverte.</x:v>
      </x:c>
      <x:c r="H2639" s="115" t="str">
        <x:v>L 404 ; l 392 ; hauteur 6,95 m ; choix de composition auteur ; dimensions réelles à documenter</x:v>
      </x:c>
      <x:c r="I2639" s="115" t="str">
        <x:v>À équilibrer</x:v>
      </x:c>
      <x:c r="J2639" s="115" t="str">
        <x:v>Non</x:v>
      </x:c>
      <x:c r="K2639" s="115" t="str">
        <x:v>Pièces décrites, murs, portes, niveaux et mobilier inspectables à l’échelle. Volumes réservés, raccord au seed, butin, rencontres et services de campagne restent à terminer.</x:v>
      </x:c>
    </x:row>
    <x:row r="2640" ht="96" customHeight="1">
      <x:c r="A2640" s="115" t="str">
        <x:v>EXT-MONDE-T053-V35</x:v>
      </x:c>
      <x:c r="B2640" s="115" t="str">
        <x:v>EXT-MONDE-T053</x:v>
      </x:c>
      <x:c r="C2640" s="115" t="str">
        <x:v>Usines</x:v>
      </x:c>
      <x:c r="D2640" s="115" t="str">
        <x:v>Usine agroalimentaire</x:v>
      </x:c>
      <x:c r="E2640" s="115" t="n">
        <x:v>35</x:v>
      </x:c>
      <x:c r="F2640" s="115" t="str">
        <x:v>Inspection physique</x:v>
      </x:c>
      <x:c r="G2640" s="115" t="str">
        <x:v>1 niveaux ; 38 pièces ; 291 segments de mur ; 0 transitions. Inspection physique ; architecture complète encore ouverte.</x:v>
      </x:c>
      <x:c r="H2640" s="115" t="str">
        <x:v>L 404 ; l 392 ; hauteur 6,95 m ; choix de composition auteur ; dimensions réelles à documenter</x:v>
      </x:c>
      <x:c r="I2640" s="115" t="str">
        <x:v>À équilibrer</x:v>
      </x:c>
      <x:c r="J2640" s="115" t="str">
        <x:v>Non</x:v>
      </x:c>
      <x:c r="K2640" s="115" t="str">
        <x:v>Pièces décrites, murs, portes, niveaux et mobilier inspectables à l’échelle. Volumes réservés, raccord au seed, butin, rencontres et services de campagne restent à terminer.</x:v>
      </x:c>
    </x:row>
    <x:row r="2641" ht="96" customHeight="1">
      <x:c r="A2641" s="115" t="str">
        <x:v>EXT-MONDE-T053-V36</x:v>
      </x:c>
      <x:c r="B2641" s="115" t="str">
        <x:v>EXT-MONDE-T053</x:v>
      </x:c>
      <x:c r="C2641" s="115" t="str">
        <x:v>Usines</x:v>
      </x:c>
      <x:c r="D2641" s="115" t="str">
        <x:v>Usine agroalimentaire</x:v>
      </x:c>
      <x:c r="E2641" s="115" t="n">
        <x:v>36</x:v>
      </x:c>
      <x:c r="F2641" s="115" t="str">
        <x:v>Inspection physique</x:v>
      </x:c>
      <x:c r="G2641" s="115" t="str">
        <x:v>1 niveaux ; 38 pièces ; 291 segments de mur ; 0 transitions. Inspection physique ; architecture complète encore ouverte.</x:v>
      </x:c>
      <x:c r="H2641" s="115" t="str">
        <x:v>L 404 ; l 392 ; hauteur 6,95 m ; choix de composition auteur ; dimensions réelles à documenter</x:v>
      </x:c>
      <x:c r="I2641" s="115" t="str">
        <x:v>À équilibrer</x:v>
      </x:c>
      <x:c r="J2641" s="115" t="str">
        <x:v>Non</x:v>
      </x:c>
      <x:c r="K2641" s="115" t="str">
        <x:v>Pièces décrites, murs, portes, niveaux et mobilier inspectables à l’échelle. Volumes réservés, raccord au seed, butin, rencontres et services de campagne restent à terminer.</x:v>
      </x:c>
    </x:row>
    <x:row r="2642" ht="96" customHeight="1">
      <x:c r="A2642" s="115" t="str">
        <x:v>EXT-MONDE-T053-V37</x:v>
      </x:c>
      <x:c r="B2642" s="115" t="str">
        <x:v>EXT-MONDE-T053</x:v>
      </x:c>
      <x:c r="C2642" s="115" t="str">
        <x:v>Usines</x:v>
      </x:c>
      <x:c r="D2642" s="115" t="str">
        <x:v>Usine agroalimentaire</x:v>
      </x:c>
      <x:c r="E2642" s="115" t="n">
        <x:v>37</x:v>
      </x:c>
      <x:c r="F2642" s="115" t="str">
        <x:v>Inspection physique</x:v>
      </x:c>
      <x:c r="G2642" s="115" t="str">
        <x:v>1 niveaux ; 38 pièces ; 291 segments de mur ; 0 transitions. Inspection physique ; architecture complète encore ouverte.</x:v>
      </x:c>
      <x:c r="H2642" s="115" t="str">
        <x:v>L 404 ; l 392 ; hauteur 6,95 m ; choix de composition auteur ; dimensions réelles à documenter</x:v>
      </x:c>
      <x:c r="I2642" s="115" t="str">
        <x:v>À équilibrer</x:v>
      </x:c>
      <x:c r="J2642" s="115" t="str">
        <x:v>Non</x:v>
      </x:c>
      <x:c r="K2642" s="115" t="str">
        <x:v>Pièces décrites, murs, portes, niveaux et mobilier inspectables à l’échelle. Volumes réservés, raccord au seed, butin, rencontres et services de campagne restent à terminer.</x:v>
      </x:c>
    </x:row>
    <x:row r="2643" ht="96" customHeight="1">
      <x:c r="A2643" s="115" t="str">
        <x:v>EXT-MONDE-T053-V38</x:v>
      </x:c>
      <x:c r="B2643" s="115" t="str">
        <x:v>EXT-MONDE-T053</x:v>
      </x:c>
      <x:c r="C2643" s="115" t="str">
        <x:v>Usines</x:v>
      </x:c>
      <x:c r="D2643" s="115" t="str">
        <x:v>Usine agroalimentaire</x:v>
      </x:c>
      <x:c r="E2643" s="115" t="n">
        <x:v>38</x:v>
      </x:c>
      <x:c r="F2643" s="115" t="str">
        <x:v>Inspection physique</x:v>
      </x:c>
      <x:c r="G2643" s="115" t="str">
        <x:v>1 niveaux ; 38 pièces ; 291 segments de mur ; 0 transitions. Inspection physique ; architecture complète encore ouverte.</x:v>
      </x:c>
      <x:c r="H2643" s="115" t="str">
        <x:v>L 404 ; l 392 ; hauteur 6,95 m ; choix de composition auteur ; dimensions réelles à documenter</x:v>
      </x:c>
      <x:c r="I2643" s="115" t="str">
        <x:v>À équilibrer</x:v>
      </x:c>
      <x:c r="J2643" s="115" t="str">
        <x:v>Non</x:v>
      </x:c>
      <x:c r="K2643" s="115" t="str">
        <x:v>Pièces décrites, murs, portes, niveaux et mobilier inspectables à l’échelle. Volumes réservés, raccord au seed, butin, rencontres et services de campagne restent à terminer.</x:v>
      </x:c>
    </x:row>
    <x:row r="2644" ht="96" customHeight="1">
      <x:c r="A2644" s="115" t="str">
        <x:v>EXT-MONDE-T053-V39</x:v>
      </x:c>
      <x:c r="B2644" s="115" t="str">
        <x:v>EXT-MONDE-T053</x:v>
      </x:c>
      <x:c r="C2644" s="115" t="str">
        <x:v>Usines</x:v>
      </x:c>
      <x:c r="D2644" s="115" t="str">
        <x:v>Usine agroalimentaire</x:v>
      </x:c>
      <x:c r="E2644" s="115" t="n">
        <x:v>39</x:v>
      </x:c>
      <x:c r="F2644" s="115" t="str">
        <x:v>Inspection physique</x:v>
      </x:c>
      <x:c r="G2644" s="115" t="str">
        <x:v>1 niveaux ; 38 pièces ; 291 segments de mur ; 0 transitions. Inspection physique ; architecture complète encore ouverte.</x:v>
      </x:c>
      <x:c r="H2644" s="115" t="str">
        <x:v>L 404 ; l 392 ; hauteur 6,95 m ; choix de composition auteur ; dimensions réelles à documenter</x:v>
      </x:c>
      <x:c r="I2644" s="115" t="str">
        <x:v>À équilibrer</x:v>
      </x:c>
      <x:c r="J2644" s="115" t="str">
        <x:v>Non</x:v>
      </x:c>
      <x:c r="K2644" s="115" t="str">
        <x:v>Pièces décrites, murs, portes, niveaux et mobilier inspectables à l’échelle. Volumes réservés, raccord au seed, butin, rencontres et services de campagne restent à terminer.</x:v>
      </x:c>
    </x:row>
    <x:row r="2645" ht="96" customHeight="1">
      <x:c r="A2645" s="115" t="str">
        <x:v>EXT-MONDE-T053-V40</x:v>
      </x:c>
      <x:c r="B2645" s="115" t="str">
        <x:v>EXT-MONDE-T053</x:v>
      </x:c>
      <x:c r="C2645" s="115" t="str">
        <x:v>Usines</x:v>
      </x:c>
      <x:c r="D2645" s="115" t="str">
        <x:v>Usine agroalimentaire</x:v>
      </x:c>
      <x:c r="E2645" s="115" t="n">
        <x:v>40</x:v>
      </x:c>
      <x:c r="F2645" s="115" t="str">
        <x:v>Inspection physique</x:v>
      </x:c>
      <x:c r="G2645" s="115" t="str">
        <x:v>1 niveaux ; 38 pièces ; 291 segments de mur ; 0 transitions. Inspection physique ; architecture complète encore ouverte.</x:v>
      </x:c>
      <x:c r="H2645" s="115" t="str">
        <x:v>L 404 ; l 392 ; hauteur 6,95 m ; choix de composition auteur ; dimensions réelles à documenter</x:v>
      </x:c>
      <x:c r="I2645" s="115" t="str">
        <x:v>À équilibrer</x:v>
      </x:c>
      <x:c r="J2645" s="115" t="str">
        <x:v>Non</x:v>
      </x:c>
      <x:c r="K2645" s="115" t="str">
        <x:v>Pièces décrites, murs, portes, niveaux et mobilier inspectables à l’échelle. Volumes réservés, raccord au seed, butin, rencontres et services de campagne restent à terminer.</x:v>
      </x:c>
    </x:row>
    <x:row r="2646" ht="96" customHeight="1">
      <x:c r="A2646" s="115" t="str">
        <x:v>EXT-MONDE-T053-V41</x:v>
      </x:c>
      <x:c r="B2646" s="115" t="str">
        <x:v>EXT-MONDE-T053</x:v>
      </x:c>
      <x:c r="C2646" s="115" t="str">
        <x:v>Usines</x:v>
      </x:c>
      <x:c r="D2646" s="115" t="str">
        <x:v>Usine agroalimentaire</x:v>
      </x:c>
      <x:c r="E2646" s="115" t="n">
        <x:v>41</x:v>
      </x:c>
      <x:c r="F2646" s="115" t="str">
        <x:v>Inspection physique</x:v>
      </x:c>
      <x:c r="G2646" s="115" t="str">
        <x:v>1 niveaux ; 38 pièces ; 291 segments de mur ; 0 transitions. Inspection physique ; architecture complète encore ouverte.</x:v>
      </x:c>
      <x:c r="H2646" s="115" t="str">
        <x:v>L 422 ; l 416 ; hauteur 7,2 m ; choix de composition auteur ; dimensions réelles à documenter</x:v>
      </x:c>
      <x:c r="I2646" s="115" t="str">
        <x:v>À équilibrer</x:v>
      </x:c>
      <x:c r="J2646" s="115" t="str">
        <x:v>Non</x:v>
      </x:c>
      <x:c r="K2646" s="115" t="str">
        <x:v>Pièces décrites, murs, portes, niveaux et mobilier inspectables à l’échelle. Volumes réservés, raccord au seed, butin, rencontres et services de campagne restent à terminer.</x:v>
      </x:c>
    </x:row>
    <x:row r="2647" ht="96" customHeight="1">
      <x:c r="A2647" s="115" t="str">
        <x:v>EXT-MONDE-T053-V42</x:v>
      </x:c>
      <x:c r="B2647" s="115" t="str">
        <x:v>EXT-MONDE-T053</x:v>
      </x:c>
      <x:c r="C2647" s="115" t="str">
        <x:v>Usines</x:v>
      </x:c>
      <x:c r="D2647" s="115" t="str">
        <x:v>Usine agroalimentaire</x:v>
      </x:c>
      <x:c r="E2647" s="115" t="n">
        <x:v>42</x:v>
      </x:c>
      <x:c r="F2647" s="115" t="str">
        <x:v>Inspection physique</x:v>
      </x:c>
      <x:c r="G2647" s="115" t="str">
        <x:v>1 niveaux ; 38 pièces ; 291 segments de mur ; 0 transitions. Inspection physique ; architecture complète encore ouverte.</x:v>
      </x:c>
      <x:c r="H2647" s="115" t="str">
        <x:v>L 422 ; l 416 ; hauteur 7,2 m ; choix de composition auteur ; dimensions réelles à documenter</x:v>
      </x:c>
      <x:c r="I2647" s="115" t="str">
        <x:v>À équilibrer</x:v>
      </x:c>
      <x:c r="J2647" s="115" t="str">
        <x:v>Non</x:v>
      </x:c>
      <x:c r="K2647" s="115" t="str">
        <x:v>Pièces décrites, murs, portes, niveaux et mobilier inspectables à l’échelle. Volumes réservés, raccord au seed, butin, rencontres et services de campagne restent à terminer.</x:v>
      </x:c>
    </x:row>
    <x:row r="2648" ht="96" customHeight="1">
      <x:c r="A2648" s="115" t="str">
        <x:v>EXT-MONDE-T053-V43</x:v>
      </x:c>
      <x:c r="B2648" s="115" t="str">
        <x:v>EXT-MONDE-T053</x:v>
      </x:c>
      <x:c r="C2648" s="115" t="str">
        <x:v>Usines</x:v>
      </x:c>
      <x:c r="D2648" s="115" t="str">
        <x:v>Usine agroalimentaire</x:v>
      </x:c>
      <x:c r="E2648" s="115" t="n">
        <x:v>43</x:v>
      </x:c>
      <x:c r="F2648" s="115" t="str">
        <x:v>Inspection physique</x:v>
      </x:c>
      <x:c r="G2648" s="115" t="str">
        <x:v>1 niveaux ; 38 pièces ; 291 segments de mur ; 0 transitions. Inspection physique ; architecture complète encore ouverte.</x:v>
      </x:c>
      <x:c r="H2648" s="115" t="str">
        <x:v>L 422 ; l 416 ; hauteur 7,2 m ; choix de composition auteur ; dimensions réelles à documenter</x:v>
      </x:c>
      <x:c r="I2648" s="115" t="str">
        <x:v>À équilibrer</x:v>
      </x:c>
      <x:c r="J2648" s="115" t="str">
        <x:v>Non</x:v>
      </x:c>
      <x:c r="K2648" s="115" t="str">
        <x:v>Pièces décrites, murs, portes, niveaux et mobilier inspectables à l’échelle. Volumes réservés, raccord au seed, butin, rencontres et services de campagne restent à terminer.</x:v>
      </x:c>
    </x:row>
    <x:row r="2649" ht="96" customHeight="1">
      <x:c r="A2649" s="115" t="str">
        <x:v>EXT-MONDE-T053-V44</x:v>
      </x:c>
      <x:c r="B2649" s="115" t="str">
        <x:v>EXT-MONDE-T053</x:v>
      </x:c>
      <x:c r="C2649" s="115" t="str">
        <x:v>Usines</x:v>
      </x:c>
      <x:c r="D2649" s="115" t="str">
        <x:v>Usine agroalimentaire</x:v>
      </x:c>
      <x:c r="E2649" s="115" t="n">
        <x:v>44</x:v>
      </x:c>
      <x:c r="F2649" s="115" t="str">
        <x:v>Inspection physique</x:v>
      </x:c>
      <x:c r="G2649" s="115" t="str">
        <x:v>1 niveaux ; 38 pièces ; 291 segments de mur ; 0 transitions. Inspection physique ; architecture complète encore ouverte.</x:v>
      </x:c>
      <x:c r="H2649" s="115" t="str">
        <x:v>L 422 ; l 416 ; hauteur 7,2 m ; choix de composition auteur ; dimensions réelles à documenter</x:v>
      </x:c>
      <x:c r="I2649" s="115" t="str">
        <x:v>À équilibrer</x:v>
      </x:c>
      <x:c r="J2649" s="115" t="str">
        <x:v>Non</x:v>
      </x:c>
      <x:c r="K2649" s="115" t="str">
        <x:v>Pièces décrites, murs, portes, niveaux et mobilier inspectables à l’échelle. Volumes réservés, raccord au seed, butin, rencontres et services de campagne restent à terminer.</x:v>
      </x:c>
    </x:row>
    <x:row r="2650" ht="96" customHeight="1">
      <x:c r="A2650" s="115" t="str">
        <x:v>EXT-MONDE-T053-V45</x:v>
      </x:c>
      <x:c r="B2650" s="115" t="str">
        <x:v>EXT-MONDE-T053</x:v>
      </x:c>
      <x:c r="C2650" s="115" t="str">
        <x:v>Usines</x:v>
      </x:c>
      <x:c r="D2650" s="115" t="str">
        <x:v>Usine agroalimentaire</x:v>
      </x:c>
      <x:c r="E2650" s="115" t="n">
        <x:v>45</x:v>
      </x:c>
      <x:c r="F2650" s="115" t="str">
        <x:v>Inspection physique</x:v>
      </x:c>
      <x:c r="G2650" s="115" t="str">
        <x:v>1 niveaux ; 38 pièces ; 291 segments de mur ; 0 transitions. Inspection physique ; architecture complète encore ouverte.</x:v>
      </x:c>
      <x:c r="H2650" s="115" t="str">
        <x:v>L 422 ; l 416 ; hauteur 7,2 m ; choix de composition auteur ; dimensions réelles à documenter</x:v>
      </x:c>
      <x:c r="I2650" s="115" t="str">
        <x:v>À équilibrer</x:v>
      </x:c>
      <x:c r="J2650" s="115" t="str">
        <x:v>Non</x:v>
      </x:c>
      <x:c r="K2650" s="115" t="str">
        <x:v>Pièces décrites, murs, portes, niveaux et mobilier inspectables à l’échelle. Volumes réservés, raccord au seed, butin, rencontres et services de campagne restent à terminer.</x:v>
      </x:c>
    </x:row>
    <x:row r="2651" ht="96" customHeight="1">
      <x:c r="A2651" s="115" t="str">
        <x:v>EXT-MONDE-T053-V46</x:v>
      </x:c>
      <x:c r="B2651" s="115" t="str">
        <x:v>EXT-MONDE-T053</x:v>
      </x:c>
      <x:c r="C2651" s="115" t="str">
        <x:v>Usines</x:v>
      </x:c>
      <x:c r="D2651" s="115" t="str">
        <x:v>Usine agroalimentaire</x:v>
      </x:c>
      <x:c r="E2651" s="115" t="n">
        <x:v>46</x:v>
      </x:c>
      <x:c r="F2651" s="115" t="str">
        <x:v>Inspection physique</x:v>
      </x:c>
      <x:c r="G2651" s="115" t="str">
        <x:v>1 niveaux ; 38 pièces ; 291 segments de mur ; 0 transitions. Inspection physique ; architecture complète encore ouverte.</x:v>
      </x:c>
      <x:c r="H2651" s="115" t="str">
        <x:v>L 422 ; l 416 ; hauteur 7,2 m ; choix de composition auteur ; dimensions réelles à documenter</x:v>
      </x:c>
      <x:c r="I2651" s="115" t="str">
        <x:v>À équilibrer</x:v>
      </x:c>
      <x:c r="J2651" s="115" t="str">
        <x:v>Non</x:v>
      </x:c>
      <x:c r="K2651" s="115" t="str">
        <x:v>Pièces décrites, murs, portes, niveaux et mobilier inspectables à l’échelle. Volumes réservés, raccord au seed, butin, rencontres et services de campagne restent à terminer.</x:v>
      </x:c>
    </x:row>
    <x:row r="2652" ht="96" customHeight="1">
      <x:c r="A2652" s="115" t="str">
        <x:v>EXT-MONDE-T053-V47</x:v>
      </x:c>
      <x:c r="B2652" s="115" t="str">
        <x:v>EXT-MONDE-T053</x:v>
      </x:c>
      <x:c r="C2652" s="115" t="str">
        <x:v>Usines</x:v>
      </x:c>
      <x:c r="D2652" s="115" t="str">
        <x:v>Usine agroalimentaire</x:v>
      </x:c>
      <x:c r="E2652" s="115" t="n">
        <x:v>47</x:v>
      </x:c>
      <x:c r="F2652" s="115" t="str">
        <x:v>Inspection physique</x:v>
      </x:c>
      <x:c r="G2652" s="115" t="str">
        <x:v>1 niveaux ; 38 pièces ; 291 segments de mur ; 0 transitions. Inspection physique ; architecture complète encore ouverte.</x:v>
      </x:c>
      <x:c r="H2652" s="115" t="str">
        <x:v>L 422 ; l 416 ; hauteur 7,2 m ; choix de composition auteur ; dimensions réelles à documenter</x:v>
      </x:c>
      <x:c r="I2652" s="115" t="str">
        <x:v>À équilibrer</x:v>
      </x:c>
      <x:c r="J2652" s="115" t="str">
        <x:v>Non</x:v>
      </x:c>
      <x:c r="K2652" s="115" t="str">
        <x:v>Pièces décrites, murs, portes, niveaux et mobilier inspectables à l’échelle. Volumes réservés, raccord au seed, butin, rencontres et services de campagne restent à terminer.</x:v>
      </x:c>
    </x:row>
    <x:row r="2653" ht="96" customHeight="1">
      <x:c r="A2653" s="115" t="str">
        <x:v>EXT-MONDE-T053-V48</x:v>
      </x:c>
      <x:c r="B2653" s="115" t="str">
        <x:v>EXT-MONDE-T053</x:v>
      </x:c>
      <x:c r="C2653" s="115" t="str">
        <x:v>Usines</x:v>
      </x:c>
      <x:c r="D2653" s="115" t="str">
        <x:v>Usine agroalimentaire</x:v>
      </x:c>
      <x:c r="E2653" s="115" t="n">
        <x:v>48</x:v>
      </x:c>
      <x:c r="F2653" s="115" t="str">
        <x:v>Inspection physique</x:v>
      </x:c>
      <x:c r="G2653" s="115" t="str">
        <x:v>1 niveaux ; 38 pièces ; 291 segments de mur ; 0 transitions. Inspection physique ; architecture complète encore ouverte.</x:v>
      </x:c>
      <x:c r="H2653" s="115" t="str">
        <x:v>L 422 ; l 416 ; hauteur 7,2 m ; choix de composition auteur ; dimensions réelles à documenter</x:v>
      </x:c>
      <x:c r="I2653" s="115" t="str">
        <x:v>À équilibrer</x:v>
      </x:c>
      <x:c r="J2653" s="115" t="str">
        <x:v>Non</x:v>
      </x:c>
      <x:c r="K2653" s="115" t="str">
        <x:v>Pièces décrites, murs, portes, niveaux et mobilier inspectables à l’échelle. Volumes réservés, raccord au seed, butin, rencontres et services de campagne restent à terminer.</x:v>
      </x:c>
    </x:row>
    <x:row r="2654" ht="96" customHeight="1">
      <x:c r="A2654" s="115" t="str">
        <x:v>EXT-MONDE-T053-V49</x:v>
      </x:c>
      <x:c r="B2654" s="115" t="str">
        <x:v>EXT-MONDE-T053</x:v>
      </x:c>
      <x:c r="C2654" s="115" t="str">
        <x:v>Usines</x:v>
      </x:c>
      <x:c r="D2654" s="115" t="str">
        <x:v>Usine agroalimentaire</x:v>
      </x:c>
      <x:c r="E2654" s="115" t="n">
        <x:v>49</x:v>
      </x:c>
      <x:c r="F2654" s="115" t="str">
        <x:v>Inspection physique</x:v>
      </x:c>
      <x:c r="G2654" s="115" t="str">
        <x:v>1 niveaux ; 38 pièces ; 291 segments de mur ; 0 transitions. Inspection physique ; architecture complète encore ouverte.</x:v>
      </x:c>
      <x:c r="H2654" s="115" t="str">
        <x:v>L 422 ; l 416 ; hauteur 7,2 m ; choix de composition auteur ; dimensions réelles à documenter</x:v>
      </x:c>
      <x:c r="I2654" s="115" t="str">
        <x:v>À équilibrer</x:v>
      </x:c>
      <x:c r="J2654" s="115" t="str">
        <x:v>Non</x:v>
      </x:c>
      <x:c r="K2654" s="115" t="str">
        <x:v>Pièces décrites, murs, portes, niveaux et mobilier inspectables à l’échelle. Volumes réservés, raccord au seed, butin, rencontres et services de campagne restent à terminer.</x:v>
      </x:c>
    </x:row>
    <x:row r="2655" ht="96" customHeight="1">
      <x:c r="A2655" s="115" t="str">
        <x:v>EXT-MONDE-T053-V50</x:v>
      </x:c>
      <x:c r="B2655" s="115" t="str">
        <x:v>EXT-MONDE-T053</x:v>
      </x:c>
      <x:c r="C2655" s="115" t="str">
        <x:v>Usines</x:v>
      </x:c>
      <x:c r="D2655" s="115" t="str">
        <x:v>Usine agroalimentaire</x:v>
      </x:c>
      <x:c r="E2655" s="115" t="n">
        <x:v>50</x:v>
      </x:c>
      <x:c r="F2655" s="115" t="str">
        <x:v>Inspection physique</x:v>
      </x:c>
      <x:c r="G2655" s="115" t="str">
        <x:v>1 niveaux ; 38 pièces ; 291 segments de mur ; 0 transitions. Inspection physique ; architecture complète encore ouverte.</x:v>
      </x:c>
      <x:c r="H2655" s="115" t="str">
        <x:v>L 422 ; l 416 ; hauteur 7,2 m ; choix de composition auteur ; dimensions réelles à documenter</x:v>
      </x:c>
      <x:c r="I2655" s="115" t="str">
        <x:v>À équilibrer</x:v>
      </x:c>
      <x:c r="J2655" s="115" t="str">
        <x:v>Non</x:v>
      </x:c>
      <x:c r="K2655" s="115" t="str">
        <x:v>Pièces décrites, murs, portes, niveaux et mobilier inspectables à l’échelle. Volumes réservés, raccord au seed, butin, rencontres et services de campagne restent à terminer.</x:v>
      </x:c>
    </x:row>
    <x:row r="2656" ht="96" customHeight="1">
      <x:c r="A2656" s="115" t="str">
        <x:v>EXT-MONDE-T054-V01</x:v>
      </x:c>
      <x:c r="B2656" s="115" t="str">
        <x:v>EXT-MONDE-T054</x:v>
      </x:c>
      <x:c r="C2656" s="115" t="str">
        <x:v>Usines</x:v>
      </x:c>
      <x:c r="D2656" s="115" t="str">
        <x:v>Usine de mécanique</x:v>
      </x:c>
      <x:c r="E2656" s="115" t="n">
        <x:v>1</x:v>
      </x:c>
      <x:c r="F2656" s="115" t="str">
        <x:v>Inspection physique</x:v>
      </x:c>
      <x:c r="G2656" s="115" t="str">
        <x:v>1 niveaux ; 40 pièces ; 303 segments de mur ; 0 transitions. Inspection physique ; architecture complète encore ouverte.</x:v>
      </x:c>
      <x:c r="H2656" s="115" t="str">
        <x:v>L 350 ; l 320 ; hauteur 7,2 m ; choix de composition auteur ; dimensions réelles à documenter</x:v>
      </x:c>
      <x:c r="I2656" s="115" t="str">
        <x:v>À équilibrer</x:v>
      </x:c>
      <x:c r="J2656" s="115" t="str">
        <x:v>Non</x:v>
      </x:c>
      <x:c r="K2656" s="115" t="str">
        <x:v>Pièces décrites, murs, portes, niveaux et mobilier inspectables à l’échelle. Volumes réservés, raccord au seed, butin, rencontres et services de campagne restent à terminer.</x:v>
      </x:c>
    </x:row>
    <x:row r="2657" ht="96" customHeight="1">
      <x:c r="A2657" s="115" t="str">
        <x:v>EXT-MONDE-T054-V02</x:v>
      </x:c>
      <x:c r="B2657" s="115" t="str">
        <x:v>EXT-MONDE-T054</x:v>
      </x:c>
      <x:c r="C2657" s="115" t="str">
        <x:v>Usines</x:v>
      </x:c>
      <x:c r="D2657" s="115" t="str">
        <x:v>Usine de mécanique</x:v>
      </x:c>
      <x:c r="E2657" s="115" t="n">
        <x:v>2</x:v>
      </x:c>
      <x:c r="F2657" s="115" t="str">
        <x:v>Inspection physique</x:v>
      </x:c>
      <x:c r="G2657" s="115" t="str">
        <x:v>1 niveaux ; 40 pièces ; 303 segments de mur ; 0 transitions. Inspection physique ; architecture complète encore ouverte.</x:v>
      </x:c>
      <x:c r="H2657" s="115" t="str">
        <x:v>L 350 ; l 320 ; hauteur 7,2 m ; choix de composition auteur ; dimensions réelles à documenter</x:v>
      </x:c>
      <x:c r="I2657" s="115" t="str">
        <x:v>À équilibrer</x:v>
      </x:c>
      <x:c r="J2657" s="115" t="str">
        <x:v>Non</x:v>
      </x:c>
      <x:c r="K2657" s="115" t="str">
        <x:v>Pièces décrites, murs, portes, niveaux et mobilier inspectables à l’échelle. Volumes réservés, raccord au seed, butin, rencontres et services de campagne restent à terminer.</x:v>
      </x:c>
    </x:row>
    <x:row r="2658" ht="96" customHeight="1">
      <x:c r="A2658" s="115" t="str">
        <x:v>EXT-MONDE-T054-V03</x:v>
      </x:c>
      <x:c r="B2658" s="115" t="str">
        <x:v>EXT-MONDE-T054</x:v>
      </x:c>
      <x:c r="C2658" s="115" t="str">
        <x:v>Usines</x:v>
      </x:c>
      <x:c r="D2658" s="115" t="str">
        <x:v>Usine de mécanique</x:v>
      </x:c>
      <x:c r="E2658" s="115" t="n">
        <x:v>3</x:v>
      </x:c>
      <x:c r="F2658" s="115" t="str">
        <x:v>Inspection physique</x:v>
      </x:c>
      <x:c r="G2658" s="115" t="str">
        <x:v>1 niveaux ; 40 pièces ; 303 segments de mur ; 0 transitions. Inspection physique ; architecture complète encore ouverte.</x:v>
      </x:c>
      <x:c r="H2658" s="115" t="str">
        <x:v>L 350 ; l 320 ; hauteur 7,2 m ; choix de composition auteur ; dimensions réelles à documenter</x:v>
      </x:c>
      <x:c r="I2658" s="115" t="str">
        <x:v>À équilibrer</x:v>
      </x:c>
      <x:c r="J2658" s="115" t="str">
        <x:v>Non</x:v>
      </x:c>
      <x:c r="K2658" s="115" t="str">
        <x:v>Pièces décrites, murs, portes, niveaux et mobilier inspectables à l’échelle. Volumes réservés, raccord au seed, butin, rencontres et services de campagne restent à terminer.</x:v>
      </x:c>
    </x:row>
    <x:row r="2659" ht="96" customHeight="1">
      <x:c r="A2659" s="115" t="str">
        <x:v>EXT-MONDE-T054-V04</x:v>
      </x:c>
      <x:c r="B2659" s="115" t="str">
        <x:v>EXT-MONDE-T054</x:v>
      </x:c>
      <x:c r="C2659" s="115" t="str">
        <x:v>Usines</x:v>
      </x:c>
      <x:c r="D2659" s="115" t="str">
        <x:v>Usine de mécanique</x:v>
      </x:c>
      <x:c r="E2659" s="115" t="n">
        <x:v>4</x:v>
      </x:c>
      <x:c r="F2659" s="115" t="str">
        <x:v>Inspection physique</x:v>
      </x:c>
      <x:c r="G2659" s="115" t="str">
        <x:v>1 niveaux ; 40 pièces ; 303 segments de mur ; 0 transitions. Inspection physique ; architecture complète encore ouverte.</x:v>
      </x:c>
      <x:c r="H2659" s="115" t="str">
        <x:v>L 350 ; l 320 ; hauteur 7,2 m ; choix de composition auteur ; dimensions réelles à documenter</x:v>
      </x:c>
      <x:c r="I2659" s="115" t="str">
        <x:v>À équilibrer</x:v>
      </x:c>
      <x:c r="J2659" s="115" t="str">
        <x:v>Non</x:v>
      </x:c>
      <x:c r="K2659" s="115" t="str">
        <x:v>Pièces décrites, murs, portes, niveaux et mobilier inspectables à l’échelle. Volumes réservés, raccord au seed, butin, rencontres et services de campagne restent à terminer.</x:v>
      </x:c>
    </x:row>
    <x:row r="2660" ht="96" customHeight="1">
      <x:c r="A2660" s="115" t="str">
        <x:v>EXT-MONDE-T054-V05</x:v>
      </x:c>
      <x:c r="B2660" s="115" t="str">
        <x:v>EXT-MONDE-T054</x:v>
      </x:c>
      <x:c r="C2660" s="115" t="str">
        <x:v>Usines</x:v>
      </x:c>
      <x:c r="D2660" s="115" t="str">
        <x:v>Usine de mécanique</x:v>
      </x:c>
      <x:c r="E2660" s="115" t="n">
        <x:v>5</x:v>
      </x:c>
      <x:c r="F2660" s="115" t="str">
        <x:v>Inspection physique</x:v>
      </x:c>
      <x:c r="G2660" s="115" t="str">
        <x:v>1 niveaux ; 40 pièces ; 303 segments de mur ; 0 transitions. Inspection physique ; architecture complète encore ouverte.</x:v>
      </x:c>
      <x:c r="H2660" s="115" t="str">
        <x:v>L 350 ; l 320 ; hauteur 7,2 m ; choix de composition auteur ; dimensions réelles à documenter</x:v>
      </x:c>
      <x:c r="I2660" s="115" t="str">
        <x:v>À équilibrer</x:v>
      </x:c>
      <x:c r="J2660" s="115" t="str">
        <x:v>Non</x:v>
      </x:c>
      <x:c r="K2660" s="115" t="str">
        <x:v>Pièces décrites, murs, portes, niveaux et mobilier inspectables à l’échelle. Volumes réservés, raccord au seed, butin, rencontres et services de campagne restent à terminer.</x:v>
      </x:c>
    </x:row>
    <x:row r="2661" ht="96" customHeight="1">
      <x:c r="A2661" s="115" t="str">
        <x:v>EXT-MONDE-T054-V06</x:v>
      </x:c>
      <x:c r="B2661" s="115" t="str">
        <x:v>EXT-MONDE-T054</x:v>
      </x:c>
      <x:c r="C2661" s="115" t="str">
        <x:v>Usines</x:v>
      </x:c>
      <x:c r="D2661" s="115" t="str">
        <x:v>Usine de mécanique</x:v>
      </x:c>
      <x:c r="E2661" s="115" t="n">
        <x:v>6</x:v>
      </x:c>
      <x:c r="F2661" s="115" t="str">
        <x:v>Inspection physique</x:v>
      </x:c>
      <x:c r="G2661" s="115" t="str">
        <x:v>1 niveaux ; 40 pièces ; 303 segments de mur ; 0 transitions. Inspection physique ; architecture complète encore ouverte.</x:v>
      </x:c>
      <x:c r="H2661" s="115" t="str">
        <x:v>L 350 ; l 320 ; hauteur 7,2 m ; choix de composition auteur ; dimensions réelles à documenter</x:v>
      </x:c>
      <x:c r="I2661" s="115" t="str">
        <x:v>À équilibrer</x:v>
      </x:c>
      <x:c r="J2661" s="115" t="str">
        <x:v>Non</x:v>
      </x:c>
      <x:c r="K2661" s="115" t="str">
        <x:v>Pièces décrites, murs, portes, niveaux et mobilier inspectables à l’échelle. Volumes réservés, raccord au seed, butin, rencontres et services de campagne restent à terminer.</x:v>
      </x:c>
    </x:row>
    <x:row r="2662" ht="96" customHeight="1">
      <x:c r="A2662" s="115" t="str">
        <x:v>EXT-MONDE-T054-V07</x:v>
      </x:c>
      <x:c r="B2662" s="115" t="str">
        <x:v>EXT-MONDE-T054</x:v>
      </x:c>
      <x:c r="C2662" s="115" t="str">
        <x:v>Usines</x:v>
      </x:c>
      <x:c r="D2662" s="115" t="str">
        <x:v>Usine de mécanique</x:v>
      </x:c>
      <x:c r="E2662" s="115" t="n">
        <x:v>7</x:v>
      </x:c>
      <x:c r="F2662" s="115" t="str">
        <x:v>Inspection physique</x:v>
      </x:c>
      <x:c r="G2662" s="115" t="str">
        <x:v>1 niveaux ; 40 pièces ; 303 segments de mur ; 0 transitions. Inspection physique ; architecture complète encore ouverte.</x:v>
      </x:c>
      <x:c r="H2662" s="115" t="str">
        <x:v>L 350 ; l 320 ; hauteur 7,2 m ; choix de composition auteur ; dimensions réelles à documenter</x:v>
      </x:c>
      <x:c r="I2662" s="115" t="str">
        <x:v>À équilibrer</x:v>
      </x:c>
      <x:c r="J2662" s="115" t="str">
        <x:v>Non</x:v>
      </x:c>
      <x:c r="K2662" s="115" t="str">
        <x:v>Pièces décrites, murs, portes, niveaux et mobilier inspectables à l’échelle. Volumes réservés, raccord au seed, butin, rencontres et services de campagne restent à terminer.</x:v>
      </x:c>
    </x:row>
    <x:row r="2663" ht="96" customHeight="1">
      <x:c r="A2663" s="115" t="str">
        <x:v>EXT-MONDE-T054-V08</x:v>
      </x:c>
      <x:c r="B2663" s="115" t="str">
        <x:v>EXT-MONDE-T054</x:v>
      </x:c>
      <x:c r="C2663" s="115" t="str">
        <x:v>Usines</x:v>
      </x:c>
      <x:c r="D2663" s="115" t="str">
        <x:v>Usine de mécanique</x:v>
      </x:c>
      <x:c r="E2663" s="115" t="n">
        <x:v>8</x:v>
      </x:c>
      <x:c r="F2663" s="115" t="str">
        <x:v>Inspection physique</x:v>
      </x:c>
      <x:c r="G2663" s="115" t="str">
        <x:v>1 niveaux ; 40 pièces ; 303 segments de mur ; 0 transitions. Inspection physique ; architecture complète encore ouverte.</x:v>
      </x:c>
      <x:c r="H2663" s="115" t="str">
        <x:v>L 350 ; l 320 ; hauteur 7,2 m ; choix de composition auteur ; dimensions réelles à documenter</x:v>
      </x:c>
      <x:c r="I2663" s="115" t="str">
        <x:v>À équilibrer</x:v>
      </x:c>
      <x:c r="J2663" s="115" t="str">
        <x:v>Non</x:v>
      </x:c>
      <x:c r="K2663" s="115" t="str">
        <x:v>Pièces décrites, murs, portes, niveaux et mobilier inspectables à l’échelle. Volumes réservés, raccord au seed, butin, rencontres et services de campagne restent à terminer.</x:v>
      </x:c>
    </x:row>
    <x:row r="2664" ht="96" customHeight="1">
      <x:c r="A2664" s="115" t="str">
        <x:v>EXT-MONDE-T054-V09</x:v>
      </x:c>
      <x:c r="B2664" s="115" t="str">
        <x:v>EXT-MONDE-T054</x:v>
      </x:c>
      <x:c r="C2664" s="115" t="str">
        <x:v>Usines</x:v>
      </x:c>
      <x:c r="D2664" s="115" t="str">
        <x:v>Usine de mécanique</x:v>
      </x:c>
      <x:c r="E2664" s="115" t="n">
        <x:v>9</x:v>
      </x:c>
      <x:c r="F2664" s="115" t="str">
        <x:v>Inspection physique</x:v>
      </x:c>
      <x:c r="G2664" s="115" t="str">
        <x:v>1 niveaux ; 40 pièces ; 303 segments de mur ; 0 transitions. Inspection physique ; architecture complète encore ouverte.</x:v>
      </x:c>
      <x:c r="H2664" s="115" t="str">
        <x:v>L 350 ; l 320 ; hauteur 7,2 m ; choix de composition auteur ; dimensions réelles à documenter</x:v>
      </x:c>
      <x:c r="I2664" s="115" t="str">
        <x:v>À équilibrer</x:v>
      </x:c>
      <x:c r="J2664" s="115" t="str">
        <x:v>Non</x:v>
      </x:c>
      <x:c r="K2664" s="115" t="str">
        <x:v>Pièces décrites, murs, portes, niveaux et mobilier inspectables à l’échelle. Volumes réservés, raccord au seed, butin, rencontres et services de campagne restent à terminer.</x:v>
      </x:c>
    </x:row>
    <x:row r="2665" ht="96" customHeight="1">
      <x:c r="A2665" s="115" t="str">
        <x:v>EXT-MONDE-T054-V10</x:v>
      </x:c>
      <x:c r="B2665" s="115" t="str">
        <x:v>EXT-MONDE-T054</x:v>
      </x:c>
      <x:c r="C2665" s="115" t="str">
        <x:v>Usines</x:v>
      </x:c>
      <x:c r="D2665" s="115" t="str">
        <x:v>Usine de mécanique</x:v>
      </x:c>
      <x:c r="E2665" s="115" t="n">
        <x:v>10</x:v>
      </x:c>
      <x:c r="F2665" s="115" t="str">
        <x:v>Inspection physique</x:v>
      </x:c>
      <x:c r="G2665" s="115" t="str">
        <x:v>1 niveaux ; 40 pièces ; 303 segments de mur ; 0 transitions. Inspection physique ; architecture complète encore ouverte.</x:v>
      </x:c>
      <x:c r="H2665" s="115" t="str">
        <x:v>L 350 ; l 320 ; hauteur 7,2 m ; choix de composition auteur ; dimensions réelles à documenter</x:v>
      </x:c>
      <x:c r="I2665" s="115" t="str">
        <x:v>À équilibrer</x:v>
      </x:c>
      <x:c r="J2665" s="115" t="str">
        <x:v>Non</x:v>
      </x:c>
      <x:c r="K2665" s="115" t="str">
        <x:v>Pièces décrites, murs, portes, niveaux et mobilier inspectables à l’échelle. Volumes réservés, raccord au seed, butin, rencontres et services de campagne restent à terminer.</x:v>
      </x:c>
    </x:row>
    <x:row r="2666" ht="96" customHeight="1">
      <x:c r="A2666" s="115" t="str">
        <x:v>EXT-MONDE-T054-V11</x:v>
      </x:c>
      <x:c r="B2666" s="115" t="str">
        <x:v>EXT-MONDE-T054</x:v>
      </x:c>
      <x:c r="C2666" s="115" t="str">
        <x:v>Usines</x:v>
      </x:c>
      <x:c r="D2666" s="115" t="str">
        <x:v>Usine de mécanique</x:v>
      </x:c>
      <x:c r="E2666" s="115" t="n">
        <x:v>11</x:v>
      </x:c>
      <x:c r="F2666" s="115" t="str">
        <x:v>Inspection physique</x:v>
      </x:c>
      <x:c r="G2666" s="115" t="str">
        <x:v>1 niveaux ; 40 pièces ; 303 segments de mur ; 0 transitions. Inspection physique ; architecture complète encore ouverte.</x:v>
      </x:c>
      <x:c r="H2666" s="115" t="str">
        <x:v>L 368 ; l 344 ; hauteur 7,45 m ; choix de composition auteur ; dimensions réelles à documenter</x:v>
      </x:c>
      <x:c r="I2666" s="115" t="str">
        <x:v>À équilibrer</x:v>
      </x:c>
      <x:c r="J2666" s="115" t="str">
        <x:v>Non</x:v>
      </x:c>
      <x:c r="K2666" s="115" t="str">
        <x:v>Pièces décrites, murs, portes, niveaux et mobilier inspectables à l’échelle. Volumes réservés, raccord au seed, butin, rencontres et services de campagne restent à terminer.</x:v>
      </x:c>
    </x:row>
    <x:row r="2667" ht="96" customHeight="1">
      <x:c r="A2667" s="115" t="str">
        <x:v>EXT-MONDE-T054-V12</x:v>
      </x:c>
      <x:c r="B2667" s="115" t="str">
        <x:v>EXT-MONDE-T054</x:v>
      </x:c>
      <x:c r="C2667" s="115" t="str">
        <x:v>Usines</x:v>
      </x:c>
      <x:c r="D2667" s="115" t="str">
        <x:v>Usine de mécanique</x:v>
      </x:c>
      <x:c r="E2667" s="115" t="n">
        <x:v>12</x:v>
      </x:c>
      <x:c r="F2667" s="115" t="str">
        <x:v>Inspection physique</x:v>
      </x:c>
      <x:c r="G2667" s="115" t="str">
        <x:v>1 niveaux ; 40 pièces ; 303 segments de mur ; 0 transitions. Inspection physique ; architecture complète encore ouverte.</x:v>
      </x:c>
      <x:c r="H2667" s="115" t="str">
        <x:v>L 368 ; l 344 ; hauteur 7,45 m ; choix de composition auteur ; dimensions réelles à documenter</x:v>
      </x:c>
      <x:c r="I2667" s="115" t="str">
        <x:v>À équilibrer</x:v>
      </x:c>
      <x:c r="J2667" s="115" t="str">
        <x:v>Non</x:v>
      </x:c>
      <x:c r="K2667" s="115" t="str">
        <x:v>Pièces décrites, murs, portes, niveaux et mobilier inspectables à l’échelle. Volumes réservés, raccord au seed, butin, rencontres et services de campagne restent à terminer.</x:v>
      </x:c>
    </x:row>
    <x:row r="2668" ht="96" customHeight="1">
      <x:c r="A2668" s="115" t="str">
        <x:v>EXT-MONDE-T054-V13</x:v>
      </x:c>
      <x:c r="B2668" s="115" t="str">
        <x:v>EXT-MONDE-T054</x:v>
      </x:c>
      <x:c r="C2668" s="115" t="str">
        <x:v>Usines</x:v>
      </x:c>
      <x:c r="D2668" s="115" t="str">
        <x:v>Usine de mécanique</x:v>
      </x:c>
      <x:c r="E2668" s="115" t="n">
        <x:v>13</x:v>
      </x:c>
      <x:c r="F2668" s="115" t="str">
        <x:v>Inspection physique</x:v>
      </x:c>
      <x:c r="G2668" s="115" t="str">
        <x:v>1 niveaux ; 40 pièces ; 303 segments de mur ; 0 transitions. Inspection physique ; architecture complète encore ouverte.</x:v>
      </x:c>
      <x:c r="H2668" s="115" t="str">
        <x:v>L 368 ; l 344 ; hauteur 7,45 m ; choix de composition auteur ; dimensions réelles à documenter</x:v>
      </x:c>
      <x:c r="I2668" s="115" t="str">
        <x:v>À équilibrer</x:v>
      </x:c>
      <x:c r="J2668" s="115" t="str">
        <x:v>Non</x:v>
      </x:c>
      <x:c r="K2668" s="115" t="str">
        <x:v>Pièces décrites, murs, portes, niveaux et mobilier inspectables à l’échelle. Volumes réservés, raccord au seed, butin, rencontres et services de campagne restent à terminer.</x:v>
      </x:c>
    </x:row>
    <x:row r="2669" ht="96" customHeight="1">
      <x:c r="A2669" s="115" t="str">
        <x:v>EXT-MONDE-T054-V14</x:v>
      </x:c>
      <x:c r="B2669" s="115" t="str">
        <x:v>EXT-MONDE-T054</x:v>
      </x:c>
      <x:c r="C2669" s="115" t="str">
        <x:v>Usines</x:v>
      </x:c>
      <x:c r="D2669" s="115" t="str">
        <x:v>Usine de mécanique</x:v>
      </x:c>
      <x:c r="E2669" s="115" t="n">
        <x:v>14</x:v>
      </x:c>
      <x:c r="F2669" s="115" t="str">
        <x:v>Inspection physique</x:v>
      </x:c>
      <x:c r="G2669" s="115" t="str">
        <x:v>1 niveaux ; 40 pièces ; 303 segments de mur ; 0 transitions. Inspection physique ; architecture complète encore ouverte.</x:v>
      </x:c>
      <x:c r="H2669" s="115" t="str">
        <x:v>L 368 ; l 344 ; hauteur 7,45 m ; choix de composition auteur ; dimensions réelles à documenter</x:v>
      </x:c>
      <x:c r="I2669" s="115" t="str">
        <x:v>À équilibrer</x:v>
      </x:c>
      <x:c r="J2669" s="115" t="str">
        <x:v>Non</x:v>
      </x:c>
      <x:c r="K2669" s="115" t="str">
        <x:v>Pièces décrites, murs, portes, niveaux et mobilier inspectables à l’échelle. Volumes réservés, raccord au seed, butin, rencontres et services de campagne restent à terminer.</x:v>
      </x:c>
    </x:row>
    <x:row r="2670" ht="96" customHeight="1">
      <x:c r="A2670" s="115" t="str">
        <x:v>EXT-MONDE-T054-V15</x:v>
      </x:c>
      <x:c r="B2670" s="115" t="str">
        <x:v>EXT-MONDE-T054</x:v>
      </x:c>
      <x:c r="C2670" s="115" t="str">
        <x:v>Usines</x:v>
      </x:c>
      <x:c r="D2670" s="115" t="str">
        <x:v>Usine de mécanique</x:v>
      </x:c>
      <x:c r="E2670" s="115" t="n">
        <x:v>15</x:v>
      </x:c>
      <x:c r="F2670" s="115" t="str">
        <x:v>Inspection physique</x:v>
      </x:c>
      <x:c r="G2670" s="115" t="str">
        <x:v>1 niveaux ; 40 pièces ; 303 segments de mur ; 0 transitions. Inspection physique ; architecture complète encore ouverte.</x:v>
      </x:c>
      <x:c r="H2670" s="115" t="str">
        <x:v>L 368 ; l 344 ; hauteur 7,45 m ; choix de composition auteur ; dimensions réelles à documenter</x:v>
      </x:c>
      <x:c r="I2670" s="115" t="str">
        <x:v>À équilibrer</x:v>
      </x:c>
      <x:c r="J2670" s="115" t="str">
        <x:v>Non</x:v>
      </x:c>
      <x:c r="K2670" s="115" t="str">
        <x:v>Pièces décrites, murs, portes, niveaux et mobilier inspectables à l’échelle. Volumes réservés, raccord au seed, butin, rencontres et services de campagne restent à terminer.</x:v>
      </x:c>
    </x:row>
    <x:row r="2671" ht="96" customHeight="1">
      <x:c r="A2671" s="115" t="str">
        <x:v>EXT-MONDE-T054-V16</x:v>
      </x:c>
      <x:c r="B2671" s="115" t="str">
        <x:v>EXT-MONDE-T054</x:v>
      </x:c>
      <x:c r="C2671" s="115" t="str">
        <x:v>Usines</x:v>
      </x:c>
      <x:c r="D2671" s="115" t="str">
        <x:v>Usine de mécanique</x:v>
      </x:c>
      <x:c r="E2671" s="115" t="n">
        <x:v>16</x:v>
      </x:c>
      <x:c r="F2671" s="115" t="str">
        <x:v>Inspection physique</x:v>
      </x:c>
      <x:c r="G2671" s="115" t="str">
        <x:v>1 niveaux ; 40 pièces ; 303 segments de mur ; 0 transitions. Inspection physique ; architecture complète encore ouverte.</x:v>
      </x:c>
      <x:c r="H2671" s="115" t="str">
        <x:v>L 368 ; l 344 ; hauteur 7,45 m ; choix de composition auteur ; dimensions réelles à documenter</x:v>
      </x:c>
      <x:c r="I2671" s="115" t="str">
        <x:v>À équilibrer</x:v>
      </x:c>
      <x:c r="J2671" s="115" t="str">
        <x:v>Non</x:v>
      </x:c>
      <x:c r="K2671" s="115" t="str">
        <x:v>Pièces décrites, murs, portes, niveaux et mobilier inspectables à l’échelle. Volumes réservés, raccord au seed, butin, rencontres et services de campagne restent à terminer.</x:v>
      </x:c>
    </x:row>
    <x:row r="2672" ht="96" customHeight="1">
      <x:c r="A2672" s="115" t="str">
        <x:v>EXT-MONDE-T054-V17</x:v>
      </x:c>
      <x:c r="B2672" s="115" t="str">
        <x:v>EXT-MONDE-T054</x:v>
      </x:c>
      <x:c r="C2672" s="115" t="str">
        <x:v>Usines</x:v>
      </x:c>
      <x:c r="D2672" s="115" t="str">
        <x:v>Usine de mécanique</x:v>
      </x:c>
      <x:c r="E2672" s="115" t="n">
        <x:v>17</x:v>
      </x:c>
      <x:c r="F2672" s="115" t="str">
        <x:v>Inspection physique</x:v>
      </x:c>
      <x:c r="G2672" s="115" t="str">
        <x:v>1 niveaux ; 40 pièces ; 303 segments de mur ; 0 transitions. Inspection physique ; architecture complète encore ouverte.</x:v>
      </x:c>
      <x:c r="H2672" s="115" t="str">
        <x:v>L 368 ; l 344 ; hauteur 7,45 m ; choix de composition auteur ; dimensions réelles à documenter</x:v>
      </x:c>
      <x:c r="I2672" s="115" t="str">
        <x:v>À équilibrer</x:v>
      </x:c>
      <x:c r="J2672" s="115" t="str">
        <x:v>Non</x:v>
      </x:c>
      <x:c r="K2672" s="115" t="str">
        <x:v>Pièces décrites, murs, portes, niveaux et mobilier inspectables à l’échelle. Volumes réservés, raccord au seed, butin, rencontres et services de campagne restent à terminer.</x:v>
      </x:c>
    </x:row>
    <x:row r="2673" ht="96" customHeight="1">
      <x:c r="A2673" s="115" t="str">
        <x:v>EXT-MONDE-T054-V18</x:v>
      </x:c>
      <x:c r="B2673" s="115" t="str">
        <x:v>EXT-MONDE-T054</x:v>
      </x:c>
      <x:c r="C2673" s="115" t="str">
        <x:v>Usines</x:v>
      </x:c>
      <x:c r="D2673" s="115" t="str">
        <x:v>Usine de mécanique</x:v>
      </x:c>
      <x:c r="E2673" s="115" t="n">
        <x:v>18</x:v>
      </x:c>
      <x:c r="F2673" s="115" t="str">
        <x:v>Inspection physique</x:v>
      </x:c>
      <x:c r="G2673" s="115" t="str">
        <x:v>1 niveaux ; 40 pièces ; 303 segments de mur ; 0 transitions. Inspection physique ; architecture complète encore ouverte.</x:v>
      </x:c>
      <x:c r="H2673" s="115" t="str">
        <x:v>L 368 ; l 344 ; hauteur 7,45 m ; choix de composition auteur ; dimensions réelles à documenter</x:v>
      </x:c>
      <x:c r="I2673" s="115" t="str">
        <x:v>À équilibrer</x:v>
      </x:c>
      <x:c r="J2673" s="115" t="str">
        <x:v>Non</x:v>
      </x:c>
      <x:c r="K2673" s="115" t="str">
        <x:v>Pièces décrites, murs, portes, niveaux et mobilier inspectables à l’échelle. Volumes réservés, raccord au seed, butin, rencontres et services de campagne restent à terminer.</x:v>
      </x:c>
    </x:row>
    <x:row r="2674" ht="96" customHeight="1">
      <x:c r="A2674" s="115" t="str">
        <x:v>EXT-MONDE-T054-V19</x:v>
      </x:c>
      <x:c r="B2674" s="115" t="str">
        <x:v>EXT-MONDE-T054</x:v>
      </x:c>
      <x:c r="C2674" s="115" t="str">
        <x:v>Usines</x:v>
      </x:c>
      <x:c r="D2674" s="115" t="str">
        <x:v>Usine de mécanique</x:v>
      </x:c>
      <x:c r="E2674" s="115" t="n">
        <x:v>19</x:v>
      </x:c>
      <x:c r="F2674" s="115" t="str">
        <x:v>Inspection physique</x:v>
      </x:c>
      <x:c r="G2674" s="115" t="str">
        <x:v>1 niveaux ; 40 pièces ; 303 segments de mur ; 0 transitions. Inspection physique ; architecture complète encore ouverte.</x:v>
      </x:c>
      <x:c r="H2674" s="115" t="str">
        <x:v>L 368 ; l 344 ; hauteur 7,45 m ; choix de composition auteur ; dimensions réelles à documenter</x:v>
      </x:c>
      <x:c r="I2674" s="115" t="str">
        <x:v>À équilibrer</x:v>
      </x:c>
      <x:c r="J2674" s="115" t="str">
        <x:v>Non</x:v>
      </x:c>
      <x:c r="K2674" s="115" t="str">
        <x:v>Pièces décrites, murs, portes, niveaux et mobilier inspectables à l’échelle. Volumes réservés, raccord au seed, butin, rencontres et services de campagne restent à terminer.</x:v>
      </x:c>
    </x:row>
    <x:row r="2675" ht="96" customHeight="1">
      <x:c r="A2675" s="115" t="str">
        <x:v>EXT-MONDE-T054-V20</x:v>
      </x:c>
      <x:c r="B2675" s="115" t="str">
        <x:v>EXT-MONDE-T054</x:v>
      </x:c>
      <x:c r="C2675" s="115" t="str">
        <x:v>Usines</x:v>
      </x:c>
      <x:c r="D2675" s="115" t="str">
        <x:v>Usine de mécanique</x:v>
      </x:c>
      <x:c r="E2675" s="115" t="n">
        <x:v>20</x:v>
      </x:c>
      <x:c r="F2675" s="115" t="str">
        <x:v>Inspection physique</x:v>
      </x:c>
      <x:c r="G2675" s="115" t="str">
        <x:v>1 niveaux ; 40 pièces ; 303 segments de mur ; 0 transitions. Inspection physique ; architecture complète encore ouverte.</x:v>
      </x:c>
      <x:c r="H2675" s="115" t="str">
        <x:v>L 368 ; l 344 ; hauteur 7,45 m ; choix de composition auteur ; dimensions réelles à documenter</x:v>
      </x:c>
      <x:c r="I2675" s="115" t="str">
        <x:v>À équilibrer</x:v>
      </x:c>
      <x:c r="J2675" s="115" t="str">
        <x:v>Non</x:v>
      </x:c>
      <x:c r="K2675" s="115" t="str">
        <x:v>Pièces décrites, murs, portes, niveaux et mobilier inspectables à l’échelle. Volumes réservés, raccord au seed, butin, rencontres et services de campagne restent à terminer.</x:v>
      </x:c>
    </x:row>
    <x:row r="2676" ht="96" customHeight="1">
      <x:c r="A2676" s="115" t="str">
        <x:v>EXT-MONDE-T054-V21</x:v>
      </x:c>
      <x:c r="B2676" s="115" t="str">
        <x:v>EXT-MONDE-T054</x:v>
      </x:c>
      <x:c r="C2676" s="115" t="str">
        <x:v>Usines</x:v>
      </x:c>
      <x:c r="D2676" s="115" t="str">
        <x:v>Usine de mécanique</x:v>
      </x:c>
      <x:c r="E2676" s="115" t="n">
        <x:v>21</x:v>
      </x:c>
      <x:c r="F2676" s="115" t="str">
        <x:v>Inspection physique</x:v>
      </x:c>
      <x:c r="G2676" s="115" t="str">
        <x:v>1 niveaux ; 40 pièces ; 303 segments de mur ; 0 transitions. Inspection physique ; architecture complète encore ouverte.</x:v>
      </x:c>
      <x:c r="H2676" s="115" t="str">
        <x:v>L 386 ; l 368 ; hauteur 7,7 m ; choix de composition auteur ; dimensions réelles à documenter</x:v>
      </x:c>
      <x:c r="I2676" s="115" t="str">
        <x:v>À équilibrer</x:v>
      </x:c>
      <x:c r="J2676" s="115" t="str">
        <x:v>Non</x:v>
      </x:c>
      <x:c r="K2676" s="115" t="str">
        <x:v>Pièces décrites, murs, portes, niveaux et mobilier inspectables à l’échelle. Volumes réservés, raccord au seed, butin, rencontres et services de campagne restent à terminer.</x:v>
      </x:c>
    </x:row>
    <x:row r="2677" ht="96" customHeight="1">
      <x:c r="A2677" s="115" t="str">
        <x:v>EXT-MONDE-T054-V22</x:v>
      </x:c>
      <x:c r="B2677" s="115" t="str">
        <x:v>EXT-MONDE-T054</x:v>
      </x:c>
      <x:c r="C2677" s="115" t="str">
        <x:v>Usines</x:v>
      </x:c>
      <x:c r="D2677" s="115" t="str">
        <x:v>Usine de mécanique</x:v>
      </x:c>
      <x:c r="E2677" s="115" t="n">
        <x:v>22</x:v>
      </x:c>
      <x:c r="F2677" s="115" t="str">
        <x:v>Inspection physique</x:v>
      </x:c>
      <x:c r="G2677" s="115" t="str">
        <x:v>1 niveaux ; 40 pièces ; 303 segments de mur ; 0 transitions. Inspection physique ; architecture complète encore ouverte.</x:v>
      </x:c>
      <x:c r="H2677" s="115" t="str">
        <x:v>L 386 ; l 368 ; hauteur 7,7 m ; choix de composition auteur ; dimensions réelles à documenter</x:v>
      </x:c>
      <x:c r="I2677" s="115" t="str">
        <x:v>À équilibrer</x:v>
      </x:c>
      <x:c r="J2677" s="115" t="str">
        <x:v>Non</x:v>
      </x:c>
      <x:c r="K2677" s="115" t="str">
        <x:v>Pièces décrites, murs, portes, niveaux et mobilier inspectables à l’échelle. Volumes réservés, raccord au seed, butin, rencontres et services de campagne restent à terminer.</x:v>
      </x:c>
    </x:row>
    <x:row r="2678" ht="96" customHeight="1">
      <x:c r="A2678" s="115" t="str">
        <x:v>EXT-MONDE-T054-V23</x:v>
      </x:c>
      <x:c r="B2678" s="115" t="str">
        <x:v>EXT-MONDE-T054</x:v>
      </x:c>
      <x:c r="C2678" s="115" t="str">
        <x:v>Usines</x:v>
      </x:c>
      <x:c r="D2678" s="115" t="str">
        <x:v>Usine de mécanique</x:v>
      </x:c>
      <x:c r="E2678" s="115" t="n">
        <x:v>23</x:v>
      </x:c>
      <x:c r="F2678" s="115" t="str">
        <x:v>Inspection physique</x:v>
      </x:c>
      <x:c r="G2678" s="115" t="str">
        <x:v>1 niveaux ; 40 pièces ; 303 segments de mur ; 0 transitions. Inspection physique ; architecture complète encore ouverte.</x:v>
      </x:c>
      <x:c r="H2678" s="115" t="str">
        <x:v>L 386 ; l 368 ; hauteur 7,7 m ; choix de composition auteur ; dimensions réelles à documenter</x:v>
      </x:c>
      <x:c r="I2678" s="115" t="str">
        <x:v>À équilibrer</x:v>
      </x:c>
      <x:c r="J2678" s="115" t="str">
        <x:v>Non</x:v>
      </x:c>
      <x:c r="K2678" s="115" t="str">
        <x:v>Pièces décrites, murs, portes, niveaux et mobilier inspectables à l’échelle. Volumes réservés, raccord au seed, butin, rencontres et services de campagne restent à terminer.</x:v>
      </x:c>
    </x:row>
    <x:row r="2679" ht="96" customHeight="1">
      <x:c r="A2679" s="115" t="str">
        <x:v>EXT-MONDE-T054-V24</x:v>
      </x:c>
      <x:c r="B2679" s="115" t="str">
        <x:v>EXT-MONDE-T054</x:v>
      </x:c>
      <x:c r="C2679" s="115" t="str">
        <x:v>Usines</x:v>
      </x:c>
      <x:c r="D2679" s="115" t="str">
        <x:v>Usine de mécanique</x:v>
      </x:c>
      <x:c r="E2679" s="115" t="n">
        <x:v>24</x:v>
      </x:c>
      <x:c r="F2679" s="115" t="str">
        <x:v>Inspection physique</x:v>
      </x:c>
      <x:c r="G2679" s="115" t="str">
        <x:v>1 niveaux ; 40 pièces ; 303 segments de mur ; 0 transitions. Inspection physique ; architecture complète encore ouverte.</x:v>
      </x:c>
      <x:c r="H2679" s="115" t="str">
        <x:v>L 386 ; l 368 ; hauteur 7,7 m ; choix de composition auteur ; dimensions réelles à documenter</x:v>
      </x:c>
      <x:c r="I2679" s="115" t="str">
        <x:v>À équilibrer</x:v>
      </x:c>
      <x:c r="J2679" s="115" t="str">
        <x:v>Non</x:v>
      </x:c>
      <x:c r="K2679" s="115" t="str">
        <x:v>Pièces décrites, murs, portes, niveaux et mobilier inspectables à l’échelle. Volumes réservés, raccord au seed, butin, rencontres et services de campagne restent à terminer.</x:v>
      </x:c>
    </x:row>
    <x:row r="2680" ht="96" customHeight="1">
      <x:c r="A2680" s="115" t="str">
        <x:v>EXT-MONDE-T054-V25</x:v>
      </x:c>
      <x:c r="B2680" s="115" t="str">
        <x:v>EXT-MONDE-T054</x:v>
      </x:c>
      <x:c r="C2680" s="115" t="str">
        <x:v>Usines</x:v>
      </x:c>
      <x:c r="D2680" s="115" t="str">
        <x:v>Usine de mécanique</x:v>
      </x:c>
      <x:c r="E2680" s="115" t="n">
        <x:v>25</x:v>
      </x:c>
      <x:c r="F2680" s="115" t="str">
        <x:v>Inspection physique</x:v>
      </x:c>
      <x:c r="G2680" s="115" t="str">
        <x:v>1 niveaux ; 40 pièces ; 303 segments de mur ; 0 transitions. Inspection physique ; architecture complète encore ouverte.</x:v>
      </x:c>
      <x:c r="H2680" s="115" t="str">
        <x:v>L 386 ; l 368 ; hauteur 7,7 m ; choix de composition auteur ; dimensions réelles à documenter</x:v>
      </x:c>
      <x:c r="I2680" s="115" t="str">
        <x:v>À équilibrer</x:v>
      </x:c>
      <x:c r="J2680" s="115" t="str">
        <x:v>Non</x:v>
      </x:c>
      <x:c r="K2680" s="115" t="str">
        <x:v>Pièces décrites, murs, portes, niveaux et mobilier inspectables à l’échelle. Volumes réservés, raccord au seed, butin, rencontres et services de campagne restent à terminer.</x:v>
      </x:c>
    </x:row>
    <x:row r="2681" ht="96" customHeight="1">
      <x:c r="A2681" s="115" t="str">
        <x:v>EXT-MONDE-T054-V26</x:v>
      </x:c>
      <x:c r="B2681" s="115" t="str">
        <x:v>EXT-MONDE-T054</x:v>
      </x:c>
      <x:c r="C2681" s="115" t="str">
        <x:v>Usines</x:v>
      </x:c>
      <x:c r="D2681" s="115" t="str">
        <x:v>Usine de mécanique</x:v>
      </x:c>
      <x:c r="E2681" s="115" t="n">
        <x:v>26</x:v>
      </x:c>
      <x:c r="F2681" s="115" t="str">
        <x:v>Inspection physique</x:v>
      </x:c>
      <x:c r="G2681" s="115" t="str">
        <x:v>1 niveaux ; 40 pièces ; 303 segments de mur ; 0 transitions. Inspection physique ; architecture complète encore ouverte.</x:v>
      </x:c>
      <x:c r="H2681" s="115" t="str">
        <x:v>L 386 ; l 368 ; hauteur 7,7 m ; choix de composition auteur ; dimensions réelles à documenter</x:v>
      </x:c>
      <x:c r="I2681" s="115" t="str">
        <x:v>À équilibrer</x:v>
      </x:c>
      <x:c r="J2681" s="115" t="str">
        <x:v>Non</x:v>
      </x:c>
      <x:c r="K2681" s="115" t="str">
        <x:v>Pièces décrites, murs, portes, niveaux et mobilier inspectables à l’échelle. Volumes réservés, raccord au seed, butin, rencontres et services de campagne restent à terminer.</x:v>
      </x:c>
    </x:row>
    <x:row r="2682" ht="96" customHeight="1">
      <x:c r="A2682" s="115" t="str">
        <x:v>EXT-MONDE-T054-V27</x:v>
      </x:c>
      <x:c r="B2682" s="115" t="str">
        <x:v>EXT-MONDE-T054</x:v>
      </x:c>
      <x:c r="C2682" s="115" t="str">
        <x:v>Usines</x:v>
      </x:c>
      <x:c r="D2682" s="115" t="str">
        <x:v>Usine de mécanique</x:v>
      </x:c>
      <x:c r="E2682" s="115" t="n">
        <x:v>27</x:v>
      </x:c>
      <x:c r="F2682" s="115" t="str">
        <x:v>Inspection physique</x:v>
      </x:c>
      <x:c r="G2682" s="115" t="str">
        <x:v>1 niveaux ; 40 pièces ; 303 segments de mur ; 0 transitions. Inspection physique ; architecture complète encore ouverte.</x:v>
      </x:c>
      <x:c r="H2682" s="115" t="str">
        <x:v>L 386 ; l 368 ; hauteur 7,7 m ; choix de composition auteur ; dimensions réelles à documenter</x:v>
      </x:c>
      <x:c r="I2682" s="115" t="str">
        <x:v>À équilibrer</x:v>
      </x:c>
      <x:c r="J2682" s="115" t="str">
        <x:v>Non</x:v>
      </x:c>
      <x:c r="K2682" s="115" t="str">
        <x:v>Pièces décrites, murs, portes, niveaux et mobilier inspectables à l’échelle. Volumes réservés, raccord au seed, butin, rencontres et services de campagne restent à terminer.</x:v>
      </x:c>
    </x:row>
    <x:row r="2683" ht="96" customHeight="1">
      <x:c r="A2683" s="115" t="str">
        <x:v>EXT-MONDE-T054-V28</x:v>
      </x:c>
      <x:c r="B2683" s="115" t="str">
        <x:v>EXT-MONDE-T054</x:v>
      </x:c>
      <x:c r="C2683" s="115" t="str">
        <x:v>Usines</x:v>
      </x:c>
      <x:c r="D2683" s="115" t="str">
        <x:v>Usine de mécanique</x:v>
      </x:c>
      <x:c r="E2683" s="115" t="n">
        <x:v>28</x:v>
      </x:c>
      <x:c r="F2683" s="115" t="str">
        <x:v>Inspection physique</x:v>
      </x:c>
      <x:c r="G2683" s="115" t="str">
        <x:v>1 niveaux ; 40 pièces ; 303 segments de mur ; 0 transitions. Inspection physique ; architecture complète encore ouverte.</x:v>
      </x:c>
      <x:c r="H2683" s="115" t="str">
        <x:v>L 386 ; l 368 ; hauteur 7,7 m ; choix de composition auteur ; dimensions réelles à documenter</x:v>
      </x:c>
      <x:c r="I2683" s="115" t="str">
        <x:v>À équilibrer</x:v>
      </x:c>
      <x:c r="J2683" s="115" t="str">
        <x:v>Non</x:v>
      </x:c>
      <x:c r="K2683" s="115" t="str">
        <x:v>Pièces décrites, murs, portes, niveaux et mobilier inspectables à l’échelle. Volumes réservés, raccord au seed, butin, rencontres et services de campagne restent à terminer.</x:v>
      </x:c>
    </x:row>
    <x:row r="2684" ht="96" customHeight="1">
      <x:c r="A2684" s="115" t="str">
        <x:v>EXT-MONDE-T054-V29</x:v>
      </x:c>
      <x:c r="B2684" s="115" t="str">
        <x:v>EXT-MONDE-T054</x:v>
      </x:c>
      <x:c r="C2684" s="115" t="str">
        <x:v>Usines</x:v>
      </x:c>
      <x:c r="D2684" s="115" t="str">
        <x:v>Usine de mécanique</x:v>
      </x:c>
      <x:c r="E2684" s="115" t="n">
        <x:v>29</x:v>
      </x:c>
      <x:c r="F2684" s="115" t="str">
        <x:v>Inspection physique</x:v>
      </x:c>
      <x:c r="G2684" s="115" t="str">
        <x:v>1 niveaux ; 40 pièces ; 303 segments de mur ; 0 transitions. Inspection physique ; architecture complète encore ouverte.</x:v>
      </x:c>
      <x:c r="H2684" s="115" t="str">
        <x:v>L 386 ; l 368 ; hauteur 7,7 m ; choix de composition auteur ; dimensions réelles à documenter</x:v>
      </x:c>
      <x:c r="I2684" s="115" t="str">
        <x:v>À équilibrer</x:v>
      </x:c>
      <x:c r="J2684" s="115" t="str">
        <x:v>Non</x:v>
      </x:c>
      <x:c r="K2684" s="115" t="str">
        <x:v>Pièces décrites, murs, portes, niveaux et mobilier inspectables à l’échelle. Volumes réservés, raccord au seed, butin, rencontres et services de campagne restent à terminer.</x:v>
      </x:c>
    </x:row>
    <x:row r="2685" ht="96" customHeight="1">
      <x:c r="A2685" s="115" t="str">
        <x:v>EXT-MONDE-T054-V30</x:v>
      </x:c>
      <x:c r="B2685" s="115" t="str">
        <x:v>EXT-MONDE-T054</x:v>
      </x:c>
      <x:c r="C2685" s="115" t="str">
        <x:v>Usines</x:v>
      </x:c>
      <x:c r="D2685" s="115" t="str">
        <x:v>Usine de mécanique</x:v>
      </x:c>
      <x:c r="E2685" s="115" t="n">
        <x:v>30</x:v>
      </x:c>
      <x:c r="F2685" s="115" t="str">
        <x:v>Inspection physique</x:v>
      </x:c>
      <x:c r="G2685" s="115" t="str">
        <x:v>1 niveaux ; 40 pièces ; 303 segments de mur ; 0 transitions. Inspection physique ; architecture complète encore ouverte.</x:v>
      </x:c>
      <x:c r="H2685" s="115" t="str">
        <x:v>L 386 ; l 368 ; hauteur 7,7 m ; choix de composition auteur ; dimensions réelles à documenter</x:v>
      </x:c>
      <x:c r="I2685" s="115" t="str">
        <x:v>À équilibrer</x:v>
      </x:c>
      <x:c r="J2685" s="115" t="str">
        <x:v>Non</x:v>
      </x:c>
      <x:c r="K2685" s="115" t="str">
        <x:v>Pièces décrites, murs, portes, niveaux et mobilier inspectables à l’échelle. Volumes réservés, raccord au seed, butin, rencontres et services de campagne restent à terminer.</x:v>
      </x:c>
    </x:row>
    <x:row r="2686" ht="96" customHeight="1">
      <x:c r="A2686" s="115" t="str">
        <x:v>EXT-MONDE-T054-V31</x:v>
      </x:c>
      <x:c r="B2686" s="115" t="str">
        <x:v>EXT-MONDE-T054</x:v>
      </x:c>
      <x:c r="C2686" s="115" t="str">
        <x:v>Usines</x:v>
      </x:c>
      <x:c r="D2686" s="115" t="str">
        <x:v>Usine de mécanique</x:v>
      </x:c>
      <x:c r="E2686" s="115" t="n">
        <x:v>31</x:v>
      </x:c>
      <x:c r="F2686" s="115" t="str">
        <x:v>Inspection physique</x:v>
      </x:c>
      <x:c r="G2686" s="115" t="str">
        <x:v>1 niveaux ; 40 pièces ; 303 segments de mur ; 0 transitions. Inspection physique ; architecture complète encore ouverte.</x:v>
      </x:c>
      <x:c r="H2686" s="115" t="str">
        <x:v>L 404 ; l 392 ; hauteur 7,95 m ; choix de composition auteur ; dimensions réelles à documenter</x:v>
      </x:c>
      <x:c r="I2686" s="115" t="str">
        <x:v>À équilibrer</x:v>
      </x:c>
      <x:c r="J2686" s="115" t="str">
        <x:v>Non</x:v>
      </x:c>
      <x:c r="K2686" s="115" t="str">
        <x:v>Pièces décrites, murs, portes, niveaux et mobilier inspectables à l’échelle. Volumes réservés, raccord au seed, butin, rencontres et services de campagne restent à terminer.</x:v>
      </x:c>
    </x:row>
    <x:row r="2687" ht="96" customHeight="1">
      <x:c r="A2687" s="115" t="str">
        <x:v>EXT-MONDE-T054-V32</x:v>
      </x:c>
      <x:c r="B2687" s="115" t="str">
        <x:v>EXT-MONDE-T054</x:v>
      </x:c>
      <x:c r="C2687" s="115" t="str">
        <x:v>Usines</x:v>
      </x:c>
      <x:c r="D2687" s="115" t="str">
        <x:v>Usine de mécanique</x:v>
      </x:c>
      <x:c r="E2687" s="115" t="n">
        <x:v>32</x:v>
      </x:c>
      <x:c r="F2687" s="115" t="str">
        <x:v>Inspection physique</x:v>
      </x:c>
      <x:c r="G2687" s="115" t="str">
        <x:v>1 niveaux ; 40 pièces ; 303 segments de mur ; 0 transitions. Inspection physique ; architecture complète encore ouverte.</x:v>
      </x:c>
      <x:c r="H2687" s="115" t="str">
        <x:v>L 404 ; l 392 ; hauteur 7,95 m ; choix de composition auteur ; dimensions réelles à documenter</x:v>
      </x:c>
      <x:c r="I2687" s="115" t="str">
        <x:v>À équilibrer</x:v>
      </x:c>
      <x:c r="J2687" s="115" t="str">
        <x:v>Non</x:v>
      </x:c>
      <x:c r="K2687" s="115" t="str">
        <x:v>Pièces décrites, murs, portes, niveaux et mobilier inspectables à l’échelle. Volumes réservés, raccord au seed, butin, rencontres et services de campagne restent à terminer.</x:v>
      </x:c>
    </x:row>
    <x:row r="2688" ht="96" customHeight="1">
      <x:c r="A2688" s="115" t="str">
        <x:v>EXT-MONDE-T054-V33</x:v>
      </x:c>
      <x:c r="B2688" s="115" t="str">
        <x:v>EXT-MONDE-T054</x:v>
      </x:c>
      <x:c r="C2688" s="115" t="str">
        <x:v>Usines</x:v>
      </x:c>
      <x:c r="D2688" s="115" t="str">
        <x:v>Usine de mécanique</x:v>
      </x:c>
      <x:c r="E2688" s="115" t="n">
        <x:v>33</x:v>
      </x:c>
      <x:c r="F2688" s="115" t="str">
        <x:v>Inspection physique</x:v>
      </x:c>
      <x:c r="G2688" s="115" t="str">
        <x:v>1 niveaux ; 40 pièces ; 303 segments de mur ; 0 transitions. Inspection physique ; architecture complète encore ouverte.</x:v>
      </x:c>
      <x:c r="H2688" s="115" t="str">
        <x:v>L 404 ; l 392 ; hauteur 7,95 m ; choix de composition auteur ; dimensions réelles à documenter</x:v>
      </x:c>
      <x:c r="I2688" s="115" t="str">
        <x:v>À équilibrer</x:v>
      </x:c>
      <x:c r="J2688" s="115" t="str">
        <x:v>Non</x:v>
      </x:c>
      <x:c r="K2688" s="115" t="str">
        <x:v>Pièces décrites, murs, portes, niveaux et mobilier inspectables à l’échelle. Volumes réservés, raccord au seed, butin, rencontres et services de campagne restent à terminer.</x:v>
      </x:c>
    </x:row>
    <x:row r="2689" ht="96" customHeight="1">
      <x:c r="A2689" s="115" t="str">
        <x:v>EXT-MONDE-T054-V34</x:v>
      </x:c>
      <x:c r="B2689" s="115" t="str">
        <x:v>EXT-MONDE-T054</x:v>
      </x:c>
      <x:c r="C2689" s="115" t="str">
        <x:v>Usines</x:v>
      </x:c>
      <x:c r="D2689" s="115" t="str">
        <x:v>Usine de mécanique</x:v>
      </x:c>
      <x:c r="E2689" s="115" t="n">
        <x:v>34</x:v>
      </x:c>
      <x:c r="F2689" s="115" t="str">
        <x:v>Inspection physique</x:v>
      </x:c>
      <x:c r="G2689" s="115" t="str">
        <x:v>1 niveaux ; 40 pièces ; 303 segments de mur ; 0 transitions. Inspection physique ; architecture complète encore ouverte.</x:v>
      </x:c>
      <x:c r="H2689" s="115" t="str">
        <x:v>L 404 ; l 392 ; hauteur 7,95 m ; choix de composition auteur ; dimensions réelles à documenter</x:v>
      </x:c>
      <x:c r="I2689" s="115" t="str">
        <x:v>À équilibrer</x:v>
      </x:c>
      <x:c r="J2689" s="115" t="str">
        <x:v>Non</x:v>
      </x:c>
      <x:c r="K2689" s="115" t="str">
        <x:v>Pièces décrites, murs, portes, niveaux et mobilier inspectables à l’échelle. Volumes réservés, raccord au seed, butin, rencontres et services de campagne restent à terminer.</x:v>
      </x:c>
    </x:row>
    <x:row r="2690" ht="96" customHeight="1">
      <x:c r="A2690" s="115" t="str">
        <x:v>EXT-MONDE-T054-V35</x:v>
      </x:c>
      <x:c r="B2690" s="115" t="str">
        <x:v>EXT-MONDE-T054</x:v>
      </x:c>
      <x:c r="C2690" s="115" t="str">
        <x:v>Usines</x:v>
      </x:c>
      <x:c r="D2690" s="115" t="str">
        <x:v>Usine de mécanique</x:v>
      </x:c>
      <x:c r="E2690" s="115" t="n">
        <x:v>35</x:v>
      </x:c>
      <x:c r="F2690" s="115" t="str">
        <x:v>Inspection physique</x:v>
      </x:c>
      <x:c r="G2690" s="115" t="str">
        <x:v>1 niveaux ; 40 pièces ; 303 segments de mur ; 0 transitions. Inspection physique ; architecture complète encore ouverte.</x:v>
      </x:c>
      <x:c r="H2690" s="115" t="str">
        <x:v>L 404 ; l 392 ; hauteur 7,95 m ; choix de composition auteur ; dimensions réelles à documenter</x:v>
      </x:c>
      <x:c r="I2690" s="115" t="str">
        <x:v>À équilibrer</x:v>
      </x:c>
      <x:c r="J2690" s="115" t="str">
        <x:v>Non</x:v>
      </x:c>
      <x:c r="K2690" s="115" t="str">
        <x:v>Pièces décrites, murs, portes, niveaux et mobilier inspectables à l’échelle. Volumes réservés, raccord au seed, butin, rencontres et services de campagne restent à terminer.</x:v>
      </x:c>
    </x:row>
    <x:row r="2691" ht="96" customHeight="1">
      <x:c r="A2691" s="115" t="str">
        <x:v>EXT-MONDE-T054-V36</x:v>
      </x:c>
      <x:c r="B2691" s="115" t="str">
        <x:v>EXT-MONDE-T054</x:v>
      </x:c>
      <x:c r="C2691" s="115" t="str">
        <x:v>Usines</x:v>
      </x:c>
      <x:c r="D2691" s="115" t="str">
        <x:v>Usine de mécanique</x:v>
      </x:c>
      <x:c r="E2691" s="115" t="n">
        <x:v>36</x:v>
      </x:c>
      <x:c r="F2691" s="115" t="str">
        <x:v>Inspection physique</x:v>
      </x:c>
      <x:c r="G2691" s="115" t="str">
        <x:v>1 niveaux ; 40 pièces ; 303 segments de mur ; 0 transitions. Inspection physique ; architecture complète encore ouverte.</x:v>
      </x:c>
      <x:c r="H2691" s="115" t="str">
        <x:v>L 404 ; l 392 ; hauteur 7,95 m ; choix de composition auteur ; dimensions réelles à documenter</x:v>
      </x:c>
      <x:c r="I2691" s="115" t="str">
        <x:v>À équilibrer</x:v>
      </x:c>
      <x:c r="J2691" s="115" t="str">
        <x:v>Non</x:v>
      </x:c>
      <x:c r="K2691" s="115" t="str">
        <x:v>Pièces décrites, murs, portes, niveaux et mobilier inspectables à l’échelle. Volumes réservés, raccord au seed, butin, rencontres et services de campagne restent à terminer.</x:v>
      </x:c>
    </x:row>
    <x:row r="2692" ht="96" customHeight="1">
      <x:c r="A2692" s="115" t="str">
        <x:v>EXT-MONDE-T054-V37</x:v>
      </x:c>
      <x:c r="B2692" s="115" t="str">
        <x:v>EXT-MONDE-T054</x:v>
      </x:c>
      <x:c r="C2692" s="115" t="str">
        <x:v>Usines</x:v>
      </x:c>
      <x:c r="D2692" s="115" t="str">
        <x:v>Usine de mécanique</x:v>
      </x:c>
      <x:c r="E2692" s="115" t="n">
        <x:v>37</x:v>
      </x:c>
      <x:c r="F2692" s="115" t="str">
        <x:v>Inspection physique</x:v>
      </x:c>
      <x:c r="G2692" s="115" t="str">
        <x:v>1 niveaux ; 40 pièces ; 303 segments de mur ; 0 transitions. Inspection physique ; architecture complète encore ouverte.</x:v>
      </x:c>
      <x:c r="H2692" s="115" t="str">
        <x:v>L 404 ; l 392 ; hauteur 7,95 m ; choix de composition auteur ; dimensions réelles à documenter</x:v>
      </x:c>
      <x:c r="I2692" s="115" t="str">
        <x:v>À équilibrer</x:v>
      </x:c>
      <x:c r="J2692" s="115" t="str">
        <x:v>Non</x:v>
      </x:c>
      <x:c r="K2692" s="115" t="str">
        <x:v>Pièces décrites, murs, portes, niveaux et mobilier inspectables à l’échelle. Volumes réservés, raccord au seed, butin, rencontres et services de campagne restent à terminer.</x:v>
      </x:c>
    </x:row>
    <x:row r="2693" ht="96" customHeight="1">
      <x:c r="A2693" s="115" t="str">
        <x:v>EXT-MONDE-T054-V38</x:v>
      </x:c>
      <x:c r="B2693" s="115" t="str">
        <x:v>EXT-MONDE-T054</x:v>
      </x:c>
      <x:c r="C2693" s="115" t="str">
        <x:v>Usines</x:v>
      </x:c>
      <x:c r="D2693" s="115" t="str">
        <x:v>Usine de mécanique</x:v>
      </x:c>
      <x:c r="E2693" s="115" t="n">
        <x:v>38</x:v>
      </x:c>
      <x:c r="F2693" s="115" t="str">
        <x:v>Inspection physique</x:v>
      </x:c>
      <x:c r="G2693" s="115" t="str">
        <x:v>1 niveaux ; 40 pièces ; 303 segments de mur ; 0 transitions. Inspection physique ; architecture complète encore ouverte.</x:v>
      </x:c>
      <x:c r="H2693" s="115" t="str">
        <x:v>L 404 ; l 392 ; hauteur 7,95 m ; choix de composition auteur ; dimensions réelles à documenter</x:v>
      </x:c>
      <x:c r="I2693" s="115" t="str">
        <x:v>À équilibrer</x:v>
      </x:c>
      <x:c r="J2693" s="115" t="str">
        <x:v>Non</x:v>
      </x:c>
      <x:c r="K2693" s="115" t="str">
        <x:v>Pièces décrites, murs, portes, niveaux et mobilier inspectables à l’échelle. Volumes réservés, raccord au seed, butin, rencontres et services de campagne restent à terminer.</x:v>
      </x:c>
    </x:row>
    <x:row r="2694" ht="96" customHeight="1">
      <x:c r="A2694" s="115" t="str">
        <x:v>EXT-MONDE-T054-V39</x:v>
      </x:c>
      <x:c r="B2694" s="115" t="str">
        <x:v>EXT-MONDE-T054</x:v>
      </x:c>
      <x:c r="C2694" s="115" t="str">
        <x:v>Usines</x:v>
      </x:c>
      <x:c r="D2694" s="115" t="str">
        <x:v>Usine de mécanique</x:v>
      </x:c>
      <x:c r="E2694" s="115" t="n">
        <x:v>39</x:v>
      </x:c>
      <x:c r="F2694" s="115" t="str">
        <x:v>Inspection physique</x:v>
      </x:c>
      <x:c r="G2694" s="115" t="str">
        <x:v>1 niveaux ; 40 pièces ; 303 segments de mur ; 0 transitions. Inspection physique ; architecture complète encore ouverte.</x:v>
      </x:c>
      <x:c r="H2694" s="115" t="str">
        <x:v>L 404 ; l 392 ; hauteur 7,95 m ; choix de composition auteur ; dimensions réelles à documenter</x:v>
      </x:c>
      <x:c r="I2694" s="115" t="str">
        <x:v>À équilibrer</x:v>
      </x:c>
      <x:c r="J2694" s="115" t="str">
        <x:v>Non</x:v>
      </x:c>
      <x:c r="K2694" s="115" t="str">
        <x:v>Pièces décrites, murs, portes, niveaux et mobilier inspectables à l’échelle. Volumes réservés, raccord au seed, butin, rencontres et services de campagne restent à terminer.</x:v>
      </x:c>
    </x:row>
    <x:row r="2695" ht="96" customHeight="1">
      <x:c r="A2695" s="115" t="str">
        <x:v>EXT-MONDE-T054-V40</x:v>
      </x:c>
      <x:c r="B2695" s="115" t="str">
        <x:v>EXT-MONDE-T054</x:v>
      </x:c>
      <x:c r="C2695" s="115" t="str">
        <x:v>Usines</x:v>
      </x:c>
      <x:c r="D2695" s="115" t="str">
        <x:v>Usine de mécanique</x:v>
      </x:c>
      <x:c r="E2695" s="115" t="n">
        <x:v>40</x:v>
      </x:c>
      <x:c r="F2695" s="115" t="str">
        <x:v>Inspection physique</x:v>
      </x:c>
      <x:c r="G2695" s="115" t="str">
        <x:v>1 niveaux ; 40 pièces ; 303 segments de mur ; 0 transitions. Inspection physique ; architecture complète encore ouverte.</x:v>
      </x:c>
      <x:c r="H2695" s="115" t="str">
        <x:v>L 404 ; l 392 ; hauteur 7,95 m ; choix de composition auteur ; dimensions réelles à documenter</x:v>
      </x:c>
      <x:c r="I2695" s="115" t="str">
        <x:v>À équilibrer</x:v>
      </x:c>
      <x:c r="J2695" s="115" t="str">
        <x:v>Non</x:v>
      </x:c>
      <x:c r="K2695" s="115" t="str">
        <x:v>Pièces décrites, murs, portes, niveaux et mobilier inspectables à l’échelle. Volumes réservés, raccord au seed, butin, rencontres et services de campagne restent à terminer.</x:v>
      </x:c>
    </x:row>
    <x:row r="2696" ht="96" customHeight="1">
      <x:c r="A2696" s="115" t="str">
        <x:v>EXT-MONDE-T054-V41</x:v>
      </x:c>
      <x:c r="B2696" s="115" t="str">
        <x:v>EXT-MONDE-T054</x:v>
      </x:c>
      <x:c r="C2696" s="115" t="str">
        <x:v>Usines</x:v>
      </x:c>
      <x:c r="D2696" s="115" t="str">
        <x:v>Usine de mécanique</x:v>
      </x:c>
      <x:c r="E2696" s="115" t="n">
        <x:v>41</x:v>
      </x:c>
      <x:c r="F2696" s="115" t="str">
        <x:v>Inspection physique</x:v>
      </x:c>
      <x:c r="G2696" s="115" t="str">
        <x:v>1 niveaux ; 40 pièces ; 303 segments de mur ; 0 transitions. Inspection physique ; architecture complète encore ouverte.</x:v>
      </x:c>
      <x:c r="H2696" s="115" t="str">
        <x:v>L 422 ; l 416 ; hauteur 8,2 m ; choix de composition auteur ; dimensions réelles à documenter</x:v>
      </x:c>
      <x:c r="I2696" s="115" t="str">
        <x:v>À équilibrer</x:v>
      </x:c>
      <x:c r="J2696" s="115" t="str">
        <x:v>Non</x:v>
      </x:c>
      <x:c r="K2696" s="115" t="str">
        <x:v>Pièces décrites, murs, portes, niveaux et mobilier inspectables à l’échelle. Volumes réservés, raccord au seed, butin, rencontres et services de campagne restent à terminer.</x:v>
      </x:c>
    </x:row>
    <x:row r="2697" ht="96" customHeight="1">
      <x:c r="A2697" s="115" t="str">
        <x:v>EXT-MONDE-T054-V42</x:v>
      </x:c>
      <x:c r="B2697" s="115" t="str">
        <x:v>EXT-MONDE-T054</x:v>
      </x:c>
      <x:c r="C2697" s="115" t="str">
        <x:v>Usines</x:v>
      </x:c>
      <x:c r="D2697" s="115" t="str">
        <x:v>Usine de mécanique</x:v>
      </x:c>
      <x:c r="E2697" s="115" t="n">
        <x:v>42</x:v>
      </x:c>
      <x:c r="F2697" s="115" t="str">
        <x:v>Inspection physique</x:v>
      </x:c>
      <x:c r="G2697" s="115" t="str">
        <x:v>1 niveaux ; 40 pièces ; 303 segments de mur ; 0 transitions. Inspection physique ; architecture complète encore ouverte.</x:v>
      </x:c>
      <x:c r="H2697" s="115" t="str">
        <x:v>L 422 ; l 416 ; hauteur 8,2 m ; choix de composition auteur ; dimensions réelles à documenter</x:v>
      </x:c>
      <x:c r="I2697" s="115" t="str">
        <x:v>À équilibrer</x:v>
      </x:c>
      <x:c r="J2697" s="115" t="str">
        <x:v>Non</x:v>
      </x:c>
      <x:c r="K2697" s="115" t="str">
        <x:v>Pièces décrites, murs, portes, niveaux et mobilier inspectables à l’échelle. Volumes réservés, raccord au seed, butin, rencontres et services de campagne restent à terminer.</x:v>
      </x:c>
    </x:row>
    <x:row r="2698" ht="96" customHeight="1">
      <x:c r="A2698" s="115" t="str">
        <x:v>EXT-MONDE-T054-V43</x:v>
      </x:c>
      <x:c r="B2698" s="115" t="str">
        <x:v>EXT-MONDE-T054</x:v>
      </x:c>
      <x:c r="C2698" s="115" t="str">
        <x:v>Usines</x:v>
      </x:c>
      <x:c r="D2698" s="115" t="str">
        <x:v>Usine de mécanique</x:v>
      </x:c>
      <x:c r="E2698" s="115" t="n">
        <x:v>43</x:v>
      </x:c>
      <x:c r="F2698" s="115" t="str">
        <x:v>Inspection physique</x:v>
      </x:c>
      <x:c r="G2698" s="115" t="str">
        <x:v>1 niveaux ; 40 pièces ; 303 segments de mur ; 0 transitions. Inspection physique ; architecture complète encore ouverte.</x:v>
      </x:c>
      <x:c r="H2698" s="115" t="str">
        <x:v>L 422 ; l 416 ; hauteur 8,2 m ; choix de composition auteur ; dimensions réelles à documenter</x:v>
      </x:c>
      <x:c r="I2698" s="115" t="str">
        <x:v>À équilibrer</x:v>
      </x:c>
      <x:c r="J2698" s="115" t="str">
        <x:v>Non</x:v>
      </x:c>
      <x:c r="K2698" s="115" t="str">
        <x:v>Pièces décrites, murs, portes, niveaux et mobilier inspectables à l’échelle. Volumes réservés, raccord au seed, butin, rencontres et services de campagne restent à terminer.</x:v>
      </x:c>
    </x:row>
    <x:row r="2699" ht="96" customHeight="1">
      <x:c r="A2699" s="115" t="str">
        <x:v>EXT-MONDE-T054-V44</x:v>
      </x:c>
      <x:c r="B2699" s="115" t="str">
        <x:v>EXT-MONDE-T054</x:v>
      </x:c>
      <x:c r="C2699" s="115" t="str">
        <x:v>Usines</x:v>
      </x:c>
      <x:c r="D2699" s="115" t="str">
        <x:v>Usine de mécanique</x:v>
      </x:c>
      <x:c r="E2699" s="115" t="n">
        <x:v>44</x:v>
      </x:c>
      <x:c r="F2699" s="115" t="str">
        <x:v>Inspection physique</x:v>
      </x:c>
      <x:c r="G2699" s="115" t="str">
        <x:v>1 niveaux ; 40 pièces ; 303 segments de mur ; 0 transitions. Inspection physique ; architecture complète encore ouverte.</x:v>
      </x:c>
      <x:c r="H2699" s="115" t="str">
        <x:v>L 422 ; l 416 ; hauteur 8,2 m ; choix de composition auteur ; dimensions réelles à documenter</x:v>
      </x:c>
      <x:c r="I2699" s="115" t="str">
        <x:v>À équilibrer</x:v>
      </x:c>
      <x:c r="J2699" s="115" t="str">
        <x:v>Non</x:v>
      </x:c>
      <x:c r="K2699" s="115" t="str">
        <x:v>Pièces décrites, murs, portes, niveaux et mobilier inspectables à l’échelle. Volumes réservés, raccord au seed, butin, rencontres et services de campagne restent à terminer.</x:v>
      </x:c>
    </x:row>
    <x:row r="2700" ht="96" customHeight="1">
      <x:c r="A2700" s="115" t="str">
        <x:v>EXT-MONDE-T054-V45</x:v>
      </x:c>
      <x:c r="B2700" s="115" t="str">
        <x:v>EXT-MONDE-T054</x:v>
      </x:c>
      <x:c r="C2700" s="115" t="str">
        <x:v>Usines</x:v>
      </x:c>
      <x:c r="D2700" s="115" t="str">
        <x:v>Usine de mécanique</x:v>
      </x:c>
      <x:c r="E2700" s="115" t="n">
        <x:v>45</x:v>
      </x:c>
      <x:c r="F2700" s="115" t="str">
        <x:v>Inspection physique</x:v>
      </x:c>
      <x:c r="G2700" s="115" t="str">
        <x:v>1 niveaux ; 40 pièces ; 303 segments de mur ; 0 transitions. Inspection physique ; architecture complète encore ouverte.</x:v>
      </x:c>
      <x:c r="H2700" s="115" t="str">
        <x:v>L 422 ; l 416 ; hauteur 8,2 m ; choix de composition auteur ; dimensions réelles à documenter</x:v>
      </x:c>
      <x:c r="I2700" s="115" t="str">
        <x:v>À équilibrer</x:v>
      </x:c>
      <x:c r="J2700" s="115" t="str">
        <x:v>Non</x:v>
      </x:c>
      <x:c r="K2700" s="115" t="str">
        <x:v>Pièces décrites, murs, portes, niveaux et mobilier inspectables à l’échelle. Volumes réservés, raccord au seed, butin, rencontres et services de campagne restent à terminer.</x:v>
      </x:c>
    </x:row>
    <x:row r="2701" ht="96" customHeight="1">
      <x:c r="A2701" s="115" t="str">
        <x:v>EXT-MONDE-T054-V46</x:v>
      </x:c>
      <x:c r="B2701" s="115" t="str">
        <x:v>EXT-MONDE-T054</x:v>
      </x:c>
      <x:c r="C2701" s="115" t="str">
        <x:v>Usines</x:v>
      </x:c>
      <x:c r="D2701" s="115" t="str">
        <x:v>Usine de mécanique</x:v>
      </x:c>
      <x:c r="E2701" s="115" t="n">
        <x:v>46</x:v>
      </x:c>
      <x:c r="F2701" s="115" t="str">
        <x:v>Inspection physique</x:v>
      </x:c>
      <x:c r="G2701" s="115" t="str">
        <x:v>1 niveaux ; 40 pièces ; 303 segments de mur ; 0 transitions. Inspection physique ; architecture complète encore ouverte.</x:v>
      </x:c>
      <x:c r="H2701" s="115" t="str">
        <x:v>L 422 ; l 416 ; hauteur 8,2 m ; choix de composition auteur ; dimensions réelles à documenter</x:v>
      </x:c>
      <x:c r="I2701" s="115" t="str">
        <x:v>À équilibrer</x:v>
      </x:c>
      <x:c r="J2701" s="115" t="str">
        <x:v>Non</x:v>
      </x:c>
      <x:c r="K2701" s="115" t="str">
        <x:v>Pièces décrites, murs, portes, niveaux et mobilier inspectables à l’échelle. Volumes réservés, raccord au seed, butin, rencontres et services de campagne restent à terminer.</x:v>
      </x:c>
    </x:row>
    <x:row r="2702" ht="96" customHeight="1">
      <x:c r="A2702" s="115" t="str">
        <x:v>EXT-MONDE-T054-V47</x:v>
      </x:c>
      <x:c r="B2702" s="115" t="str">
        <x:v>EXT-MONDE-T054</x:v>
      </x:c>
      <x:c r="C2702" s="115" t="str">
        <x:v>Usines</x:v>
      </x:c>
      <x:c r="D2702" s="115" t="str">
        <x:v>Usine de mécanique</x:v>
      </x:c>
      <x:c r="E2702" s="115" t="n">
        <x:v>47</x:v>
      </x:c>
      <x:c r="F2702" s="115" t="str">
        <x:v>Inspection physique</x:v>
      </x:c>
      <x:c r="G2702" s="115" t="str">
        <x:v>1 niveaux ; 40 pièces ; 303 segments de mur ; 0 transitions. Inspection physique ; architecture complète encore ouverte.</x:v>
      </x:c>
      <x:c r="H2702" s="115" t="str">
        <x:v>L 422 ; l 416 ; hauteur 8,2 m ; choix de composition auteur ; dimensions réelles à documenter</x:v>
      </x:c>
      <x:c r="I2702" s="115" t="str">
        <x:v>À équilibrer</x:v>
      </x:c>
      <x:c r="J2702" s="115" t="str">
        <x:v>Non</x:v>
      </x:c>
      <x:c r="K2702" s="115" t="str">
        <x:v>Pièces décrites, murs, portes, niveaux et mobilier inspectables à l’échelle. Volumes réservés, raccord au seed, butin, rencontres et services de campagne restent à terminer.</x:v>
      </x:c>
    </x:row>
    <x:row r="2703" ht="96" customHeight="1">
      <x:c r="A2703" s="115" t="str">
        <x:v>EXT-MONDE-T054-V48</x:v>
      </x:c>
      <x:c r="B2703" s="115" t="str">
        <x:v>EXT-MONDE-T054</x:v>
      </x:c>
      <x:c r="C2703" s="115" t="str">
        <x:v>Usines</x:v>
      </x:c>
      <x:c r="D2703" s="115" t="str">
        <x:v>Usine de mécanique</x:v>
      </x:c>
      <x:c r="E2703" s="115" t="n">
        <x:v>48</x:v>
      </x:c>
      <x:c r="F2703" s="115" t="str">
        <x:v>Inspection physique</x:v>
      </x:c>
      <x:c r="G2703" s="115" t="str">
        <x:v>1 niveaux ; 40 pièces ; 303 segments de mur ; 0 transitions. Inspection physique ; architecture complète encore ouverte.</x:v>
      </x:c>
      <x:c r="H2703" s="115" t="str">
        <x:v>L 422 ; l 416 ; hauteur 8,2 m ; choix de composition auteur ; dimensions réelles à documenter</x:v>
      </x:c>
      <x:c r="I2703" s="115" t="str">
        <x:v>À équilibrer</x:v>
      </x:c>
      <x:c r="J2703" s="115" t="str">
        <x:v>Non</x:v>
      </x:c>
      <x:c r="K2703" s="115" t="str">
        <x:v>Pièces décrites, murs, portes, niveaux et mobilier inspectables à l’échelle. Volumes réservés, raccord au seed, butin, rencontres et services de campagne restent à terminer.</x:v>
      </x:c>
    </x:row>
    <x:row r="2704" ht="96" customHeight="1">
      <x:c r="A2704" s="115" t="str">
        <x:v>EXT-MONDE-T054-V49</x:v>
      </x:c>
      <x:c r="B2704" s="115" t="str">
        <x:v>EXT-MONDE-T054</x:v>
      </x:c>
      <x:c r="C2704" s="115" t="str">
        <x:v>Usines</x:v>
      </x:c>
      <x:c r="D2704" s="115" t="str">
        <x:v>Usine de mécanique</x:v>
      </x:c>
      <x:c r="E2704" s="115" t="n">
        <x:v>49</x:v>
      </x:c>
      <x:c r="F2704" s="115" t="str">
        <x:v>Inspection physique</x:v>
      </x:c>
      <x:c r="G2704" s="115" t="str">
        <x:v>1 niveaux ; 40 pièces ; 303 segments de mur ; 0 transitions. Inspection physique ; architecture complète encore ouverte.</x:v>
      </x:c>
      <x:c r="H2704" s="115" t="str">
        <x:v>L 422 ; l 416 ; hauteur 8,2 m ; choix de composition auteur ; dimensions réelles à documenter</x:v>
      </x:c>
      <x:c r="I2704" s="115" t="str">
        <x:v>À équilibrer</x:v>
      </x:c>
      <x:c r="J2704" s="115" t="str">
        <x:v>Non</x:v>
      </x:c>
      <x:c r="K2704" s="115" t="str">
        <x:v>Pièces décrites, murs, portes, niveaux et mobilier inspectables à l’échelle. Volumes réservés, raccord au seed, butin, rencontres et services de campagne restent à terminer.</x:v>
      </x:c>
    </x:row>
    <x:row r="2705" ht="96" customHeight="1">
      <x:c r="A2705" s="115" t="str">
        <x:v>EXT-MONDE-T054-V50</x:v>
      </x:c>
      <x:c r="B2705" s="115" t="str">
        <x:v>EXT-MONDE-T054</x:v>
      </x:c>
      <x:c r="C2705" s="115" t="str">
        <x:v>Usines</x:v>
      </x:c>
      <x:c r="D2705" s="115" t="str">
        <x:v>Usine de mécanique</x:v>
      </x:c>
      <x:c r="E2705" s="115" t="n">
        <x:v>50</x:v>
      </x:c>
      <x:c r="F2705" s="115" t="str">
        <x:v>Inspection physique</x:v>
      </x:c>
      <x:c r="G2705" s="115" t="str">
        <x:v>1 niveaux ; 40 pièces ; 303 segments de mur ; 0 transitions. Inspection physique ; architecture complète encore ouverte.</x:v>
      </x:c>
      <x:c r="H2705" s="115" t="str">
        <x:v>L 422 ; l 416 ; hauteur 8,2 m ; choix de composition auteur ; dimensions réelles à documenter</x:v>
      </x:c>
      <x:c r="I2705" s="115" t="str">
        <x:v>À équilibrer</x:v>
      </x:c>
      <x:c r="J2705" s="115" t="str">
        <x:v>Non</x:v>
      </x:c>
      <x:c r="K2705" s="115" t="str">
        <x:v>Pièces décrites, murs, portes, niveaux et mobilier inspectables à l’échelle. Volumes réservés, raccord au seed, butin, rencontres et services de campagne restent à terminer.</x:v>
      </x:c>
    </x:row>
    <x:row r="2706" ht="96" customHeight="1">
      <x:c r="A2706" s="115" t="str">
        <x:v>EXT-MONDE-T055-V01</x:v>
      </x:c>
      <x:c r="B2706" s="115" t="str">
        <x:v>EXT-MONDE-T055</x:v>
      </x:c>
      <x:c r="C2706" s="115" t="str">
        <x:v>Usines</x:v>
      </x:c>
      <x:c r="D2706" s="115" t="str">
        <x:v>Usine textile</x:v>
      </x:c>
      <x:c r="E2706" s="115" t="n">
        <x:v>1</x:v>
      </x:c>
      <x:c r="F2706" s="115" t="str">
        <x:v>Inspection physique</x:v>
      </x:c>
      <x:c r="G2706" s="115" t="str">
        <x:v>1 niveaux ; 40 pièces ; 303 segments de mur ; 0 transitions. Inspection physique ; architecture complète encore ouverte.</x:v>
      </x:c>
      <x:c r="H2706" s="115" t="str">
        <x:v>L 350 ; l 320 ; hauteur 5,8 m ; choix de composition auteur ; dimensions réelles à documenter</x:v>
      </x:c>
      <x:c r="I2706" s="115" t="str">
        <x:v>À équilibrer</x:v>
      </x:c>
      <x:c r="J2706" s="115" t="str">
        <x:v>Non</x:v>
      </x:c>
      <x:c r="K2706" s="115" t="str">
        <x:v>Pièces décrites, murs, portes, niveaux et mobilier inspectables à l’échelle. Volumes réservés, raccord au seed, butin, rencontres et services de campagne restent à terminer.</x:v>
      </x:c>
    </x:row>
    <x:row r="2707" ht="96" customHeight="1">
      <x:c r="A2707" s="115" t="str">
        <x:v>EXT-MONDE-T055-V02</x:v>
      </x:c>
      <x:c r="B2707" s="115" t="str">
        <x:v>EXT-MONDE-T055</x:v>
      </x:c>
      <x:c r="C2707" s="115" t="str">
        <x:v>Usines</x:v>
      </x:c>
      <x:c r="D2707" s="115" t="str">
        <x:v>Usine textile</x:v>
      </x:c>
      <x:c r="E2707" s="115" t="n">
        <x:v>2</x:v>
      </x:c>
      <x:c r="F2707" s="115" t="str">
        <x:v>Inspection physique</x:v>
      </x:c>
      <x:c r="G2707" s="115" t="str">
        <x:v>1 niveaux ; 40 pièces ; 303 segments de mur ; 0 transitions. Inspection physique ; architecture complète encore ouverte.</x:v>
      </x:c>
      <x:c r="H2707" s="115" t="str">
        <x:v>L 350 ; l 320 ; hauteur 5,8 m ; choix de composition auteur ; dimensions réelles à documenter</x:v>
      </x:c>
      <x:c r="I2707" s="115" t="str">
        <x:v>À équilibrer</x:v>
      </x:c>
      <x:c r="J2707" s="115" t="str">
        <x:v>Non</x:v>
      </x:c>
      <x:c r="K2707" s="115" t="str">
        <x:v>Pièces décrites, murs, portes, niveaux et mobilier inspectables à l’échelle. Volumes réservés, raccord au seed, butin, rencontres et services de campagne restent à terminer.</x:v>
      </x:c>
    </x:row>
    <x:row r="2708" ht="96" customHeight="1">
      <x:c r="A2708" s="115" t="str">
        <x:v>EXT-MONDE-T055-V03</x:v>
      </x:c>
      <x:c r="B2708" s="115" t="str">
        <x:v>EXT-MONDE-T055</x:v>
      </x:c>
      <x:c r="C2708" s="115" t="str">
        <x:v>Usines</x:v>
      </x:c>
      <x:c r="D2708" s="115" t="str">
        <x:v>Usine textile</x:v>
      </x:c>
      <x:c r="E2708" s="115" t="n">
        <x:v>3</x:v>
      </x:c>
      <x:c r="F2708" s="115" t="str">
        <x:v>Inspection physique</x:v>
      </x:c>
      <x:c r="G2708" s="115" t="str">
        <x:v>1 niveaux ; 40 pièces ; 303 segments de mur ; 0 transitions. Inspection physique ; architecture complète encore ouverte.</x:v>
      </x:c>
      <x:c r="H2708" s="115" t="str">
        <x:v>L 350 ; l 320 ; hauteur 5,8 m ; choix de composition auteur ; dimensions réelles à documenter</x:v>
      </x:c>
      <x:c r="I2708" s="115" t="str">
        <x:v>À équilibrer</x:v>
      </x:c>
      <x:c r="J2708" s="115" t="str">
        <x:v>Non</x:v>
      </x:c>
      <x:c r="K2708" s="115" t="str">
        <x:v>Pièces décrites, murs, portes, niveaux et mobilier inspectables à l’échelle. Volumes réservés, raccord au seed, butin, rencontres et services de campagne restent à terminer.</x:v>
      </x:c>
    </x:row>
    <x:row r="2709" ht="96" customHeight="1">
      <x:c r="A2709" s="115" t="str">
        <x:v>EXT-MONDE-T055-V04</x:v>
      </x:c>
      <x:c r="B2709" s="115" t="str">
        <x:v>EXT-MONDE-T055</x:v>
      </x:c>
      <x:c r="C2709" s="115" t="str">
        <x:v>Usines</x:v>
      </x:c>
      <x:c r="D2709" s="115" t="str">
        <x:v>Usine textile</x:v>
      </x:c>
      <x:c r="E2709" s="115" t="n">
        <x:v>4</x:v>
      </x:c>
      <x:c r="F2709" s="115" t="str">
        <x:v>Inspection physique</x:v>
      </x:c>
      <x:c r="G2709" s="115" t="str">
        <x:v>1 niveaux ; 40 pièces ; 303 segments de mur ; 0 transitions. Inspection physique ; architecture complète encore ouverte.</x:v>
      </x:c>
      <x:c r="H2709" s="115" t="str">
        <x:v>L 350 ; l 320 ; hauteur 5,8 m ; choix de composition auteur ; dimensions réelles à documenter</x:v>
      </x:c>
      <x:c r="I2709" s="115" t="str">
        <x:v>À équilibrer</x:v>
      </x:c>
      <x:c r="J2709" s="115" t="str">
        <x:v>Non</x:v>
      </x:c>
      <x:c r="K2709" s="115" t="str">
        <x:v>Pièces décrites, murs, portes, niveaux et mobilier inspectables à l’échelle. Volumes réservés, raccord au seed, butin, rencontres et services de campagne restent à terminer.</x:v>
      </x:c>
    </x:row>
    <x:row r="2710" ht="96" customHeight="1">
      <x:c r="A2710" s="115" t="str">
        <x:v>EXT-MONDE-T055-V05</x:v>
      </x:c>
      <x:c r="B2710" s="115" t="str">
        <x:v>EXT-MONDE-T055</x:v>
      </x:c>
      <x:c r="C2710" s="115" t="str">
        <x:v>Usines</x:v>
      </x:c>
      <x:c r="D2710" s="115" t="str">
        <x:v>Usine textile</x:v>
      </x:c>
      <x:c r="E2710" s="115" t="n">
        <x:v>5</x:v>
      </x:c>
      <x:c r="F2710" s="115" t="str">
        <x:v>Inspection physique</x:v>
      </x:c>
      <x:c r="G2710" s="115" t="str">
        <x:v>1 niveaux ; 40 pièces ; 303 segments de mur ; 0 transitions. Inspection physique ; architecture complète encore ouverte.</x:v>
      </x:c>
      <x:c r="H2710" s="115" t="str">
        <x:v>L 350 ; l 320 ; hauteur 5,8 m ; choix de composition auteur ; dimensions réelles à documenter</x:v>
      </x:c>
      <x:c r="I2710" s="115" t="str">
        <x:v>À équilibrer</x:v>
      </x:c>
      <x:c r="J2710" s="115" t="str">
        <x:v>Non</x:v>
      </x:c>
      <x:c r="K2710" s="115" t="str">
        <x:v>Pièces décrites, murs, portes, niveaux et mobilier inspectables à l’échelle. Volumes réservés, raccord au seed, butin, rencontres et services de campagne restent à terminer.</x:v>
      </x:c>
    </x:row>
    <x:row r="2711" ht="96" customHeight="1">
      <x:c r="A2711" s="115" t="str">
        <x:v>EXT-MONDE-T055-V06</x:v>
      </x:c>
      <x:c r="B2711" s="115" t="str">
        <x:v>EXT-MONDE-T055</x:v>
      </x:c>
      <x:c r="C2711" s="115" t="str">
        <x:v>Usines</x:v>
      </x:c>
      <x:c r="D2711" s="115" t="str">
        <x:v>Usine textile</x:v>
      </x:c>
      <x:c r="E2711" s="115" t="n">
        <x:v>6</x:v>
      </x:c>
      <x:c r="F2711" s="115" t="str">
        <x:v>Inspection physique</x:v>
      </x:c>
      <x:c r="G2711" s="115" t="str">
        <x:v>1 niveaux ; 40 pièces ; 303 segments de mur ; 0 transitions. Inspection physique ; architecture complète encore ouverte.</x:v>
      </x:c>
      <x:c r="H2711" s="115" t="str">
        <x:v>L 350 ; l 320 ; hauteur 5,8 m ; choix de composition auteur ; dimensions réelles à documenter</x:v>
      </x:c>
      <x:c r="I2711" s="115" t="str">
        <x:v>À équilibrer</x:v>
      </x:c>
      <x:c r="J2711" s="115" t="str">
        <x:v>Non</x:v>
      </x:c>
      <x:c r="K2711" s="115" t="str">
        <x:v>Pièces décrites, murs, portes, niveaux et mobilier inspectables à l’échelle. Volumes réservés, raccord au seed, butin, rencontres et services de campagne restent à terminer.</x:v>
      </x:c>
    </x:row>
    <x:row r="2712" ht="96" customHeight="1">
      <x:c r="A2712" s="115" t="str">
        <x:v>EXT-MONDE-T055-V07</x:v>
      </x:c>
      <x:c r="B2712" s="115" t="str">
        <x:v>EXT-MONDE-T055</x:v>
      </x:c>
      <x:c r="C2712" s="115" t="str">
        <x:v>Usines</x:v>
      </x:c>
      <x:c r="D2712" s="115" t="str">
        <x:v>Usine textile</x:v>
      </x:c>
      <x:c r="E2712" s="115" t="n">
        <x:v>7</x:v>
      </x:c>
      <x:c r="F2712" s="115" t="str">
        <x:v>Inspection physique</x:v>
      </x:c>
      <x:c r="G2712" s="115" t="str">
        <x:v>1 niveaux ; 40 pièces ; 303 segments de mur ; 0 transitions. Inspection physique ; architecture complète encore ouverte.</x:v>
      </x:c>
      <x:c r="H2712" s="115" t="str">
        <x:v>L 350 ; l 320 ; hauteur 5,8 m ; choix de composition auteur ; dimensions réelles à documenter</x:v>
      </x:c>
      <x:c r="I2712" s="115" t="str">
        <x:v>À équilibrer</x:v>
      </x:c>
      <x:c r="J2712" s="115" t="str">
        <x:v>Non</x:v>
      </x:c>
      <x:c r="K2712" s="115" t="str">
        <x:v>Pièces décrites, murs, portes, niveaux et mobilier inspectables à l’échelle. Volumes réservés, raccord au seed, butin, rencontres et services de campagne restent à terminer.</x:v>
      </x:c>
    </x:row>
    <x:row r="2713" ht="96" customHeight="1">
      <x:c r="A2713" s="115" t="str">
        <x:v>EXT-MONDE-T055-V08</x:v>
      </x:c>
      <x:c r="B2713" s="115" t="str">
        <x:v>EXT-MONDE-T055</x:v>
      </x:c>
      <x:c r="C2713" s="115" t="str">
        <x:v>Usines</x:v>
      </x:c>
      <x:c r="D2713" s="115" t="str">
        <x:v>Usine textile</x:v>
      </x:c>
      <x:c r="E2713" s="115" t="n">
        <x:v>8</x:v>
      </x:c>
      <x:c r="F2713" s="115" t="str">
        <x:v>Inspection physique</x:v>
      </x:c>
      <x:c r="G2713" s="115" t="str">
        <x:v>1 niveaux ; 40 pièces ; 303 segments de mur ; 0 transitions. Inspection physique ; architecture complète encore ouverte.</x:v>
      </x:c>
      <x:c r="H2713" s="115" t="str">
        <x:v>L 350 ; l 320 ; hauteur 5,8 m ; choix de composition auteur ; dimensions réelles à documenter</x:v>
      </x:c>
      <x:c r="I2713" s="115" t="str">
        <x:v>À équilibrer</x:v>
      </x:c>
      <x:c r="J2713" s="115" t="str">
        <x:v>Non</x:v>
      </x:c>
      <x:c r="K2713" s="115" t="str">
        <x:v>Pièces décrites, murs, portes, niveaux et mobilier inspectables à l’échelle. Volumes réservés, raccord au seed, butin, rencontres et services de campagne restent à terminer.</x:v>
      </x:c>
    </x:row>
    <x:row r="2714" ht="96" customHeight="1">
      <x:c r="A2714" s="115" t="str">
        <x:v>EXT-MONDE-T055-V09</x:v>
      </x:c>
      <x:c r="B2714" s="115" t="str">
        <x:v>EXT-MONDE-T055</x:v>
      </x:c>
      <x:c r="C2714" s="115" t="str">
        <x:v>Usines</x:v>
      </x:c>
      <x:c r="D2714" s="115" t="str">
        <x:v>Usine textile</x:v>
      </x:c>
      <x:c r="E2714" s="115" t="n">
        <x:v>9</x:v>
      </x:c>
      <x:c r="F2714" s="115" t="str">
        <x:v>Inspection physique</x:v>
      </x:c>
      <x:c r="G2714" s="115" t="str">
        <x:v>1 niveaux ; 40 pièces ; 303 segments de mur ; 0 transitions. Inspection physique ; architecture complète encore ouverte.</x:v>
      </x:c>
      <x:c r="H2714" s="115" t="str">
        <x:v>L 350 ; l 320 ; hauteur 5,8 m ; choix de composition auteur ; dimensions réelles à documenter</x:v>
      </x:c>
      <x:c r="I2714" s="115" t="str">
        <x:v>À équilibrer</x:v>
      </x:c>
      <x:c r="J2714" s="115" t="str">
        <x:v>Non</x:v>
      </x:c>
      <x:c r="K2714" s="115" t="str">
        <x:v>Pièces décrites, murs, portes, niveaux et mobilier inspectables à l’échelle. Volumes réservés, raccord au seed, butin, rencontres et services de campagne restent à terminer.</x:v>
      </x:c>
    </x:row>
    <x:row r="2715" ht="96" customHeight="1">
      <x:c r="A2715" s="115" t="str">
        <x:v>EXT-MONDE-T055-V10</x:v>
      </x:c>
      <x:c r="B2715" s="115" t="str">
        <x:v>EXT-MONDE-T055</x:v>
      </x:c>
      <x:c r="C2715" s="115" t="str">
        <x:v>Usines</x:v>
      </x:c>
      <x:c r="D2715" s="115" t="str">
        <x:v>Usine textile</x:v>
      </x:c>
      <x:c r="E2715" s="115" t="n">
        <x:v>10</x:v>
      </x:c>
      <x:c r="F2715" s="115" t="str">
        <x:v>Inspection physique</x:v>
      </x:c>
      <x:c r="G2715" s="115" t="str">
        <x:v>1 niveaux ; 40 pièces ; 303 segments de mur ; 0 transitions. Inspection physique ; architecture complète encore ouverte.</x:v>
      </x:c>
      <x:c r="H2715" s="115" t="str">
        <x:v>L 350 ; l 320 ; hauteur 5,8 m ; choix de composition auteur ; dimensions réelles à documenter</x:v>
      </x:c>
      <x:c r="I2715" s="115" t="str">
        <x:v>À équilibrer</x:v>
      </x:c>
      <x:c r="J2715" s="115" t="str">
        <x:v>Non</x:v>
      </x:c>
      <x:c r="K2715" s="115" t="str">
        <x:v>Pièces décrites, murs, portes, niveaux et mobilier inspectables à l’échelle. Volumes réservés, raccord au seed, butin, rencontres et services de campagne restent à terminer.</x:v>
      </x:c>
    </x:row>
    <x:row r="2716" ht="96" customHeight="1">
      <x:c r="A2716" s="115" t="str">
        <x:v>EXT-MONDE-T055-V11</x:v>
      </x:c>
      <x:c r="B2716" s="115" t="str">
        <x:v>EXT-MONDE-T055</x:v>
      </x:c>
      <x:c r="C2716" s="115" t="str">
        <x:v>Usines</x:v>
      </x:c>
      <x:c r="D2716" s="115" t="str">
        <x:v>Usine textile</x:v>
      </x:c>
      <x:c r="E2716" s="115" t="n">
        <x:v>11</x:v>
      </x:c>
      <x:c r="F2716" s="115" t="str">
        <x:v>Inspection physique</x:v>
      </x:c>
      <x:c r="G2716" s="115" t="str">
        <x:v>1 niveaux ; 40 pièces ; 303 segments de mur ; 0 transitions. Inspection physique ; architecture complète encore ouverte.</x:v>
      </x:c>
      <x:c r="H2716" s="115" t="str">
        <x:v>L 368 ; l 344 ; hauteur 6,05 m ; choix de composition auteur ; dimensions réelles à documenter</x:v>
      </x:c>
      <x:c r="I2716" s="115" t="str">
        <x:v>À équilibrer</x:v>
      </x:c>
      <x:c r="J2716" s="115" t="str">
        <x:v>Non</x:v>
      </x:c>
      <x:c r="K2716" s="115" t="str">
        <x:v>Pièces décrites, murs, portes, niveaux et mobilier inspectables à l’échelle. Volumes réservés, raccord au seed, butin, rencontres et services de campagne restent à terminer.</x:v>
      </x:c>
    </x:row>
    <x:row r="2717" ht="96" customHeight="1">
      <x:c r="A2717" s="115" t="str">
        <x:v>EXT-MONDE-T055-V12</x:v>
      </x:c>
      <x:c r="B2717" s="115" t="str">
        <x:v>EXT-MONDE-T055</x:v>
      </x:c>
      <x:c r="C2717" s="115" t="str">
        <x:v>Usines</x:v>
      </x:c>
      <x:c r="D2717" s="115" t="str">
        <x:v>Usine textile</x:v>
      </x:c>
      <x:c r="E2717" s="115" t="n">
        <x:v>12</x:v>
      </x:c>
      <x:c r="F2717" s="115" t="str">
        <x:v>Inspection physique</x:v>
      </x:c>
      <x:c r="G2717" s="115" t="str">
        <x:v>1 niveaux ; 40 pièces ; 303 segments de mur ; 0 transitions. Inspection physique ; architecture complète encore ouverte.</x:v>
      </x:c>
      <x:c r="H2717" s="115" t="str">
        <x:v>L 368 ; l 344 ; hauteur 6,05 m ; choix de composition auteur ; dimensions réelles à documenter</x:v>
      </x:c>
      <x:c r="I2717" s="115" t="str">
        <x:v>À équilibrer</x:v>
      </x:c>
      <x:c r="J2717" s="115" t="str">
        <x:v>Non</x:v>
      </x:c>
      <x:c r="K2717" s="115" t="str">
        <x:v>Pièces décrites, murs, portes, niveaux et mobilier inspectables à l’échelle. Volumes réservés, raccord au seed, butin, rencontres et services de campagne restent à terminer.</x:v>
      </x:c>
    </x:row>
    <x:row r="2718" ht="96" customHeight="1">
      <x:c r="A2718" s="115" t="str">
        <x:v>EXT-MONDE-T055-V13</x:v>
      </x:c>
      <x:c r="B2718" s="115" t="str">
        <x:v>EXT-MONDE-T055</x:v>
      </x:c>
      <x:c r="C2718" s="115" t="str">
        <x:v>Usines</x:v>
      </x:c>
      <x:c r="D2718" s="115" t="str">
        <x:v>Usine textile</x:v>
      </x:c>
      <x:c r="E2718" s="115" t="n">
        <x:v>13</x:v>
      </x:c>
      <x:c r="F2718" s="115" t="str">
        <x:v>Inspection physique</x:v>
      </x:c>
      <x:c r="G2718" s="115" t="str">
        <x:v>1 niveaux ; 40 pièces ; 303 segments de mur ; 0 transitions. Inspection physique ; architecture complète encore ouverte.</x:v>
      </x:c>
      <x:c r="H2718" s="115" t="str">
        <x:v>L 368 ; l 344 ; hauteur 6,05 m ; choix de composition auteur ; dimensions réelles à documenter</x:v>
      </x:c>
      <x:c r="I2718" s="115" t="str">
        <x:v>À équilibrer</x:v>
      </x:c>
      <x:c r="J2718" s="115" t="str">
        <x:v>Non</x:v>
      </x:c>
      <x:c r="K2718" s="115" t="str">
        <x:v>Pièces décrites, murs, portes, niveaux et mobilier inspectables à l’échelle. Volumes réservés, raccord au seed, butin, rencontres et services de campagne restent à terminer.</x:v>
      </x:c>
    </x:row>
    <x:row r="2719" ht="96" customHeight="1">
      <x:c r="A2719" s="115" t="str">
        <x:v>EXT-MONDE-T055-V14</x:v>
      </x:c>
      <x:c r="B2719" s="115" t="str">
        <x:v>EXT-MONDE-T055</x:v>
      </x:c>
      <x:c r="C2719" s="115" t="str">
        <x:v>Usines</x:v>
      </x:c>
      <x:c r="D2719" s="115" t="str">
        <x:v>Usine textile</x:v>
      </x:c>
      <x:c r="E2719" s="115" t="n">
        <x:v>14</x:v>
      </x:c>
      <x:c r="F2719" s="115" t="str">
        <x:v>Inspection physique</x:v>
      </x:c>
      <x:c r="G2719" s="115" t="str">
        <x:v>1 niveaux ; 40 pièces ; 303 segments de mur ; 0 transitions. Inspection physique ; architecture complète encore ouverte.</x:v>
      </x:c>
      <x:c r="H2719" s="115" t="str">
        <x:v>L 368 ; l 344 ; hauteur 6,05 m ; choix de composition auteur ; dimensions réelles à documenter</x:v>
      </x:c>
      <x:c r="I2719" s="115" t="str">
        <x:v>À équilibrer</x:v>
      </x:c>
      <x:c r="J2719" s="115" t="str">
        <x:v>Non</x:v>
      </x:c>
      <x:c r="K2719" s="115" t="str">
        <x:v>Pièces décrites, murs, portes, niveaux et mobilier inspectables à l’échelle. Volumes réservés, raccord au seed, butin, rencontres et services de campagne restent à terminer.</x:v>
      </x:c>
    </x:row>
    <x:row r="2720" ht="96" customHeight="1">
      <x:c r="A2720" s="115" t="str">
        <x:v>EXT-MONDE-T055-V15</x:v>
      </x:c>
      <x:c r="B2720" s="115" t="str">
        <x:v>EXT-MONDE-T055</x:v>
      </x:c>
      <x:c r="C2720" s="115" t="str">
        <x:v>Usines</x:v>
      </x:c>
      <x:c r="D2720" s="115" t="str">
        <x:v>Usine textile</x:v>
      </x:c>
      <x:c r="E2720" s="115" t="n">
        <x:v>15</x:v>
      </x:c>
      <x:c r="F2720" s="115" t="str">
        <x:v>Inspection physique</x:v>
      </x:c>
      <x:c r="G2720" s="115" t="str">
        <x:v>1 niveaux ; 40 pièces ; 303 segments de mur ; 0 transitions. Inspection physique ; architecture complète encore ouverte.</x:v>
      </x:c>
      <x:c r="H2720" s="115" t="str">
        <x:v>L 368 ; l 344 ; hauteur 6,05 m ; choix de composition auteur ; dimensions réelles à documenter</x:v>
      </x:c>
      <x:c r="I2720" s="115" t="str">
        <x:v>À équilibrer</x:v>
      </x:c>
      <x:c r="J2720" s="115" t="str">
        <x:v>Non</x:v>
      </x:c>
      <x:c r="K2720" s="115" t="str">
        <x:v>Pièces décrites, murs, portes, niveaux et mobilier inspectables à l’échelle. Volumes réservés, raccord au seed, butin, rencontres et services de campagne restent à terminer.</x:v>
      </x:c>
    </x:row>
    <x:row r="2721" ht="96" customHeight="1">
      <x:c r="A2721" s="115" t="str">
        <x:v>EXT-MONDE-T055-V16</x:v>
      </x:c>
      <x:c r="B2721" s="115" t="str">
        <x:v>EXT-MONDE-T055</x:v>
      </x:c>
      <x:c r="C2721" s="115" t="str">
        <x:v>Usines</x:v>
      </x:c>
      <x:c r="D2721" s="115" t="str">
        <x:v>Usine textile</x:v>
      </x:c>
      <x:c r="E2721" s="115" t="n">
        <x:v>16</x:v>
      </x:c>
      <x:c r="F2721" s="115" t="str">
        <x:v>Inspection physique</x:v>
      </x:c>
      <x:c r="G2721" s="115" t="str">
        <x:v>1 niveaux ; 40 pièces ; 303 segments de mur ; 0 transitions. Inspection physique ; architecture complète encore ouverte.</x:v>
      </x:c>
      <x:c r="H2721" s="115" t="str">
        <x:v>L 368 ; l 344 ; hauteur 6,05 m ; choix de composition auteur ; dimensions réelles à documenter</x:v>
      </x:c>
      <x:c r="I2721" s="115" t="str">
        <x:v>À équilibrer</x:v>
      </x:c>
      <x:c r="J2721" s="115" t="str">
        <x:v>Non</x:v>
      </x:c>
      <x:c r="K2721" s="115" t="str">
        <x:v>Pièces décrites, murs, portes, niveaux et mobilier inspectables à l’échelle. Volumes réservés, raccord au seed, butin, rencontres et services de campagne restent à terminer.</x:v>
      </x:c>
    </x:row>
    <x:row r="2722" ht="96" customHeight="1">
      <x:c r="A2722" s="115" t="str">
        <x:v>EXT-MONDE-T055-V17</x:v>
      </x:c>
      <x:c r="B2722" s="115" t="str">
        <x:v>EXT-MONDE-T055</x:v>
      </x:c>
      <x:c r="C2722" s="115" t="str">
        <x:v>Usines</x:v>
      </x:c>
      <x:c r="D2722" s="115" t="str">
        <x:v>Usine textile</x:v>
      </x:c>
      <x:c r="E2722" s="115" t="n">
        <x:v>17</x:v>
      </x:c>
      <x:c r="F2722" s="115" t="str">
        <x:v>Inspection physique</x:v>
      </x:c>
      <x:c r="G2722" s="115" t="str">
        <x:v>1 niveaux ; 40 pièces ; 303 segments de mur ; 0 transitions. Inspection physique ; architecture complète encore ouverte.</x:v>
      </x:c>
      <x:c r="H2722" s="115" t="str">
        <x:v>L 368 ; l 344 ; hauteur 6,05 m ; choix de composition auteur ; dimensions réelles à documenter</x:v>
      </x:c>
      <x:c r="I2722" s="115" t="str">
        <x:v>À équilibrer</x:v>
      </x:c>
      <x:c r="J2722" s="115" t="str">
        <x:v>Non</x:v>
      </x:c>
      <x:c r="K2722" s="115" t="str">
        <x:v>Pièces décrites, murs, portes, niveaux et mobilier inspectables à l’échelle. Volumes réservés, raccord au seed, butin, rencontres et services de campagne restent à terminer.</x:v>
      </x:c>
    </x:row>
    <x:row r="2723" ht="96" customHeight="1">
      <x:c r="A2723" s="115" t="str">
        <x:v>EXT-MONDE-T055-V18</x:v>
      </x:c>
      <x:c r="B2723" s="115" t="str">
        <x:v>EXT-MONDE-T055</x:v>
      </x:c>
      <x:c r="C2723" s="115" t="str">
        <x:v>Usines</x:v>
      </x:c>
      <x:c r="D2723" s="115" t="str">
        <x:v>Usine textile</x:v>
      </x:c>
      <x:c r="E2723" s="115" t="n">
        <x:v>18</x:v>
      </x:c>
      <x:c r="F2723" s="115" t="str">
        <x:v>Inspection physique</x:v>
      </x:c>
      <x:c r="G2723" s="115" t="str">
        <x:v>1 niveaux ; 40 pièces ; 303 segments de mur ; 0 transitions. Inspection physique ; architecture complète encore ouverte.</x:v>
      </x:c>
      <x:c r="H2723" s="115" t="str">
        <x:v>L 368 ; l 344 ; hauteur 6,05 m ; choix de composition auteur ; dimensions réelles à documenter</x:v>
      </x:c>
      <x:c r="I2723" s="115" t="str">
        <x:v>À équilibrer</x:v>
      </x:c>
      <x:c r="J2723" s="115" t="str">
        <x:v>Non</x:v>
      </x:c>
      <x:c r="K2723" s="115" t="str">
        <x:v>Pièces décrites, murs, portes, niveaux et mobilier inspectables à l’échelle. Volumes réservés, raccord au seed, butin, rencontres et services de campagne restent à terminer.</x:v>
      </x:c>
    </x:row>
    <x:row r="2724" ht="96" customHeight="1">
      <x:c r="A2724" s="115" t="str">
        <x:v>EXT-MONDE-T055-V19</x:v>
      </x:c>
      <x:c r="B2724" s="115" t="str">
        <x:v>EXT-MONDE-T055</x:v>
      </x:c>
      <x:c r="C2724" s="115" t="str">
        <x:v>Usines</x:v>
      </x:c>
      <x:c r="D2724" s="115" t="str">
        <x:v>Usine textile</x:v>
      </x:c>
      <x:c r="E2724" s="115" t="n">
        <x:v>19</x:v>
      </x:c>
      <x:c r="F2724" s="115" t="str">
        <x:v>Inspection physique</x:v>
      </x:c>
      <x:c r="G2724" s="115" t="str">
        <x:v>1 niveaux ; 40 pièces ; 303 segments de mur ; 0 transitions. Inspection physique ; architecture complète encore ouverte.</x:v>
      </x:c>
      <x:c r="H2724" s="115" t="str">
        <x:v>L 368 ; l 344 ; hauteur 6,05 m ; choix de composition auteur ; dimensions réelles à documenter</x:v>
      </x:c>
      <x:c r="I2724" s="115" t="str">
        <x:v>À équilibrer</x:v>
      </x:c>
      <x:c r="J2724" s="115" t="str">
        <x:v>Non</x:v>
      </x:c>
      <x:c r="K2724" s="115" t="str">
        <x:v>Pièces décrites, murs, portes, niveaux et mobilier inspectables à l’échelle. Volumes réservés, raccord au seed, butin, rencontres et services de campagne restent à terminer.</x:v>
      </x:c>
    </x:row>
    <x:row r="2725" ht="96" customHeight="1">
      <x:c r="A2725" s="115" t="str">
        <x:v>EXT-MONDE-T055-V20</x:v>
      </x:c>
      <x:c r="B2725" s="115" t="str">
        <x:v>EXT-MONDE-T055</x:v>
      </x:c>
      <x:c r="C2725" s="115" t="str">
        <x:v>Usines</x:v>
      </x:c>
      <x:c r="D2725" s="115" t="str">
        <x:v>Usine textile</x:v>
      </x:c>
      <x:c r="E2725" s="115" t="n">
        <x:v>20</x:v>
      </x:c>
      <x:c r="F2725" s="115" t="str">
        <x:v>Inspection physique</x:v>
      </x:c>
      <x:c r="G2725" s="115" t="str">
        <x:v>1 niveaux ; 40 pièces ; 303 segments de mur ; 0 transitions. Inspection physique ; architecture complète encore ouverte.</x:v>
      </x:c>
      <x:c r="H2725" s="115" t="str">
        <x:v>L 368 ; l 344 ; hauteur 6,05 m ; choix de composition auteur ; dimensions réelles à documenter</x:v>
      </x:c>
      <x:c r="I2725" s="115" t="str">
        <x:v>À équilibrer</x:v>
      </x:c>
      <x:c r="J2725" s="115" t="str">
        <x:v>Non</x:v>
      </x:c>
      <x:c r="K2725" s="115" t="str">
        <x:v>Pièces décrites, murs, portes, niveaux et mobilier inspectables à l’échelle. Volumes réservés, raccord au seed, butin, rencontres et services de campagne restent à terminer.</x:v>
      </x:c>
    </x:row>
    <x:row r="2726" ht="96" customHeight="1">
      <x:c r="A2726" s="115" t="str">
        <x:v>EXT-MONDE-T055-V21</x:v>
      </x:c>
      <x:c r="B2726" s="115" t="str">
        <x:v>EXT-MONDE-T055</x:v>
      </x:c>
      <x:c r="C2726" s="115" t="str">
        <x:v>Usines</x:v>
      </x:c>
      <x:c r="D2726" s="115" t="str">
        <x:v>Usine textile</x:v>
      </x:c>
      <x:c r="E2726" s="115" t="n">
        <x:v>21</x:v>
      </x:c>
      <x:c r="F2726" s="115" t="str">
        <x:v>Inspection physique</x:v>
      </x:c>
      <x:c r="G2726" s="115" t="str">
        <x:v>1 niveaux ; 40 pièces ; 303 segments de mur ; 0 transitions. Inspection physique ; architecture complète encore ouverte.</x:v>
      </x:c>
      <x:c r="H2726" s="115" t="str">
        <x:v>L 386 ; l 368 ; hauteur 6,3 m ; choix de composition auteur ; dimensions réelles à documenter</x:v>
      </x:c>
      <x:c r="I2726" s="115" t="str">
        <x:v>À équilibrer</x:v>
      </x:c>
      <x:c r="J2726" s="115" t="str">
        <x:v>Non</x:v>
      </x:c>
      <x:c r="K2726" s="115" t="str">
        <x:v>Pièces décrites, murs, portes, niveaux et mobilier inspectables à l’échelle. Volumes réservés, raccord au seed, butin, rencontres et services de campagne restent à terminer.</x:v>
      </x:c>
    </x:row>
    <x:row r="2727" ht="96" customHeight="1">
      <x:c r="A2727" s="115" t="str">
        <x:v>EXT-MONDE-T055-V22</x:v>
      </x:c>
      <x:c r="B2727" s="115" t="str">
        <x:v>EXT-MONDE-T055</x:v>
      </x:c>
      <x:c r="C2727" s="115" t="str">
        <x:v>Usines</x:v>
      </x:c>
      <x:c r="D2727" s="115" t="str">
        <x:v>Usine textile</x:v>
      </x:c>
      <x:c r="E2727" s="115" t="n">
        <x:v>22</x:v>
      </x:c>
      <x:c r="F2727" s="115" t="str">
        <x:v>Inspection physique</x:v>
      </x:c>
      <x:c r="G2727" s="115" t="str">
        <x:v>1 niveaux ; 40 pièces ; 303 segments de mur ; 0 transitions. Inspection physique ; architecture complète encore ouverte.</x:v>
      </x:c>
      <x:c r="H2727" s="115" t="str">
        <x:v>L 386 ; l 368 ; hauteur 6,3 m ; choix de composition auteur ; dimensions réelles à documenter</x:v>
      </x:c>
      <x:c r="I2727" s="115" t="str">
        <x:v>À équilibrer</x:v>
      </x:c>
      <x:c r="J2727" s="115" t="str">
        <x:v>Non</x:v>
      </x:c>
      <x:c r="K2727" s="115" t="str">
        <x:v>Pièces décrites, murs, portes, niveaux et mobilier inspectables à l’échelle. Volumes réservés, raccord au seed, butin, rencontres et services de campagne restent à terminer.</x:v>
      </x:c>
    </x:row>
    <x:row r="2728" ht="96" customHeight="1">
      <x:c r="A2728" s="115" t="str">
        <x:v>EXT-MONDE-T055-V23</x:v>
      </x:c>
      <x:c r="B2728" s="115" t="str">
        <x:v>EXT-MONDE-T055</x:v>
      </x:c>
      <x:c r="C2728" s="115" t="str">
        <x:v>Usines</x:v>
      </x:c>
      <x:c r="D2728" s="115" t="str">
        <x:v>Usine textile</x:v>
      </x:c>
      <x:c r="E2728" s="115" t="n">
        <x:v>23</x:v>
      </x:c>
      <x:c r="F2728" s="115" t="str">
        <x:v>Inspection physique</x:v>
      </x:c>
      <x:c r="G2728" s="115" t="str">
        <x:v>1 niveaux ; 40 pièces ; 303 segments de mur ; 0 transitions. Inspection physique ; architecture complète encore ouverte.</x:v>
      </x:c>
      <x:c r="H2728" s="115" t="str">
        <x:v>L 386 ; l 368 ; hauteur 6,3 m ; choix de composition auteur ; dimensions réelles à documenter</x:v>
      </x:c>
      <x:c r="I2728" s="115" t="str">
        <x:v>À équilibrer</x:v>
      </x:c>
      <x:c r="J2728" s="115" t="str">
        <x:v>Non</x:v>
      </x:c>
      <x:c r="K2728" s="115" t="str">
        <x:v>Pièces décrites, murs, portes, niveaux et mobilier inspectables à l’échelle. Volumes réservés, raccord au seed, butin, rencontres et services de campagne restent à terminer.</x:v>
      </x:c>
    </x:row>
    <x:row r="2729" ht="96" customHeight="1">
      <x:c r="A2729" s="115" t="str">
        <x:v>EXT-MONDE-T055-V24</x:v>
      </x:c>
      <x:c r="B2729" s="115" t="str">
        <x:v>EXT-MONDE-T055</x:v>
      </x:c>
      <x:c r="C2729" s="115" t="str">
        <x:v>Usines</x:v>
      </x:c>
      <x:c r="D2729" s="115" t="str">
        <x:v>Usine textile</x:v>
      </x:c>
      <x:c r="E2729" s="115" t="n">
        <x:v>24</x:v>
      </x:c>
      <x:c r="F2729" s="115" t="str">
        <x:v>Inspection physique</x:v>
      </x:c>
      <x:c r="G2729" s="115" t="str">
        <x:v>1 niveaux ; 40 pièces ; 303 segments de mur ; 0 transitions. Inspection physique ; architecture complète encore ouverte.</x:v>
      </x:c>
      <x:c r="H2729" s="115" t="str">
        <x:v>L 386 ; l 368 ; hauteur 6,3 m ; choix de composition auteur ; dimensions réelles à documenter</x:v>
      </x:c>
      <x:c r="I2729" s="115" t="str">
        <x:v>À équilibrer</x:v>
      </x:c>
      <x:c r="J2729" s="115" t="str">
        <x:v>Non</x:v>
      </x:c>
      <x:c r="K2729" s="115" t="str">
        <x:v>Pièces décrites, murs, portes, niveaux et mobilier inspectables à l’échelle. Volumes réservés, raccord au seed, butin, rencontres et services de campagne restent à terminer.</x:v>
      </x:c>
    </x:row>
    <x:row r="2730" ht="96" customHeight="1">
      <x:c r="A2730" s="115" t="str">
        <x:v>EXT-MONDE-T055-V25</x:v>
      </x:c>
      <x:c r="B2730" s="115" t="str">
        <x:v>EXT-MONDE-T055</x:v>
      </x:c>
      <x:c r="C2730" s="115" t="str">
        <x:v>Usines</x:v>
      </x:c>
      <x:c r="D2730" s="115" t="str">
        <x:v>Usine textile</x:v>
      </x:c>
      <x:c r="E2730" s="115" t="n">
        <x:v>25</x:v>
      </x:c>
      <x:c r="F2730" s="115" t="str">
        <x:v>Inspection physique</x:v>
      </x:c>
      <x:c r="G2730" s="115" t="str">
        <x:v>1 niveaux ; 40 pièces ; 303 segments de mur ; 0 transitions. Inspection physique ; architecture complète encore ouverte.</x:v>
      </x:c>
      <x:c r="H2730" s="115" t="str">
        <x:v>L 386 ; l 368 ; hauteur 6,3 m ; choix de composition auteur ; dimensions réelles à documenter</x:v>
      </x:c>
      <x:c r="I2730" s="115" t="str">
        <x:v>À équilibrer</x:v>
      </x:c>
      <x:c r="J2730" s="115" t="str">
        <x:v>Non</x:v>
      </x:c>
      <x:c r="K2730" s="115" t="str">
        <x:v>Pièces décrites, murs, portes, niveaux et mobilier inspectables à l’échelle. Volumes réservés, raccord au seed, butin, rencontres et services de campagne restent à terminer.</x:v>
      </x:c>
    </x:row>
    <x:row r="2731" ht="96" customHeight="1">
      <x:c r="A2731" s="115" t="str">
        <x:v>EXT-MONDE-T055-V26</x:v>
      </x:c>
      <x:c r="B2731" s="115" t="str">
        <x:v>EXT-MONDE-T055</x:v>
      </x:c>
      <x:c r="C2731" s="115" t="str">
        <x:v>Usines</x:v>
      </x:c>
      <x:c r="D2731" s="115" t="str">
        <x:v>Usine textile</x:v>
      </x:c>
      <x:c r="E2731" s="115" t="n">
        <x:v>26</x:v>
      </x:c>
      <x:c r="F2731" s="115" t="str">
        <x:v>Inspection physique</x:v>
      </x:c>
      <x:c r="G2731" s="115" t="str">
        <x:v>1 niveaux ; 40 pièces ; 303 segments de mur ; 0 transitions. Inspection physique ; architecture complète encore ouverte.</x:v>
      </x:c>
      <x:c r="H2731" s="115" t="str">
        <x:v>L 386 ; l 368 ; hauteur 6,3 m ; choix de composition auteur ; dimensions réelles à documenter</x:v>
      </x:c>
      <x:c r="I2731" s="115" t="str">
        <x:v>À équilibrer</x:v>
      </x:c>
      <x:c r="J2731" s="115" t="str">
        <x:v>Non</x:v>
      </x:c>
      <x:c r="K2731" s="115" t="str">
        <x:v>Pièces décrites, murs, portes, niveaux et mobilier inspectables à l’échelle. Volumes réservés, raccord au seed, butin, rencontres et services de campagne restent à terminer.</x:v>
      </x:c>
    </x:row>
    <x:row r="2732" ht="96" customHeight="1">
      <x:c r="A2732" s="115" t="str">
        <x:v>EXT-MONDE-T055-V27</x:v>
      </x:c>
      <x:c r="B2732" s="115" t="str">
        <x:v>EXT-MONDE-T055</x:v>
      </x:c>
      <x:c r="C2732" s="115" t="str">
        <x:v>Usines</x:v>
      </x:c>
      <x:c r="D2732" s="115" t="str">
        <x:v>Usine textile</x:v>
      </x:c>
      <x:c r="E2732" s="115" t="n">
        <x:v>27</x:v>
      </x:c>
      <x:c r="F2732" s="115" t="str">
        <x:v>Inspection physique</x:v>
      </x:c>
      <x:c r="G2732" s="115" t="str">
        <x:v>1 niveaux ; 40 pièces ; 303 segments de mur ; 0 transitions. Inspection physique ; architecture complète encore ouverte.</x:v>
      </x:c>
      <x:c r="H2732" s="115" t="str">
        <x:v>L 386 ; l 368 ; hauteur 6,3 m ; choix de composition auteur ; dimensions réelles à documenter</x:v>
      </x:c>
      <x:c r="I2732" s="115" t="str">
        <x:v>À équilibrer</x:v>
      </x:c>
      <x:c r="J2732" s="115" t="str">
        <x:v>Non</x:v>
      </x:c>
      <x:c r="K2732" s="115" t="str">
        <x:v>Pièces décrites, murs, portes, niveaux et mobilier inspectables à l’échelle. Volumes réservés, raccord au seed, butin, rencontres et services de campagne restent à terminer.</x:v>
      </x:c>
    </x:row>
    <x:row r="2733" ht="96" customHeight="1">
      <x:c r="A2733" s="115" t="str">
        <x:v>EXT-MONDE-T055-V28</x:v>
      </x:c>
      <x:c r="B2733" s="115" t="str">
        <x:v>EXT-MONDE-T055</x:v>
      </x:c>
      <x:c r="C2733" s="115" t="str">
        <x:v>Usines</x:v>
      </x:c>
      <x:c r="D2733" s="115" t="str">
        <x:v>Usine textile</x:v>
      </x:c>
      <x:c r="E2733" s="115" t="n">
        <x:v>28</x:v>
      </x:c>
      <x:c r="F2733" s="115" t="str">
        <x:v>Inspection physique</x:v>
      </x:c>
      <x:c r="G2733" s="115" t="str">
        <x:v>1 niveaux ; 40 pièces ; 303 segments de mur ; 0 transitions. Inspection physique ; architecture complète encore ouverte.</x:v>
      </x:c>
      <x:c r="H2733" s="115" t="str">
        <x:v>L 386 ; l 368 ; hauteur 6,3 m ; choix de composition auteur ; dimensions réelles à documenter</x:v>
      </x:c>
      <x:c r="I2733" s="115" t="str">
        <x:v>À équilibrer</x:v>
      </x:c>
      <x:c r="J2733" s="115" t="str">
        <x:v>Non</x:v>
      </x:c>
      <x:c r="K2733" s="115" t="str">
        <x:v>Pièces décrites, murs, portes, niveaux et mobilier inspectables à l’échelle. Volumes réservés, raccord au seed, butin, rencontres et services de campagne restent à terminer.</x:v>
      </x:c>
    </x:row>
    <x:row r="2734" ht="96" customHeight="1">
      <x:c r="A2734" s="115" t="str">
        <x:v>EXT-MONDE-T055-V29</x:v>
      </x:c>
      <x:c r="B2734" s="115" t="str">
        <x:v>EXT-MONDE-T055</x:v>
      </x:c>
      <x:c r="C2734" s="115" t="str">
        <x:v>Usines</x:v>
      </x:c>
      <x:c r="D2734" s="115" t="str">
        <x:v>Usine textile</x:v>
      </x:c>
      <x:c r="E2734" s="115" t="n">
        <x:v>29</x:v>
      </x:c>
      <x:c r="F2734" s="115" t="str">
        <x:v>Inspection physique</x:v>
      </x:c>
      <x:c r="G2734" s="115" t="str">
        <x:v>1 niveaux ; 40 pièces ; 303 segments de mur ; 0 transitions. Inspection physique ; architecture complète encore ouverte.</x:v>
      </x:c>
      <x:c r="H2734" s="115" t="str">
        <x:v>L 386 ; l 368 ; hauteur 6,3 m ; choix de composition auteur ; dimensions réelles à documenter</x:v>
      </x:c>
      <x:c r="I2734" s="115" t="str">
        <x:v>À équilibrer</x:v>
      </x:c>
      <x:c r="J2734" s="115" t="str">
        <x:v>Non</x:v>
      </x:c>
      <x:c r="K2734" s="115" t="str">
        <x:v>Pièces décrites, murs, portes, niveaux et mobilier inspectables à l’échelle. Volumes réservés, raccord au seed, butin, rencontres et services de campagne restent à terminer.</x:v>
      </x:c>
    </x:row>
    <x:row r="2735" ht="96" customHeight="1">
      <x:c r="A2735" s="115" t="str">
        <x:v>EXT-MONDE-T055-V30</x:v>
      </x:c>
      <x:c r="B2735" s="115" t="str">
        <x:v>EXT-MONDE-T055</x:v>
      </x:c>
      <x:c r="C2735" s="115" t="str">
        <x:v>Usines</x:v>
      </x:c>
      <x:c r="D2735" s="115" t="str">
        <x:v>Usine textile</x:v>
      </x:c>
      <x:c r="E2735" s="115" t="n">
        <x:v>30</x:v>
      </x:c>
      <x:c r="F2735" s="115" t="str">
        <x:v>Inspection physique</x:v>
      </x:c>
      <x:c r="G2735" s="115" t="str">
        <x:v>1 niveaux ; 40 pièces ; 303 segments de mur ; 0 transitions. Inspection physique ; architecture complète encore ouverte.</x:v>
      </x:c>
      <x:c r="H2735" s="115" t="str">
        <x:v>L 386 ; l 368 ; hauteur 6,3 m ; choix de composition auteur ; dimensions réelles à documenter</x:v>
      </x:c>
      <x:c r="I2735" s="115" t="str">
        <x:v>À équilibrer</x:v>
      </x:c>
      <x:c r="J2735" s="115" t="str">
        <x:v>Non</x:v>
      </x:c>
      <x:c r="K2735" s="115" t="str">
        <x:v>Pièces décrites, murs, portes, niveaux et mobilier inspectables à l’échelle. Volumes réservés, raccord au seed, butin, rencontres et services de campagne restent à terminer.</x:v>
      </x:c>
    </x:row>
    <x:row r="2736" ht="96" customHeight="1">
      <x:c r="A2736" s="115" t="str">
        <x:v>EXT-MONDE-T055-V31</x:v>
      </x:c>
      <x:c r="B2736" s="115" t="str">
        <x:v>EXT-MONDE-T055</x:v>
      </x:c>
      <x:c r="C2736" s="115" t="str">
        <x:v>Usines</x:v>
      </x:c>
      <x:c r="D2736" s="115" t="str">
        <x:v>Usine textile</x:v>
      </x:c>
      <x:c r="E2736" s="115" t="n">
        <x:v>31</x:v>
      </x:c>
      <x:c r="F2736" s="115" t="str">
        <x:v>Inspection physique</x:v>
      </x:c>
      <x:c r="G2736" s="115" t="str">
        <x:v>1 niveaux ; 40 pièces ; 303 segments de mur ; 0 transitions. Inspection physique ; architecture complète encore ouverte.</x:v>
      </x:c>
      <x:c r="H2736" s="115" t="str">
        <x:v>L 404 ; l 392 ; hauteur 6,55 m ; choix de composition auteur ; dimensions réelles à documenter</x:v>
      </x:c>
      <x:c r="I2736" s="115" t="str">
        <x:v>À équilibrer</x:v>
      </x:c>
      <x:c r="J2736" s="115" t="str">
        <x:v>Non</x:v>
      </x:c>
      <x:c r="K2736" s="115" t="str">
        <x:v>Pièces décrites, murs, portes, niveaux et mobilier inspectables à l’échelle. Volumes réservés, raccord au seed, butin, rencontres et services de campagne restent à terminer.</x:v>
      </x:c>
    </x:row>
    <x:row r="2737" ht="96" customHeight="1">
      <x:c r="A2737" s="115" t="str">
        <x:v>EXT-MONDE-T055-V32</x:v>
      </x:c>
      <x:c r="B2737" s="115" t="str">
        <x:v>EXT-MONDE-T055</x:v>
      </x:c>
      <x:c r="C2737" s="115" t="str">
        <x:v>Usines</x:v>
      </x:c>
      <x:c r="D2737" s="115" t="str">
        <x:v>Usine textile</x:v>
      </x:c>
      <x:c r="E2737" s="115" t="n">
        <x:v>32</x:v>
      </x:c>
      <x:c r="F2737" s="115" t="str">
        <x:v>Inspection physique</x:v>
      </x:c>
      <x:c r="G2737" s="115" t="str">
        <x:v>1 niveaux ; 40 pièces ; 303 segments de mur ; 0 transitions. Inspection physique ; architecture complète encore ouverte.</x:v>
      </x:c>
      <x:c r="H2737" s="115" t="str">
        <x:v>L 404 ; l 392 ; hauteur 6,55 m ; choix de composition auteur ; dimensions réelles à documenter</x:v>
      </x:c>
      <x:c r="I2737" s="115" t="str">
        <x:v>À équilibrer</x:v>
      </x:c>
      <x:c r="J2737" s="115" t="str">
        <x:v>Non</x:v>
      </x:c>
      <x:c r="K2737" s="115" t="str">
        <x:v>Pièces décrites, murs, portes, niveaux et mobilier inspectables à l’échelle. Volumes réservés, raccord au seed, butin, rencontres et services de campagne restent à terminer.</x:v>
      </x:c>
    </x:row>
    <x:row r="2738" ht="96" customHeight="1">
      <x:c r="A2738" s="115" t="str">
        <x:v>EXT-MONDE-T055-V33</x:v>
      </x:c>
      <x:c r="B2738" s="115" t="str">
        <x:v>EXT-MONDE-T055</x:v>
      </x:c>
      <x:c r="C2738" s="115" t="str">
        <x:v>Usines</x:v>
      </x:c>
      <x:c r="D2738" s="115" t="str">
        <x:v>Usine textile</x:v>
      </x:c>
      <x:c r="E2738" s="115" t="n">
        <x:v>33</x:v>
      </x:c>
      <x:c r="F2738" s="115" t="str">
        <x:v>Inspection physique</x:v>
      </x:c>
      <x:c r="G2738" s="115" t="str">
        <x:v>1 niveaux ; 40 pièces ; 303 segments de mur ; 0 transitions. Inspection physique ; architecture complète encore ouverte.</x:v>
      </x:c>
      <x:c r="H2738" s="115" t="str">
        <x:v>L 404 ; l 392 ; hauteur 6,55 m ; choix de composition auteur ; dimensions réelles à documenter</x:v>
      </x:c>
      <x:c r="I2738" s="115" t="str">
        <x:v>À équilibrer</x:v>
      </x:c>
      <x:c r="J2738" s="115" t="str">
        <x:v>Non</x:v>
      </x:c>
      <x:c r="K2738" s="115" t="str">
        <x:v>Pièces décrites, murs, portes, niveaux et mobilier inspectables à l’échelle. Volumes réservés, raccord au seed, butin, rencontres et services de campagne restent à terminer.</x:v>
      </x:c>
    </x:row>
    <x:row r="2739" ht="96" customHeight="1">
      <x:c r="A2739" s="115" t="str">
        <x:v>EXT-MONDE-T055-V34</x:v>
      </x:c>
      <x:c r="B2739" s="115" t="str">
        <x:v>EXT-MONDE-T055</x:v>
      </x:c>
      <x:c r="C2739" s="115" t="str">
        <x:v>Usines</x:v>
      </x:c>
      <x:c r="D2739" s="115" t="str">
        <x:v>Usine textile</x:v>
      </x:c>
      <x:c r="E2739" s="115" t="n">
        <x:v>34</x:v>
      </x:c>
      <x:c r="F2739" s="115" t="str">
        <x:v>Inspection physique</x:v>
      </x:c>
      <x:c r="G2739" s="115" t="str">
        <x:v>1 niveaux ; 40 pièces ; 303 segments de mur ; 0 transitions. Inspection physique ; architecture complète encore ouverte.</x:v>
      </x:c>
      <x:c r="H2739" s="115" t="str">
        <x:v>L 404 ; l 392 ; hauteur 6,55 m ; choix de composition auteur ; dimensions réelles à documenter</x:v>
      </x:c>
      <x:c r="I2739" s="115" t="str">
        <x:v>À équilibrer</x:v>
      </x:c>
      <x:c r="J2739" s="115" t="str">
        <x:v>Non</x:v>
      </x:c>
      <x:c r="K2739" s="115" t="str">
        <x:v>Pièces décrites, murs, portes, niveaux et mobilier inspectables à l’échelle. Volumes réservés, raccord au seed, butin, rencontres et services de campagne restent à terminer.</x:v>
      </x:c>
    </x:row>
    <x:row r="2740" ht="96" customHeight="1">
      <x:c r="A2740" s="115" t="str">
        <x:v>EXT-MONDE-T055-V35</x:v>
      </x:c>
      <x:c r="B2740" s="115" t="str">
        <x:v>EXT-MONDE-T055</x:v>
      </x:c>
      <x:c r="C2740" s="115" t="str">
        <x:v>Usines</x:v>
      </x:c>
      <x:c r="D2740" s="115" t="str">
        <x:v>Usine textile</x:v>
      </x:c>
      <x:c r="E2740" s="115" t="n">
        <x:v>35</x:v>
      </x:c>
      <x:c r="F2740" s="115" t="str">
        <x:v>Inspection physique</x:v>
      </x:c>
      <x:c r="G2740" s="115" t="str">
        <x:v>1 niveaux ; 40 pièces ; 303 segments de mur ; 0 transitions. Inspection physique ; architecture complète encore ouverte.</x:v>
      </x:c>
      <x:c r="H2740" s="115" t="str">
        <x:v>L 404 ; l 392 ; hauteur 6,55 m ; choix de composition auteur ; dimensions réelles à documenter</x:v>
      </x:c>
      <x:c r="I2740" s="115" t="str">
        <x:v>À équilibrer</x:v>
      </x:c>
      <x:c r="J2740" s="115" t="str">
        <x:v>Non</x:v>
      </x:c>
      <x:c r="K2740" s="115" t="str">
        <x:v>Pièces décrites, murs, portes, niveaux et mobilier inspectables à l’échelle. Volumes réservés, raccord au seed, butin, rencontres et services de campagne restent à terminer.</x:v>
      </x:c>
    </x:row>
    <x:row r="2741" ht="96" customHeight="1">
      <x:c r="A2741" s="115" t="str">
        <x:v>EXT-MONDE-T055-V36</x:v>
      </x:c>
      <x:c r="B2741" s="115" t="str">
        <x:v>EXT-MONDE-T055</x:v>
      </x:c>
      <x:c r="C2741" s="115" t="str">
        <x:v>Usines</x:v>
      </x:c>
      <x:c r="D2741" s="115" t="str">
        <x:v>Usine textile</x:v>
      </x:c>
      <x:c r="E2741" s="115" t="n">
        <x:v>36</x:v>
      </x:c>
      <x:c r="F2741" s="115" t="str">
        <x:v>Inspection physique</x:v>
      </x:c>
      <x:c r="G2741" s="115" t="str">
        <x:v>1 niveaux ; 40 pièces ; 303 segments de mur ; 0 transitions. Inspection physique ; architecture complète encore ouverte.</x:v>
      </x:c>
      <x:c r="H2741" s="115" t="str">
        <x:v>L 404 ; l 392 ; hauteur 6,55 m ; choix de composition auteur ; dimensions réelles à documenter</x:v>
      </x:c>
      <x:c r="I2741" s="115" t="str">
        <x:v>À équilibrer</x:v>
      </x:c>
      <x:c r="J2741" s="115" t="str">
        <x:v>Non</x:v>
      </x:c>
      <x:c r="K2741" s="115" t="str">
        <x:v>Pièces décrites, murs, portes, niveaux et mobilier inspectables à l’échelle. Volumes réservés, raccord au seed, butin, rencontres et services de campagne restent à terminer.</x:v>
      </x:c>
    </x:row>
    <x:row r="2742" ht="96" customHeight="1">
      <x:c r="A2742" s="115" t="str">
        <x:v>EXT-MONDE-T055-V37</x:v>
      </x:c>
      <x:c r="B2742" s="115" t="str">
        <x:v>EXT-MONDE-T055</x:v>
      </x:c>
      <x:c r="C2742" s="115" t="str">
        <x:v>Usines</x:v>
      </x:c>
      <x:c r="D2742" s="115" t="str">
        <x:v>Usine textile</x:v>
      </x:c>
      <x:c r="E2742" s="115" t="n">
        <x:v>37</x:v>
      </x:c>
      <x:c r="F2742" s="115" t="str">
        <x:v>Inspection physique</x:v>
      </x:c>
      <x:c r="G2742" s="115" t="str">
        <x:v>1 niveaux ; 40 pièces ; 303 segments de mur ; 0 transitions. Inspection physique ; architecture complète encore ouverte.</x:v>
      </x:c>
      <x:c r="H2742" s="115" t="str">
        <x:v>L 404 ; l 392 ; hauteur 6,55 m ; choix de composition auteur ; dimensions réelles à documenter</x:v>
      </x:c>
      <x:c r="I2742" s="115" t="str">
        <x:v>À équilibrer</x:v>
      </x:c>
      <x:c r="J2742" s="115" t="str">
        <x:v>Non</x:v>
      </x:c>
      <x:c r="K2742" s="115" t="str">
        <x:v>Pièces décrites, murs, portes, niveaux et mobilier inspectables à l’échelle. Volumes réservés, raccord au seed, butin, rencontres et services de campagne restent à terminer.</x:v>
      </x:c>
    </x:row>
    <x:row r="2743" ht="96" customHeight="1">
      <x:c r="A2743" s="115" t="str">
        <x:v>EXT-MONDE-T055-V38</x:v>
      </x:c>
      <x:c r="B2743" s="115" t="str">
        <x:v>EXT-MONDE-T055</x:v>
      </x:c>
      <x:c r="C2743" s="115" t="str">
        <x:v>Usines</x:v>
      </x:c>
      <x:c r="D2743" s="115" t="str">
        <x:v>Usine textile</x:v>
      </x:c>
      <x:c r="E2743" s="115" t="n">
        <x:v>38</x:v>
      </x:c>
      <x:c r="F2743" s="115" t="str">
        <x:v>Inspection physique</x:v>
      </x:c>
      <x:c r="G2743" s="115" t="str">
        <x:v>1 niveaux ; 40 pièces ; 303 segments de mur ; 0 transitions. Inspection physique ; architecture complète encore ouverte.</x:v>
      </x:c>
      <x:c r="H2743" s="115" t="str">
        <x:v>L 404 ; l 392 ; hauteur 6,55 m ; choix de composition auteur ; dimensions réelles à documenter</x:v>
      </x:c>
      <x:c r="I2743" s="115" t="str">
        <x:v>À équilibrer</x:v>
      </x:c>
      <x:c r="J2743" s="115" t="str">
        <x:v>Non</x:v>
      </x:c>
      <x:c r="K2743" s="115" t="str">
        <x:v>Pièces décrites, murs, portes, niveaux et mobilier inspectables à l’échelle. Volumes réservés, raccord au seed, butin, rencontres et services de campagne restent à terminer.</x:v>
      </x:c>
    </x:row>
    <x:row r="2744" ht="96" customHeight="1">
      <x:c r="A2744" s="115" t="str">
        <x:v>EXT-MONDE-T055-V39</x:v>
      </x:c>
      <x:c r="B2744" s="115" t="str">
        <x:v>EXT-MONDE-T055</x:v>
      </x:c>
      <x:c r="C2744" s="115" t="str">
        <x:v>Usines</x:v>
      </x:c>
      <x:c r="D2744" s="115" t="str">
        <x:v>Usine textile</x:v>
      </x:c>
      <x:c r="E2744" s="115" t="n">
        <x:v>39</x:v>
      </x:c>
      <x:c r="F2744" s="115" t="str">
        <x:v>Inspection physique</x:v>
      </x:c>
      <x:c r="G2744" s="115" t="str">
        <x:v>1 niveaux ; 40 pièces ; 303 segments de mur ; 0 transitions. Inspection physique ; architecture complète encore ouverte.</x:v>
      </x:c>
      <x:c r="H2744" s="115" t="str">
        <x:v>L 404 ; l 392 ; hauteur 6,55 m ; choix de composition auteur ; dimensions réelles à documenter</x:v>
      </x:c>
      <x:c r="I2744" s="115" t="str">
        <x:v>À équilibrer</x:v>
      </x:c>
      <x:c r="J2744" s="115" t="str">
        <x:v>Non</x:v>
      </x:c>
      <x:c r="K2744" s="115" t="str">
        <x:v>Pièces décrites, murs, portes, niveaux et mobilier inspectables à l’échelle. Volumes réservés, raccord au seed, butin, rencontres et services de campagne restent à terminer.</x:v>
      </x:c>
    </x:row>
    <x:row r="2745" ht="96" customHeight="1">
      <x:c r="A2745" s="115" t="str">
        <x:v>EXT-MONDE-T055-V40</x:v>
      </x:c>
      <x:c r="B2745" s="115" t="str">
        <x:v>EXT-MONDE-T055</x:v>
      </x:c>
      <x:c r="C2745" s="115" t="str">
        <x:v>Usines</x:v>
      </x:c>
      <x:c r="D2745" s="115" t="str">
        <x:v>Usine textile</x:v>
      </x:c>
      <x:c r="E2745" s="115" t="n">
        <x:v>40</x:v>
      </x:c>
      <x:c r="F2745" s="115" t="str">
        <x:v>Inspection physique</x:v>
      </x:c>
      <x:c r="G2745" s="115" t="str">
        <x:v>1 niveaux ; 40 pièces ; 303 segments de mur ; 0 transitions. Inspection physique ; architecture complète encore ouverte.</x:v>
      </x:c>
      <x:c r="H2745" s="115" t="str">
        <x:v>L 404 ; l 392 ; hauteur 6,55 m ; choix de composition auteur ; dimensions réelles à documenter</x:v>
      </x:c>
      <x:c r="I2745" s="115" t="str">
        <x:v>À équilibrer</x:v>
      </x:c>
      <x:c r="J2745" s="115" t="str">
        <x:v>Non</x:v>
      </x:c>
      <x:c r="K2745" s="115" t="str">
        <x:v>Pièces décrites, murs, portes, niveaux et mobilier inspectables à l’échelle. Volumes réservés, raccord au seed, butin, rencontres et services de campagne restent à terminer.</x:v>
      </x:c>
    </x:row>
    <x:row r="2746" ht="96" customHeight="1">
      <x:c r="A2746" s="115" t="str">
        <x:v>EXT-MONDE-T055-V41</x:v>
      </x:c>
      <x:c r="B2746" s="115" t="str">
        <x:v>EXT-MONDE-T055</x:v>
      </x:c>
      <x:c r="C2746" s="115" t="str">
        <x:v>Usines</x:v>
      </x:c>
      <x:c r="D2746" s="115" t="str">
        <x:v>Usine textile</x:v>
      </x:c>
      <x:c r="E2746" s="115" t="n">
        <x:v>41</x:v>
      </x:c>
      <x:c r="F2746" s="115" t="str">
        <x:v>Inspection physique</x:v>
      </x:c>
      <x:c r="G2746" s="115" t="str">
        <x:v>1 niveaux ; 40 pièces ; 303 segments de mur ; 0 transitions. Inspection physique ; architecture complète encore ouverte.</x:v>
      </x:c>
      <x:c r="H2746" s="115" t="str">
        <x:v>L 422 ; l 416 ; hauteur 6,8 m ; choix de composition auteur ; dimensions réelles à documenter</x:v>
      </x:c>
      <x:c r="I2746" s="115" t="str">
        <x:v>À équilibrer</x:v>
      </x:c>
      <x:c r="J2746" s="115" t="str">
        <x:v>Non</x:v>
      </x:c>
      <x:c r="K2746" s="115" t="str">
        <x:v>Pièces décrites, murs, portes, niveaux et mobilier inspectables à l’échelle. Volumes réservés, raccord au seed, butin, rencontres et services de campagne restent à terminer.</x:v>
      </x:c>
    </x:row>
    <x:row r="2747" ht="96" customHeight="1">
      <x:c r="A2747" s="115" t="str">
        <x:v>EXT-MONDE-T055-V42</x:v>
      </x:c>
      <x:c r="B2747" s="115" t="str">
        <x:v>EXT-MONDE-T055</x:v>
      </x:c>
      <x:c r="C2747" s="115" t="str">
        <x:v>Usines</x:v>
      </x:c>
      <x:c r="D2747" s="115" t="str">
        <x:v>Usine textile</x:v>
      </x:c>
      <x:c r="E2747" s="115" t="n">
        <x:v>42</x:v>
      </x:c>
      <x:c r="F2747" s="115" t="str">
        <x:v>Inspection physique</x:v>
      </x:c>
      <x:c r="G2747" s="115" t="str">
        <x:v>1 niveaux ; 40 pièces ; 303 segments de mur ; 0 transitions. Inspection physique ; architecture complète encore ouverte.</x:v>
      </x:c>
      <x:c r="H2747" s="115" t="str">
        <x:v>L 422 ; l 416 ; hauteur 6,8 m ; choix de composition auteur ; dimensions réelles à documenter</x:v>
      </x:c>
      <x:c r="I2747" s="115" t="str">
        <x:v>À équilibrer</x:v>
      </x:c>
      <x:c r="J2747" s="115" t="str">
        <x:v>Non</x:v>
      </x:c>
      <x:c r="K2747" s="115" t="str">
        <x:v>Pièces décrites, murs, portes, niveaux et mobilier inspectables à l’échelle. Volumes réservés, raccord au seed, butin, rencontres et services de campagne restent à terminer.</x:v>
      </x:c>
    </x:row>
    <x:row r="2748" ht="96" customHeight="1">
      <x:c r="A2748" s="115" t="str">
        <x:v>EXT-MONDE-T055-V43</x:v>
      </x:c>
      <x:c r="B2748" s="115" t="str">
        <x:v>EXT-MONDE-T055</x:v>
      </x:c>
      <x:c r="C2748" s="115" t="str">
        <x:v>Usines</x:v>
      </x:c>
      <x:c r="D2748" s="115" t="str">
        <x:v>Usine textile</x:v>
      </x:c>
      <x:c r="E2748" s="115" t="n">
        <x:v>43</x:v>
      </x:c>
      <x:c r="F2748" s="115" t="str">
        <x:v>Inspection physique</x:v>
      </x:c>
      <x:c r="G2748" s="115" t="str">
        <x:v>1 niveaux ; 40 pièces ; 303 segments de mur ; 0 transitions. Inspection physique ; architecture complète encore ouverte.</x:v>
      </x:c>
      <x:c r="H2748" s="115" t="str">
        <x:v>L 422 ; l 416 ; hauteur 6,8 m ; choix de composition auteur ; dimensions réelles à documenter</x:v>
      </x:c>
      <x:c r="I2748" s="115" t="str">
        <x:v>À équilibrer</x:v>
      </x:c>
      <x:c r="J2748" s="115" t="str">
        <x:v>Non</x:v>
      </x:c>
      <x:c r="K2748" s="115" t="str">
        <x:v>Pièces décrites, murs, portes, niveaux et mobilier inspectables à l’échelle. Volumes réservés, raccord au seed, butin, rencontres et services de campagne restent à terminer.</x:v>
      </x:c>
    </x:row>
    <x:row r="2749" ht="96" customHeight="1">
      <x:c r="A2749" s="115" t="str">
        <x:v>EXT-MONDE-T055-V44</x:v>
      </x:c>
      <x:c r="B2749" s="115" t="str">
        <x:v>EXT-MONDE-T055</x:v>
      </x:c>
      <x:c r="C2749" s="115" t="str">
        <x:v>Usines</x:v>
      </x:c>
      <x:c r="D2749" s="115" t="str">
        <x:v>Usine textile</x:v>
      </x:c>
      <x:c r="E2749" s="115" t="n">
        <x:v>44</x:v>
      </x:c>
      <x:c r="F2749" s="115" t="str">
        <x:v>Inspection physique</x:v>
      </x:c>
      <x:c r="G2749" s="115" t="str">
        <x:v>1 niveaux ; 40 pièces ; 303 segments de mur ; 0 transitions. Inspection physique ; architecture complète encore ouverte.</x:v>
      </x:c>
      <x:c r="H2749" s="115" t="str">
        <x:v>L 422 ; l 416 ; hauteur 6,8 m ; choix de composition auteur ; dimensions réelles à documenter</x:v>
      </x:c>
      <x:c r="I2749" s="115" t="str">
        <x:v>À équilibrer</x:v>
      </x:c>
      <x:c r="J2749" s="115" t="str">
        <x:v>Non</x:v>
      </x:c>
      <x:c r="K2749" s="115" t="str">
        <x:v>Pièces décrites, murs, portes, niveaux et mobilier inspectables à l’échelle. Volumes réservés, raccord au seed, butin, rencontres et services de campagne restent à terminer.</x:v>
      </x:c>
    </x:row>
    <x:row r="2750" ht="96" customHeight="1">
      <x:c r="A2750" s="115" t="str">
        <x:v>EXT-MONDE-T055-V45</x:v>
      </x:c>
      <x:c r="B2750" s="115" t="str">
        <x:v>EXT-MONDE-T055</x:v>
      </x:c>
      <x:c r="C2750" s="115" t="str">
        <x:v>Usines</x:v>
      </x:c>
      <x:c r="D2750" s="115" t="str">
        <x:v>Usine textile</x:v>
      </x:c>
      <x:c r="E2750" s="115" t="n">
        <x:v>45</x:v>
      </x:c>
      <x:c r="F2750" s="115" t="str">
        <x:v>Inspection physique</x:v>
      </x:c>
      <x:c r="G2750" s="115" t="str">
        <x:v>1 niveaux ; 40 pièces ; 303 segments de mur ; 0 transitions. Inspection physique ; architecture complète encore ouverte.</x:v>
      </x:c>
      <x:c r="H2750" s="115" t="str">
        <x:v>L 422 ; l 416 ; hauteur 6,8 m ; choix de composition auteur ; dimensions réelles à documenter</x:v>
      </x:c>
      <x:c r="I2750" s="115" t="str">
        <x:v>À équilibrer</x:v>
      </x:c>
      <x:c r="J2750" s="115" t="str">
        <x:v>Non</x:v>
      </x:c>
      <x:c r="K2750" s="115" t="str">
        <x:v>Pièces décrites, murs, portes, niveaux et mobilier inspectables à l’échelle. Volumes réservés, raccord au seed, butin, rencontres et services de campagne restent à terminer.</x:v>
      </x:c>
    </x:row>
    <x:row r="2751" ht="96" customHeight="1">
      <x:c r="A2751" s="115" t="str">
        <x:v>EXT-MONDE-T055-V46</x:v>
      </x:c>
      <x:c r="B2751" s="115" t="str">
        <x:v>EXT-MONDE-T055</x:v>
      </x:c>
      <x:c r="C2751" s="115" t="str">
        <x:v>Usines</x:v>
      </x:c>
      <x:c r="D2751" s="115" t="str">
        <x:v>Usine textile</x:v>
      </x:c>
      <x:c r="E2751" s="115" t="n">
        <x:v>46</x:v>
      </x:c>
      <x:c r="F2751" s="115" t="str">
        <x:v>Inspection physique</x:v>
      </x:c>
      <x:c r="G2751" s="115" t="str">
        <x:v>1 niveaux ; 40 pièces ; 303 segments de mur ; 0 transitions. Inspection physique ; architecture complète encore ouverte.</x:v>
      </x:c>
      <x:c r="H2751" s="115" t="str">
        <x:v>L 422 ; l 416 ; hauteur 6,8 m ; choix de composition auteur ; dimensions réelles à documenter</x:v>
      </x:c>
      <x:c r="I2751" s="115" t="str">
        <x:v>À équilibrer</x:v>
      </x:c>
      <x:c r="J2751" s="115" t="str">
        <x:v>Non</x:v>
      </x:c>
      <x:c r="K2751" s="115" t="str">
        <x:v>Pièces décrites, murs, portes, niveaux et mobilier inspectables à l’échelle. Volumes réservés, raccord au seed, butin, rencontres et services de campagne restent à terminer.</x:v>
      </x:c>
    </x:row>
    <x:row r="2752" ht="96" customHeight="1">
      <x:c r="A2752" s="115" t="str">
        <x:v>EXT-MONDE-T055-V47</x:v>
      </x:c>
      <x:c r="B2752" s="115" t="str">
        <x:v>EXT-MONDE-T055</x:v>
      </x:c>
      <x:c r="C2752" s="115" t="str">
        <x:v>Usines</x:v>
      </x:c>
      <x:c r="D2752" s="115" t="str">
        <x:v>Usine textile</x:v>
      </x:c>
      <x:c r="E2752" s="115" t="n">
        <x:v>47</x:v>
      </x:c>
      <x:c r="F2752" s="115" t="str">
        <x:v>Inspection physique</x:v>
      </x:c>
      <x:c r="G2752" s="115" t="str">
        <x:v>1 niveaux ; 40 pièces ; 303 segments de mur ; 0 transitions. Inspection physique ; architecture complète encore ouverte.</x:v>
      </x:c>
      <x:c r="H2752" s="115" t="str">
        <x:v>L 422 ; l 416 ; hauteur 6,8 m ; choix de composition auteur ; dimensions réelles à documenter</x:v>
      </x:c>
      <x:c r="I2752" s="115" t="str">
        <x:v>À équilibrer</x:v>
      </x:c>
      <x:c r="J2752" s="115" t="str">
        <x:v>Non</x:v>
      </x:c>
      <x:c r="K2752" s="115" t="str">
        <x:v>Pièces décrites, murs, portes, niveaux et mobilier inspectables à l’échelle. Volumes réservés, raccord au seed, butin, rencontres et services de campagne restent à terminer.</x:v>
      </x:c>
    </x:row>
    <x:row r="2753" ht="96" customHeight="1">
      <x:c r="A2753" s="115" t="str">
        <x:v>EXT-MONDE-T055-V48</x:v>
      </x:c>
      <x:c r="B2753" s="115" t="str">
        <x:v>EXT-MONDE-T055</x:v>
      </x:c>
      <x:c r="C2753" s="115" t="str">
        <x:v>Usines</x:v>
      </x:c>
      <x:c r="D2753" s="115" t="str">
        <x:v>Usine textile</x:v>
      </x:c>
      <x:c r="E2753" s="115" t="n">
        <x:v>48</x:v>
      </x:c>
      <x:c r="F2753" s="115" t="str">
        <x:v>Inspection physique</x:v>
      </x:c>
      <x:c r="G2753" s="115" t="str">
        <x:v>1 niveaux ; 40 pièces ; 303 segments de mur ; 0 transitions. Inspection physique ; architecture complète encore ouverte.</x:v>
      </x:c>
      <x:c r="H2753" s="115" t="str">
        <x:v>L 422 ; l 416 ; hauteur 6,8 m ; choix de composition auteur ; dimensions réelles à documenter</x:v>
      </x:c>
      <x:c r="I2753" s="115" t="str">
        <x:v>À équilibrer</x:v>
      </x:c>
      <x:c r="J2753" s="115" t="str">
        <x:v>Non</x:v>
      </x:c>
      <x:c r="K2753" s="115" t="str">
        <x:v>Pièces décrites, murs, portes, niveaux et mobilier inspectables à l’échelle. Volumes réservés, raccord au seed, butin, rencontres et services de campagne restent à terminer.</x:v>
      </x:c>
    </x:row>
    <x:row r="2754" ht="96" customHeight="1">
      <x:c r="A2754" s="115" t="str">
        <x:v>EXT-MONDE-T055-V49</x:v>
      </x:c>
      <x:c r="B2754" s="115" t="str">
        <x:v>EXT-MONDE-T055</x:v>
      </x:c>
      <x:c r="C2754" s="115" t="str">
        <x:v>Usines</x:v>
      </x:c>
      <x:c r="D2754" s="115" t="str">
        <x:v>Usine textile</x:v>
      </x:c>
      <x:c r="E2754" s="115" t="n">
        <x:v>49</x:v>
      </x:c>
      <x:c r="F2754" s="115" t="str">
        <x:v>Inspection physique</x:v>
      </x:c>
      <x:c r="G2754" s="115" t="str">
        <x:v>1 niveaux ; 40 pièces ; 303 segments de mur ; 0 transitions. Inspection physique ; architecture complète encore ouverte.</x:v>
      </x:c>
      <x:c r="H2754" s="115" t="str">
        <x:v>L 422 ; l 416 ; hauteur 6,8 m ; choix de composition auteur ; dimensions réelles à documenter</x:v>
      </x:c>
      <x:c r="I2754" s="115" t="str">
        <x:v>À équilibrer</x:v>
      </x:c>
      <x:c r="J2754" s="115" t="str">
        <x:v>Non</x:v>
      </x:c>
      <x:c r="K2754" s="115" t="str">
        <x:v>Pièces décrites, murs, portes, niveaux et mobilier inspectables à l’échelle. Volumes réservés, raccord au seed, butin, rencontres et services de campagne restent à terminer.</x:v>
      </x:c>
    </x:row>
    <x:row r="2755" ht="96" customHeight="1">
      <x:c r="A2755" s="115" t="str">
        <x:v>EXT-MONDE-T055-V50</x:v>
      </x:c>
      <x:c r="B2755" s="115" t="str">
        <x:v>EXT-MONDE-T055</x:v>
      </x:c>
      <x:c r="C2755" s="115" t="str">
        <x:v>Usines</x:v>
      </x:c>
      <x:c r="D2755" s="115" t="str">
        <x:v>Usine textile</x:v>
      </x:c>
      <x:c r="E2755" s="115" t="n">
        <x:v>50</x:v>
      </x:c>
      <x:c r="F2755" s="115" t="str">
        <x:v>Inspection physique</x:v>
      </x:c>
      <x:c r="G2755" s="115" t="str">
        <x:v>1 niveaux ; 40 pièces ; 303 segments de mur ; 0 transitions. Inspection physique ; architecture complète encore ouverte.</x:v>
      </x:c>
      <x:c r="H2755" s="115" t="str">
        <x:v>L 422 ; l 416 ; hauteur 6,8 m ; choix de composition auteur ; dimensions réelles à documenter</x:v>
      </x:c>
      <x:c r="I2755" s="115" t="str">
        <x:v>À équilibrer</x:v>
      </x:c>
      <x:c r="J2755" s="115" t="str">
        <x:v>Non</x:v>
      </x:c>
      <x:c r="K2755" s="115" t="str">
        <x:v>Pièces décrites, murs, portes, niveaux et mobilier inspectables à l’échelle. Volumes réservés, raccord au seed, butin, rencontres et services de campagne restent à terminer.</x:v>
      </x:c>
    </x:row>
    <x:row r="2756" ht="96" customHeight="1">
      <x:c r="A2756" s="115" t="str">
        <x:v>EXT-MONDE-T056-V01</x:v>
      </x:c>
      <x:c r="B2756" s="115" t="str">
        <x:v>EXT-MONDE-T056</x:v>
      </x:c>
      <x:c r="C2756" s="115" t="str">
        <x:v>Usines</x:v>
      </x:c>
      <x:c r="D2756" s="115" t="str">
        <x:v>Usine de matériaux</x:v>
      </x:c>
      <x:c r="E2756" s="115" t="n">
        <x:v>1</x:v>
      </x:c>
      <x:c r="F2756" s="115" t="str">
        <x:v>Inspection physique</x:v>
      </x:c>
      <x:c r="G2756" s="115" t="str">
        <x:v>1 niveaux ; 40 pièces ; 303 segments de mur ; 0 transitions. Inspection physique ; architecture complète encore ouverte.</x:v>
      </x:c>
      <x:c r="H2756" s="115" t="str">
        <x:v>L 350 ; l 320 ; hauteur 10,6 m ; choix de composition auteur ; dimensions réelles à documenter</x:v>
      </x:c>
      <x:c r="I2756" s="115" t="str">
        <x:v>À équilibrer</x:v>
      </x:c>
      <x:c r="J2756" s="115" t="str">
        <x:v>Non</x:v>
      </x:c>
      <x:c r="K2756" s="115" t="str">
        <x:v>Pièces décrites, murs, portes, niveaux et mobilier inspectables à l’échelle. Volumes réservés, raccord au seed, butin, rencontres et services de campagne restent à terminer.</x:v>
      </x:c>
    </x:row>
    <x:row r="2757" ht="96" customHeight="1">
      <x:c r="A2757" s="115" t="str">
        <x:v>EXT-MONDE-T056-V02</x:v>
      </x:c>
      <x:c r="B2757" s="115" t="str">
        <x:v>EXT-MONDE-T056</x:v>
      </x:c>
      <x:c r="C2757" s="115" t="str">
        <x:v>Usines</x:v>
      </x:c>
      <x:c r="D2757" s="115" t="str">
        <x:v>Usine de matériaux</x:v>
      </x:c>
      <x:c r="E2757" s="115" t="n">
        <x:v>2</x:v>
      </x:c>
      <x:c r="F2757" s="115" t="str">
        <x:v>Inspection physique</x:v>
      </x:c>
      <x:c r="G2757" s="115" t="str">
        <x:v>1 niveaux ; 40 pièces ; 303 segments de mur ; 0 transitions. Inspection physique ; architecture complète encore ouverte.</x:v>
      </x:c>
      <x:c r="H2757" s="115" t="str">
        <x:v>L 350 ; l 320 ; hauteur 10,6 m ; choix de composition auteur ; dimensions réelles à documenter</x:v>
      </x:c>
      <x:c r="I2757" s="115" t="str">
        <x:v>À équilibrer</x:v>
      </x:c>
      <x:c r="J2757" s="115" t="str">
        <x:v>Non</x:v>
      </x:c>
      <x:c r="K2757" s="115" t="str">
        <x:v>Pièces décrites, murs, portes, niveaux et mobilier inspectables à l’échelle. Volumes réservés, raccord au seed, butin, rencontres et services de campagne restent à terminer.</x:v>
      </x:c>
    </x:row>
    <x:row r="2758" ht="96" customHeight="1">
      <x:c r="A2758" s="115" t="str">
        <x:v>EXT-MONDE-T056-V03</x:v>
      </x:c>
      <x:c r="B2758" s="115" t="str">
        <x:v>EXT-MONDE-T056</x:v>
      </x:c>
      <x:c r="C2758" s="115" t="str">
        <x:v>Usines</x:v>
      </x:c>
      <x:c r="D2758" s="115" t="str">
        <x:v>Usine de matériaux</x:v>
      </x:c>
      <x:c r="E2758" s="115" t="n">
        <x:v>3</x:v>
      </x:c>
      <x:c r="F2758" s="115" t="str">
        <x:v>Inspection physique</x:v>
      </x:c>
      <x:c r="G2758" s="115" t="str">
        <x:v>1 niveaux ; 40 pièces ; 303 segments de mur ; 0 transitions. Inspection physique ; architecture complète encore ouverte.</x:v>
      </x:c>
      <x:c r="H2758" s="115" t="str">
        <x:v>L 350 ; l 320 ; hauteur 10,6 m ; choix de composition auteur ; dimensions réelles à documenter</x:v>
      </x:c>
      <x:c r="I2758" s="115" t="str">
        <x:v>À équilibrer</x:v>
      </x:c>
      <x:c r="J2758" s="115" t="str">
        <x:v>Non</x:v>
      </x:c>
      <x:c r="K2758" s="115" t="str">
        <x:v>Pièces décrites, murs, portes, niveaux et mobilier inspectables à l’échelle. Volumes réservés, raccord au seed, butin, rencontres et services de campagne restent à terminer.</x:v>
      </x:c>
    </x:row>
    <x:row r="2759" ht="96" customHeight="1">
      <x:c r="A2759" s="115" t="str">
        <x:v>EXT-MONDE-T056-V04</x:v>
      </x:c>
      <x:c r="B2759" s="115" t="str">
        <x:v>EXT-MONDE-T056</x:v>
      </x:c>
      <x:c r="C2759" s="115" t="str">
        <x:v>Usines</x:v>
      </x:c>
      <x:c r="D2759" s="115" t="str">
        <x:v>Usine de matériaux</x:v>
      </x:c>
      <x:c r="E2759" s="115" t="n">
        <x:v>4</x:v>
      </x:c>
      <x:c r="F2759" s="115" t="str">
        <x:v>Inspection physique</x:v>
      </x:c>
      <x:c r="G2759" s="115" t="str">
        <x:v>1 niveaux ; 40 pièces ; 303 segments de mur ; 0 transitions. Inspection physique ; architecture complète encore ouverte.</x:v>
      </x:c>
      <x:c r="H2759" s="115" t="str">
        <x:v>L 350 ; l 320 ; hauteur 10,6 m ; choix de composition auteur ; dimensions réelles à documenter</x:v>
      </x:c>
      <x:c r="I2759" s="115" t="str">
        <x:v>À équilibrer</x:v>
      </x:c>
      <x:c r="J2759" s="115" t="str">
        <x:v>Non</x:v>
      </x:c>
      <x:c r="K2759" s="115" t="str">
        <x:v>Pièces décrites, murs, portes, niveaux et mobilier inspectables à l’échelle. Volumes réservés, raccord au seed, butin, rencontres et services de campagne restent à terminer.</x:v>
      </x:c>
    </x:row>
    <x:row r="2760" ht="96" customHeight="1">
      <x:c r="A2760" s="115" t="str">
        <x:v>EXT-MONDE-T056-V05</x:v>
      </x:c>
      <x:c r="B2760" s="115" t="str">
        <x:v>EXT-MONDE-T056</x:v>
      </x:c>
      <x:c r="C2760" s="115" t="str">
        <x:v>Usines</x:v>
      </x:c>
      <x:c r="D2760" s="115" t="str">
        <x:v>Usine de matériaux</x:v>
      </x:c>
      <x:c r="E2760" s="115" t="n">
        <x:v>5</x:v>
      </x:c>
      <x:c r="F2760" s="115" t="str">
        <x:v>Inspection physique</x:v>
      </x:c>
      <x:c r="G2760" s="115" t="str">
        <x:v>1 niveaux ; 40 pièces ; 303 segments de mur ; 0 transitions. Inspection physique ; architecture complète encore ouverte.</x:v>
      </x:c>
      <x:c r="H2760" s="115" t="str">
        <x:v>L 350 ; l 320 ; hauteur 10,6 m ; choix de composition auteur ; dimensions réelles à documenter</x:v>
      </x:c>
      <x:c r="I2760" s="115" t="str">
        <x:v>À équilibrer</x:v>
      </x:c>
      <x:c r="J2760" s="115" t="str">
        <x:v>Non</x:v>
      </x:c>
      <x:c r="K2760" s="115" t="str">
        <x:v>Pièces décrites, murs, portes, niveaux et mobilier inspectables à l’échelle. Volumes réservés, raccord au seed, butin, rencontres et services de campagne restent à terminer.</x:v>
      </x:c>
    </x:row>
    <x:row r="2761" ht="96" customHeight="1">
      <x:c r="A2761" s="115" t="str">
        <x:v>EXT-MONDE-T056-V06</x:v>
      </x:c>
      <x:c r="B2761" s="115" t="str">
        <x:v>EXT-MONDE-T056</x:v>
      </x:c>
      <x:c r="C2761" s="115" t="str">
        <x:v>Usines</x:v>
      </x:c>
      <x:c r="D2761" s="115" t="str">
        <x:v>Usine de matériaux</x:v>
      </x:c>
      <x:c r="E2761" s="115" t="n">
        <x:v>6</x:v>
      </x:c>
      <x:c r="F2761" s="115" t="str">
        <x:v>Inspection physique</x:v>
      </x:c>
      <x:c r="G2761" s="115" t="str">
        <x:v>1 niveaux ; 40 pièces ; 303 segments de mur ; 0 transitions. Inspection physique ; architecture complète encore ouverte.</x:v>
      </x:c>
      <x:c r="H2761" s="115" t="str">
        <x:v>L 350 ; l 320 ; hauteur 10,6 m ; choix de composition auteur ; dimensions réelles à documenter</x:v>
      </x:c>
      <x:c r="I2761" s="115" t="str">
        <x:v>À équilibrer</x:v>
      </x:c>
      <x:c r="J2761" s="115" t="str">
        <x:v>Non</x:v>
      </x:c>
      <x:c r="K2761" s="115" t="str">
        <x:v>Pièces décrites, murs, portes, niveaux et mobilier inspectables à l’échelle. Volumes réservés, raccord au seed, butin, rencontres et services de campagne restent à terminer.</x:v>
      </x:c>
    </x:row>
    <x:row r="2762" ht="96" customHeight="1">
      <x:c r="A2762" s="115" t="str">
        <x:v>EXT-MONDE-T056-V07</x:v>
      </x:c>
      <x:c r="B2762" s="115" t="str">
        <x:v>EXT-MONDE-T056</x:v>
      </x:c>
      <x:c r="C2762" s="115" t="str">
        <x:v>Usines</x:v>
      </x:c>
      <x:c r="D2762" s="115" t="str">
        <x:v>Usine de matériaux</x:v>
      </x:c>
      <x:c r="E2762" s="115" t="n">
        <x:v>7</x:v>
      </x:c>
      <x:c r="F2762" s="115" t="str">
        <x:v>Inspection physique</x:v>
      </x:c>
      <x:c r="G2762" s="115" t="str">
        <x:v>1 niveaux ; 40 pièces ; 303 segments de mur ; 0 transitions. Inspection physique ; architecture complète encore ouverte.</x:v>
      </x:c>
      <x:c r="H2762" s="115" t="str">
        <x:v>L 350 ; l 320 ; hauteur 10,6 m ; choix de composition auteur ; dimensions réelles à documenter</x:v>
      </x:c>
      <x:c r="I2762" s="115" t="str">
        <x:v>À équilibrer</x:v>
      </x:c>
      <x:c r="J2762" s="115" t="str">
        <x:v>Non</x:v>
      </x:c>
      <x:c r="K2762" s="115" t="str">
        <x:v>Pièces décrites, murs, portes, niveaux et mobilier inspectables à l’échelle. Volumes réservés, raccord au seed, butin, rencontres et services de campagne restent à terminer.</x:v>
      </x:c>
    </x:row>
    <x:row r="2763" ht="96" customHeight="1">
      <x:c r="A2763" s="115" t="str">
        <x:v>EXT-MONDE-T056-V08</x:v>
      </x:c>
      <x:c r="B2763" s="115" t="str">
        <x:v>EXT-MONDE-T056</x:v>
      </x:c>
      <x:c r="C2763" s="115" t="str">
        <x:v>Usines</x:v>
      </x:c>
      <x:c r="D2763" s="115" t="str">
        <x:v>Usine de matériaux</x:v>
      </x:c>
      <x:c r="E2763" s="115" t="n">
        <x:v>8</x:v>
      </x:c>
      <x:c r="F2763" s="115" t="str">
        <x:v>Inspection physique</x:v>
      </x:c>
      <x:c r="G2763" s="115" t="str">
        <x:v>1 niveaux ; 40 pièces ; 303 segments de mur ; 0 transitions. Inspection physique ; architecture complète encore ouverte.</x:v>
      </x:c>
      <x:c r="H2763" s="115" t="str">
        <x:v>L 350 ; l 320 ; hauteur 10,6 m ; choix de composition auteur ; dimensions réelles à documenter</x:v>
      </x:c>
      <x:c r="I2763" s="115" t="str">
        <x:v>À équilibrer</x:v>
      </x:c>
      <x:c r="J2763" s="115" t="str">
        <x:v>Non</x:v>
      </x:c>
      <x:c r="K2763" s="115" t="str">
        <x:v>Pièces décrites, murs, portes, niveaux et mobilier inspectables à l’échelle. Volumes réservés, raccord au seed, butin, rencontres et services de campagne restent à terminer.</x:v>
      </x:c>
    </x:row>
    <x:row r="2764" ht="96" customHeight="1">
      <x:c r="A2764" s="115" t="str">
        <x:v>EXT-MONDE-T056-V09</x:v>
      </x:c>
      <x:c r="B2764" s="115" t="str">
        <x:v>EXT-MONDE-T056</x:v>
      </x:c>
      <x:c r="C2764" s="115" t="str">
        <x:v>Usines</x:v>
      </x:c>
      <x:c r="D2764" s="115" t="str">
        <x:v>Usine de matériaux</x:v>
      </x:c>
      <x:c r="E2764" s="115" t="n">
        <x:v>9</x:v>
      </x:c>
      <x:c r="F2764" s="115" t="str">
        <x:v>Inspection physique</x:v>
      </x:c>
      <x:c r="G2764" s="115" t="str">
        <x:v>1 niveaux ; 40 pièces ; 303 segments de mur ; 0 transitions. Inspection physique ; architecture complète encore ouverte.</x:v>
      </x:c>
      <x:c r="H2764" s="115" t="str">
        <x:v>L 350 ; l 320 ; hauteur 10,6 m ; choix de composition auteur ; dimensions réelles à documenter</x:v>
      </x:c>
      <x:c r="I2764" s="115" t="str">
        <x:v>À équilibrer</x:v>
      </x:c>
      <x:c r="J2764" s="115" t="str">
        <x:v>Non</x:v>
      </x:c>
      <x:c r="K2764" s="115" t="str">
        <x:v>Pièces décrites, murs, portes, niveaux et mobilier inspectables à l’échelle. Volumes réservés, raccord au seed, butin, rencontres et services de campagne restent à terminer.</x:v>
      </x:c>
    </x:row>
    <x:row r="2765" ht="96" customHeight="1">
      <x:c r="A2765" s="115" t="str">
        <x:v>EXT-MONDE-T056-V10</x:v>
      </x:c>
      <x:c r="B2765" s="115" t="str">
        <x:v>EXT-MONDE-T056</x:v>
      </x:c>
      <x:c r="C2765" s="115" t="str">
        <x:v>Usines</x:v>
      </x:c>
      <x:c r="D2765" s="115" t="str">
        <x:v>Usine de matériaux</x:v>
      </x:c>
      <x:c r="E2765" s="115" t="n">
        <x:v>10</x:v>
      </x:c>
      <x:c r="F2765" s="115" t="str">
        <x:v>Inspection physique</x:v>
      </x:c>
      <x:c r="G2765" s="115" t="str">
        <x:v>1 niveaux ; 40 pièces ; 303 segments de mur ; 0 transitions. Inspection physique ; architecture complète encore ouverte.</x:v>
      </x:c>
      <x:c r="H2765" s="115" t="str">
        <x:v>L 350 ; l 320 ; hauteur 10,6 m ; choix de composition auteur ; dimensions réelles à documenter</x:v>
      </x:c>
      <x:c r="I2765" s="115" t="str">
        <x:v>À équilibrer</x:v>
      </x:c>
      <x:c r="J2765" s="115" t="str">
        <x:v>Non</x:v>
      </x:c>
      <x:c r="K2765" s="115" t="str">
        <x:v>Pièces décrites, murs, portes, niveaux et mobilier inspectables à l’échelle. Volumes réservés, raccord au seed, butin, rencontres et services de campagne restent à terminer.</x:v>
      </x:c>
    </x:row>
    <x:row r="2766" ht="96" customHeight="1">
      <x:c r="A2766" s="115" t="str">
        <x:v>EXT-MONDE-T056-V11</x:v>
      </x:c>
      <x:c r="B2766" s="115" t="str">
        <x:v>EXT-MONDE-T056</x:v>
      </x:c>
      <x:c r="C2766" s="115" t="str">
        <x:v>Usines</x:v>
      </x:c>
      <x:c r="D2766" s="115" t="str">
        <x:v>Usine de matériaux</x:v>
      </x:c>
      <x:c r="E2766" s="115" t="n">
        <x:v>11</x:v>
      </x:c>
      <x:c r="F2766" s="115" t="str">
        <x:v>Inspection physique</x:v>
      </x:c>
      <x:c r="G2766" s="115" t="str">
        <x:v>1 niveaux ; 40 pièces ; 303 segments de mur ; 0 transitions. Inspection physique ; architecture complète encore ouverte.</x:v>
      </x:c>
      <x:c r="H2766" s="115" t="str">
        <x:v>L 368 ; l 344 ; hauteur 10,6 m ; choix de composition auteur ; dimensions réelles à documenter</x:v>
      </x:c>
      <x:c r="I2766" s="115" t="str">
        <x:v>À équilibrer</x:v>
      </x:c>
      <x:c r="J2766" s="115" t="str">
        <x:v>Non</x:v>
      </x:c>
      <x:c r="K2766" s="115" t="str">
        <x:v>Pièces décrites, murs, portes, niveaux et mobilier inspectables à l’échelle. Volumes réservés, raccord au seed, butin, rencontres et services de campagne restent à terminer.</x:v>
      </x:c>
    </x:row>
    <x:row r="2767" ht="96" customHeight="1">
      <x:c r="A2767" s="115" t="str">
        <x:v>EXT-MONDE-T056-V12</x:v>
      </x:c>
      <x:c r="B2767" s="115" t="str">
        <x:v>EXT-MONDE-T056</x:v>
      </x:c>
      <x:c r="C2767" s="115" t="str">
        <x:v>Usines</x:v>
      </x:c>
      <x:c r="D2767" s="115" t="str">
        <x:v>Usine de matériaux</x:v>
      </x:c>
      <x:c r="E2767" s="115" t="n">
        <x:v>12</x:v>
      </x:c>
      <x:c r="F2767" s="115" t="str">
        <x:v>Inspection physique</x:v>
      </x:c>
      <x:c r="G2767" s="115" t="str">
        <x:v>1 niveaux ; 40 pièces ; 303 segments de mur ; 0 transitions. Inspection physique ; architecture complète encore ouverte.</x:v>
      </x:c>
      <x:c r="H2767" s="115" t="str">
        <x:v>L 368 ; l 344 ; hauteur 10,6 m ; choix de composition auteur ; dimensions réelles à documenter</x:v>
      </x:c>
      <x:c r="I2767" s="115" t="str">
        <x:v>À équilibrer</x:v>
      </x:c>
      <x:c r="J2767" s="115" t="str">
        <x:v>Non</x:v>
      </x:c>
      <x:c r="K2767" s="115" t="str">
        <x:v>Pièces décrites, murs, portes, niveaux et mobilier inspectables à l’échelle. Volumes réservés, raccord au seed, butin, rencontres et services de campagne restent à terminer.</x:v>
      </x:c>
    </x:row>
    <x:row r="2768" ht="96" customHeight="1">
      <x:c r="A2768" s="115" t="str">
        <x:v>EXT-MONDE-T056-V13</x:v>
      </x:c>
      <x:c r="B2768" s="115" t="str">
        <x:v>EXT-MONDE-T056</x:v>
      </x:c>
      <x:c r="C2768" s="115" t="str">
        <x:v>Usines</x:v>
      </x:c>
      <x:c r="D2768" s="115" t="str">
        <x:v>Usine de matériaux</x:v>
      </x:c>
      <x:c r="E2768" s="115" t="n">
        <x:v>13</x:v>
      </x:c>
      <x:c r="F2768" s="115" t="str">
        <x:v>Inspection physique</x:v>
      </x:c>
      <x:c r="G2768" s="115" t="str">
        <x:v>1 niveaux ; 40 pièces ; 303 segments de mur ; 0 transitions. Inspection physique ; architecture complète encore ouverte.</x:v>
      </x:c>
      <x:c r="H2768" s="115" t="str">
        <x:v>L 368 ; l 344 ; hauteur 10,6 m ; choix de composition auteur ; dimensions réelles à documenter</x:v>
      </x:c>
      <x:c r="I2768" s="115" t="str">
        <x:v>À équilibrer</x:v>
      </x:c>
      <x:c r="J2768" s="115" t="str">
        <x:v>Non</x:v>
      </x:c>
      <x:c r="K2768" s="115" t="str">
        <x:v>Pièces décrites, murs, portes, niveaux et mobilier inspectables à l’échelle. Volumes réservés, raccord au seed, butin, rencontres et services de campagne restent à terminer.</x:v>
      </x:c>
    </x:row>
    <x:row r="2769" ht="96" customHeight="1">
      <x:c r="A2769" s="115" t="str">
        <x:v>EXT-MONDE-T056-V14</x:v>
      </x:c>
      <x:c r="B2769" s="115" t="str">
        <x:v>EXT-MONDE-T056</x:v>
      </x:c>
      <x:c r="C2769" s="115" t="str">
        <x:v>Usines</x:v>
      </x:c>
      <x:c r="D2769" s="115" t="str">
        <x:v>Usine de matériaux</x:v>
      </x:c>
      <x:c r="E2769" s="115" t="n">
        <x:v>14</x:v>
      </x:c>
      <x:c r="F2769" s="115" t="str">
        <x:v>Inspection physique</x:v>
      </x:c>
      <x:c r="G2769" s="115" t="str">
        <x:v>1 niveaux ; 40 pièces ; 303 segments de mur ; 0 transitions. Inspection physique ; architecture complète encore ouverte.</x:v>
      </x:c>
      <x:c r="H2769" s="115" t="str">
        <x:v>L 368 ; l 344 ; hauteur 10,6 m ; choix de composition auteur ; dimensions réelles à documenter</x:v>
      </x:c>
      <x:c r="I2769" s="115" t="str">
        <x:v>À équilibrer</x:v>
      </x:c>
      <x:c r="J2769" s="115" t="str">
        <x:v>Non</x:v>
      </x:c>
      <x:c r="K2769" s="115" t="str">
        <x:v>Pièces décrites, murs, portes, niveaux et mobilier inspectables à l’échelle. Volumes réservés, raccord au seed, butin, rencontres et services de campagne restent à terminer.</x:v>
      </x:c>
    </x:row>
    <x:row r="2770" ht="96" customHeight="1">
      <x:c r="A2770" s="115" t="str">
        <x:v>EXT-MONDE-T056-V15</x:v>
      </x:c>
      <x:c r="B2770" s="115" t="str">
        <x:v>EXT-MONDE-T056</x:v>
      </x:c>
      <x:c r="C2770" s="115" t="str">
        <x:v>Usines</x:v>
      </x:c>
      <x:c r="D2770" s="115" t="str">
        <x:v>Usine de matériaux</x:v>
      </x:c>
      <x:c r="E2770" s="115" t="n">
        <x:v>15</x:v>
      </x:c>
      <x:c r="F2770" s="115" t="str">
        <x:v>Inspection physique</x:v>
      </x:c>
      <x:c r="G2770" s="115" t="str">
        <x:v>1 niveaux ; 40 pièces ; 303 segments de mur ; 0 transitions. Inspection physique ; architecture complète encore ouverte.</x:v>
      </x:c>
      <x:c r="H2770" s="115" t="str">
        <x:v>L 368 ; l 344 ; hauteur 10,6 m ; choix de composition auteur ; dimensions réelles à documenter</x:v>
      </x:c>
      <x:c r="I2770" s="115" t="str">
        <x:v>À équilibrer</x:v>
      </x:c>
      <x:c r="J2770" s="115" t="str">
        <x:v>Non</x:v>
      </x:c>
      <x:c r="K2770" s="115" t="str">
        <x:v>Pièces décrites, murs, portes, niveaux et mobilier inspectables à l’échelle. Volumes réservés, raccord au seed, butin, rencontres et services de campagne restent à terminer.</x:v>
      </x:c>
    </x:row>
    <x:row r="2771" ht="96" customHeight="1">
      <x:c r="A2771" s="115" t="str">
        <x:v>EXT-MONDE-T056-V16</x:v>
      </x:c>
      <x:c r="B2771" s="115" t="str">
        <x:v>EXT-MONDE-T056</x:v>
      </x:c>
      <x:c r="C2771" s="115" t="str">
        <x:v>Usines</x:v>
      </x:c>
      <x:c r="D2771" s="115" t="str">
        <x:v>Usine de matériaux</x:v>
      </x:c>
      <x:c r="E2771" s="115" t="n">
        <x:v>16</x:v>
      </x:c>
      <x:c r="F2771" s="115" t="str">
        <x:v>Inspection physique</x:v>
      </x:c>
      <x:c r="G2771" s="115" t="str">
        <x:v>1 niveaux ; 40 pièces ; 303 segments de mur ; 0 transitions. Inspection physique ; architecture complète encore ouverte.</x:v>
      </x:c>
      <x:c r="H2771" s="115" t="str">
        <x:v>L 368 ; l 344 ; hauteur 10,6 m ; choix de composition auteur ; dimensions réelles à documenter</x:v>
      </x:c>
      <x:c r="I2771" s="115" t="str">
        <x:v>À équilibrer</x:v>
      </x:c>
      <x:c r="J2771" s="115" t="str">
        <x:v>Non</x:v>
      </x:c>
      <x:c r="K2771" s="115" t="str">
        <x:v>Pièces décrites, murs, portes, niveaux et mobilier inspectables à l’échelle. Volumes réservés, raccord au seed, butin, rencontres et services de campagne restent à terminer.</x:v>
      </x:c>
    </x:row>
    <x:row r="2772" ht="96" customHeight="1">
      <x:c r="A2772" s="115" t="str">
        <x:v>EXT-MONDE-T056-V17</x:v>
      </x:c>
      <x:c r="B2772" s="115" t="str">
        <x:v>EXT-MONDE-T056</x:v>
      </x:c>
      <x:c r="C2772" s="115" t="str">
        <x:v>Usines</x:v>
      </x:c>
      <x:c r="D2772" s="115" t="str">
        <x:v>Usine de matériaux</x:v>
      </x:c>
      <x:c r="E2772" s="115" t="n">
        <x:v>17</x:v>
      </x:c>
      <x:c r="F2772" s="115" t="str">
        <x:v>Inspection physique</x:v>
      </x:c>
      <x:c r="G2772" s="115" t="str">
        <x:v>1 niveaux ; 40 pièces ; 303 segments de mur ; 0 transitions. Inspection physique ; architecture complète encore ouverte.</x:v>
      </x:c>
      <x:c r="H2772" s="115" t="str">
        <x:v>L 368 ; l 344 ; hauteur 10,6 m ; choix de composition auteur ; dimensions réelles à documenter</x:v>
      </x:c>
      <x:c r="I2772" s="115" t="str">
        <x:v>À équilibrer</x:v>
      </x:c>
      <x:c r="J2772" s="115" t="str">
        <x:v>Non</x:v>
      </x:c>
      <x:c r="K2772" s="115" t="str">
        <x:v>Pièces décrites, murs, portes, niveaux et mobilier inspectables à l’échelle. Volumes réservés, raccord au seed, butin, rencontres et services de campagne restent à terminer.</x:v>
      </x:c>
    </x:row>
    <x:row r="2773" ht="96" customHeight="1">
      <x:c r="A2773" s="115" t="str">
        <x:v>EXT-MONDE-T056-V18</x:v>
      </x:c>
      <x:c r="B2773" s="115" t="str">
        <x:v>EXT-MONDE-T056</x:v>
      </x:c>
      <x:c r="C2773" s="115" t="str">
        <x:v>Usines</x:v>
      </x:c>
      <x:c r="D2773" s="115" t="str">
        <x:v>Usine de matériaux</x:v>
      </x:c>
      <x:c r="E2773" s="115" t="n">
        <x:v>18</x:v>
      </x:c>
      <x:c r="F2773" s="115" t="str">
        <x:v>Inspection physique</x:v>
      </x:c>
      <x:c r="G2773" s="115" t="str">
        <x:v>1 niveaux ; 40 pièces ; 303 segments de mur ; 0 transitions. Inspection physique ; architecture complète encore ouverte.</x:v>
      </x:c>
      <x:c r="H2773" s="115" t="str">
        <x:v>L 368 ; l 344 ; hauteur 10,6 m ; choix de composition auteur ; dimensions réelles à documenter</x:v>
      </x:c>
      <x:c r="I2773" s="115" t="str">
        <x:v>À équilibrer</x:v>
      </x:c>
      <x:c r="J2773" s="115" t="str">
        <x:v>Non</x:v>
      </x:c>
      <x:c r="K2773" s="115" t="str">
        <x:v>Pièces décrites, murs, portes, niveaux et mobilier inspectables à l’échelle. Volumes réservés, raccord au seed, butin, rencontres et services de campagne restent à terminer.</x:v>
      </x:c>
    </x:row>
    <x:row r="2774" ht="96" customHeight="1">
      <x:c r="A2774" s="115" t="str">
        <x:v>EXT-MONDE-T056-V19</x:v>
      </x:c>
      <x:c r="B2774" s="115" t="str">
        <x:v>EXT-MONDE-T056</x:v>
      </x:c>
      <x:c r="C2774" s="115" t="str">
        <x:v>Usines</x:v>
      </x:c>
      <x:c r="D2774" s="115" t="str">
        <x:v>Usine de matériaux</x:v>
      </x:c>
      <x:c r="E2774" s="115" t="n">
        <x:v>19</x:v>
      </x:c>
      <x:c r="F2774" s="115" t="str">
        <x:v>Inspection physique</x:v>
      </x:c>
      <x:c r="G2774" s="115" t="str">
        <x:v>1 niveaux ; 40 pièces ; 303 segments de mur ; 0 transitions. Inspection physique ; architecture complète encore ouverte.</x:v>
      </x:c>
      <x:c r="H2774" s="115" t="str">
        <x:v>L 368 ; l 344 ; hauteur 10,6 m ; choix de composition auteur ; dimensions réelles à documenter</x:v>
      </x:c>
      <x:c r="I2774" s="115" t="str">
        <x:v>À équilibrer</x:v>
      </x:c>
      <x:c r="J2774" s="115" t="str">
        <x:v>Non</x:v>
      </x:c>
      <x:c r="K2774" s="115" t="str">
        <x:v>Pièces décrites, murs, portes, niveaux et mobilier inspectables à l’échelle. Volumes réservés, raccord au seed, butin, rencontres et services de campagne restent à terminer.</x:v>
      </x:c>
    </x:row>
    <x:row r="2775" ht="96" customHeight="1">
      <x:c r="A2775" s="115" t="str">
        <x:v>EXT-MONDE-T056-V20</x:v>
      </x:c>
      <x:c r="B2775" s="115" t="str">
        <x:v>EXT-MONDE-T056</x:v>
      </x:c>
      <x:c r="C2775" s="115" t="str">
        <x:v>Usines</x:v>
      </x:c>
      <x:c r="D2775" s="115" t="str">
        <x:v>Usine de matériaux</x:v>
      </x:c>
      <x:c r="E2775" s="115" t="n">
        <x:v>20</x:v>
      </x:c>
      <x:c r="F2775" s="115" t="str">
        <x:v>Inspection physique</x:v>
      </x:c>
      <x:c r="G2775" s="115" t="str">
        <x:v>1 niveaux ; 40 pièces ; 303 segments de mur ; 0 transitions. Inspection physique ; architecture complète encore ouverte.</x:v>
      </x:c>
      <x:c r="H2775" s="115" t="str">
        <x:v>L 368 ; l 344 ; hauteur 10,6 m ; choix de composition auteur ; dimensions réelles à documenter</x:v>
      </x:c>
      <x:c r="I2775" s="115" t="str">
        <x:v>À équilibrer</x:v>
      </x:c>
      <x:c r="J2775" s="115" t="str">
        <x:v>Non</x:v>
      </x:c>
      <x:c r="K2775" s="115" t="str">
        <x:v>Pièces décrites, murs, portes, niveaux et mobilier inspectables à l’échelle. Volumes réservés, raccord au seed, butin, rencontres et services de campagne restent à terminer.</x:v>
      </x:c>
    </x:row>
    <x:row r="2776" ht="96" customHeight="1">
      <x:c r="A2776" s="115" t="str">
        <x:v>EXT-MONDE-T056-V21</x:v>
      </x:c>
      <x:c r="B2776" s="115" t="str">
        <x:v>EXT-MONDE-T056</x:v>
      </x:c>
      <x:c r="C2776" s="115" t="str">
        <x:v>Usines</x:v>
      </x:c>
      <x:c r="D2776" s="115" t="str">
        <x:v>Usine de matériaux</x:v>
      </x:c>
      <x:c r="E2776" s="115" t="n">
        <x:v>21</x:v>
      </x:c>
      <x:c r="F2776" s="115" t="str">
        <x:v>Inspection physique</x:v>
      </x:c>
      <x:c r="G2776" s="115" t="str">
        <x:v>1 niveaux ; 40 pièces ; 303 segments de mur ; 0 transitions. Inspection physique ; architecture complète encore ouverte.</x:v>
      </x:c>
      <x:c r="H2776" s="115" t="str">
        <x:v>L 386 ; l 368 ; hauteur 10,6 m ; choix de composition auteur ; dimensions réelles à documenter</x:v>
      </x:c>
      <x:c r="I2776" s="115" t="str">
        <x:v>À équilibrer</x:v>
      </x:c>
      <x:c r="J2776" s="115" t="str">
        <x:v>Non</x:v>
      </x:c>
      <x:c r="K2776" s="115" t="str">
        <x:v>Pièces décrites, murs, portes, niveaux et mobilier inspectables à l’échelle. Volumes réservés, raccord au seed, butin, rencontres et services de campagne restent à terminer.</x:v>
      </x:c>
    </x:row>
    <x:row r="2777" ht="96" customHeight="1">
      <x:c r="A2777" s="115" t="str">
        <x:v>EXT-MONDE-T056-V22</x:v>
      </x:c>
      <x:c r="B2777" s="115" t="str">
        <x:v>EXT-MONDE-T056</x:v>
      </x:c>
      <x:c r="C2777" s="115" t="str">
        <x:v>Usines</x:v>
      </x:c>
      <x:c r="D2777" s="115" t="str">
        <x:v>Usine de matériaux</x:v>
      </x:c>
      <x:c r="E2777" s="115" t="n">
        <x:v>22</x:v>
      </x:c>
      <x:c r="F2777" s="115" t="str">
        <x:v>Inspection physique</x:v>
      </x:c>
      <x:c r="G2777" s="115" t="str">
        <x:v>1 niveaux ; 40 pièces ; 303 segments de mur ; 0 transitions. Inspection physique ; architecture complète encore ouverte.</x:v>
      </x:c>
      <x:c r="H2777" s="115" t="str">
        <x:v>L 386 ; l 368 ; hauteur 10,6 m ; choix de composition auteur ; dimensions réelles à documenter</x:v>
      </x:c>
      <x:c r="I2777" s="115" t="str">
        <x:v>À équilibrer</x:v>
      </x:c>
      <x:c r="J2777" s="115" t="str">
        <x:v>Non</x:v>
      </x:c>
      <x:c r="K2777" s="115" t="str">
        <x:v>Pièces décrites, murs, portes, niveaux et mobilier inspectables à l’échelle. Volumes réservés, raccord au seed, butin, rencontres et services de campagne restent à terminer.</x:v>
      </x:c>
    </x:row>
    <x:row r="2778" ht="96" customHeight="1">
      <x:c r="A2778" s="115" t="str">
        <x:v>EXT-MONDE-T056-V23</x:v>
      </x:c>
      <x:c r="B2778" s="115" t="str">
        <x:v>EXT-MONDE-T056</x:v>
      </x:c>
      <x:c r="C2778" s="115" t="str">
        <x:v>Usines</x:v>
      </x:c>
      <x:c r="D2778" s="115" t="str">
        <x:v>Usine de matériaux</x:v>
      </x:c>
      <x:c r="E2778" s="115" t="n">
        <x:v>23</x:v>
      </x:c>
      <x:c r="F2778" s="115" t="str">
        <x:v>Inspection physique</x:v>
      </x:c>
      <x:c r="G2778" s="115" t="str">
        <x:v>1 niveaux ; 40 pièces ; 303 segments de mur ; 0 transitions. Inspection physique ; architecture complète encore ouverte.</x:v>
      </x:c>
      <x:c r="H2778" s="115" t="str">
        <x:v>L 386 ; l 368 ; hauteur 10,6 m ; choix de composition auteur ; dimensions réelles à documenter</x:v>
      </x:c>
      <x:c r="I2778" s="115" t="str">
        <x:v>À équilibrer</x:v>
      </x:c>
      <x:c r="J2778" s="115" t="str">
        <x:v>Non</x:v>
      </x:c>
      <x:c r="K2778" s="115" t="str">
        <x:v>Pièces décrites, murs, portes, niveaux et mobilier inspectables à l’échelle. Volumes réservés, raccord au seed, butin, rencontres et services de campagne restent à terminer.</x:v>
      </x:c>
    </x:row>
    <x:row r="2779" ht="96" customHeight="1">
      <x:c r="A2779" s="115" t="str">
        <x:v>EXT-MONDE-T056-V24</x:v>
      </x:c>
      <x:c r="B2779" s="115" t="str">
        <x:v>EXT-MONDE-T056</x:v>
      </x:c>
      <x:c r="C2779" s="115" t="str">
        <x:v>Usines</x:v>
      </x:c>
      <x:c r="D2779" s="115" t="str">
        <x:v>Usine de matériaux</x:v>
      </x:c>
      <x:c r="E2779" s="115" t="n">
        <x:v>24</x:v>
      </x:c>
      <x:c r="F2779" s="115" t="str">
        <x:v>Inspection physique</x:v>
      </x:c>
      <x:c r="G2779" s="115" t="str">
        <x:v>1 niveaux ; 40 pièces ; 303 segments de mur ; 0 transitions. Inspection physique ; architecture complète encore ouverte.</x:v>
      </x:c>
      <x:c r="H2779" s="115" t="str">
        <x:v>L 386 ; l 368 ; hauteur 10,6 m ; choix de composition auteur ; dimensions réelles à documenter</x:v>
      </x:c>
      <x:c r="I2779" s="115" t="str">
        <x:v>À équilibrer</x:v>
      </x:c>
      <x:c r="J2779" s="115" t="str">
        <x:v>Non</x:v>
      </x:c>
      <x:c r="K2779" s="115" t="str">
        <x:v>Pièces décrites, murs, portes, niveaux et mobilier inspectables à l’échelle. Volumes réservés, raccord au seed, butin, rencontres et services de campagne restent à terminer.</x:v>
      </x:c>
    </x:row>
    <x:row r="2780" ht="96" customHeight="1">
      <x:c r="A2780" s="115" t="str">
        <x:v>EXT-MONDE-T056-V25</x:v>
      </x:c>
      <x:c r="B2780" s="115" t="str">
        <x:v>EXT-MONDE-T056</x:v>
      </x:c>
      <x:c r="C2780" s="115" t="str">
        <x:v>Usines</x:v>
      </x:c>
      <x:c r="D2780" s="115" t="str">
        <x:v>Usine de matériaux</x:v>
      </x:c>
      <x:c r="E2780" s="115" t="n">
        <x:v>25</x:v>
      </x:c>
      <x:c r="F2780" s="115" t="str">
        <x:v>Inspection physique</x:v>
      </x:c>
      <x:c r="G2780" s="115" t="str">
        <x:v>1 niveaux ; 40 pièces ; 303 segments de mur ; 0 transitions. Inspection physique ; architecture complète encore ouverte.</x:v>
      </x:c>
      <x:c r="H2780" s="115" t="str">
        <x:v>L 386 ; l 368 ; hauteur 10,6 m ; choix de composition auteur ; dimensions réelles à documenter</x:v>
      </x:c>
      <x:c r="I2780" s="115" t="str">
        <x:v>À équilibrer</x:v>
      </x:c>
      <x:c r="J2780" s="115" t="str">
        <x:v>Non</x:v>
      </x:c>
      <x:c r="K2780" s="115" t="str">
        <x:v>Pièces décrites, murs, portes, niveaux et mobilier inspectables à l’échelle. Volumes réservés, raccord au seed, butin, rencontres et services de campagne restent à terminer.</x:v>
      </x:c>
    </x:row>
    <x:row r="2781" ht="96" customHeight="1">
      <x:c r="A2781" s="115" t="str">
        <x:v>EXT-MONDE-T056-V26</x:v>
      </x:c>
      <x:c r="B2781" s="115" t="str">
        <x:v>EXT-MONDE-T056</x:v>
      </x:c>
      <x:c r="C2781" s="115" t="str">
        <x:v>Usines</x:v>
      </x:c>
      <x:c r="D2781" s="115" t="str">
        <x:v>Usine de matériaux</x:v>
      </x:c>
      <x:c r="E2781" s="115" t="n">
        <x:v>26</x:v>
      </x:c>
      <x:c r="F2781" s="115" t="str">
        <x:v>Inspection physique</x:v>
      </x:c>
      <x:c r="G2781" s="115" t="str">
        <x:v>1 niveaux ; 40 pièces ; 303 segments de mur ; 0 transitions. Inspection physique ; architecture complète encore ouverte.</x:v>
      </x:c>
      <x:c r="H2781" s="115" t="str">
        <x:v>L 386 ; l 368 ; hauteur 10,6 m ; choix de composition auteur ; dimensions réelles à documenter</x:v>
      </x:c>
      <x:c r="I2781" s="115" t="str">
        <x:v>À équilibrer</x:v>
      </x:c>
      <x:c r="J2781" s="115" t="str">
        <x:v>Non</x:v>
      </x:c>
      <x:c r="K2781" s="115" t="str">
        <x:v>Pièces décrites, murs, portes, niveaux et mobilier inspectables à l’échelle. Volumes réservés, raccord au seed, butin, rencontres et services de campagne restent à terminer.</x:v>
      </x:c>
    </x:row>
    <x:row r="2782" ht="96" customHeight="1">
      <x:c r="A2782" s="115" t="str">
        <x:v>EXT-MONDE-T056-V27</x:v>
      </x:c>
      <x:c r="B2782" s="115" t="str">
        <x:v>EXT-MONDE-T056</x:v>
      </x:c>
      <x:c r="C2782" s="115" t="str">
        <x:v>Usines</x:v>
      </x:c>
      <x:c r="D2782" s="115" t="str">
        <x:v>Usine de matériaux</x:v>
      </x:c>
      <x:c r="E2782" s="115" t="n">
        <x:v>27</x:v>
      </x:c>
      <x:c r="F2782" s="115" t="str">
        <x:v>Inspection physique</x:v>
      </x:c>
      <x:c r="G2782" s="115" t="str">
        <x:v>1 niveaux ; 40 pièces ; 303 segments de mur ; 0 transitions. Inspection physique ; architecture complète encore ouverte.</x:v>
      </x:c>
      <x:c r="H2782" s="115" t="str">
        <x:v>L 386 ; l 368 ; hauteur 10,6 m ; choix de composition auteur ; dimensions réelles à documenter</x:v>
      </x:c>
      <x:c r="I2782" s="115" t="str">
        <x:v>À équilibrer</x:v>
      </x:c>
      <x:c r="J2782" s="115" t="str">
        <x:v>Non</x:v>
      </x:c>
      <x:c r="K2782" s="115" t="str">
        <x:v>Pièces décrites, murs, portes, niveaux et mobilier inspectables à l’échelle. Volumes réservés, raccord au seed, butin, rencontres et services de campagne restent à terminer.</x:v>
      </x:c>
    </x:row>
    <x:row r="2783" ht="96" customHeight="1">
      <x:c r="A2783" s="115" t="str">
        <x:v>EXT-MONDE-T056-V28</x:v>
      </x:c>
      <x:c r="B2783" s="115" t="str">
        <x:v>EXT-MONDE-T056</x:v>
      </x:c>
      <x:c r="C2783" s="115" t="str">
        <x:v>Usines</x:v>
      </x:c>
      <x:c r="D2783" s="115" t="str">
        <x:v>Usine de matériaux</x:v>
      </x:c>
      <x:c r="E2783" s="115" t="n">
        <x:v>28</x:v>
      </x:c>
      <x:c r="F2783" s="115" t="str">
        <x:v>Inspection physique</x:v>
      </x:c>
      <x:c r="G2783" s="115" t="str">
        <x:v>1 niveaux ; 40 pièces ; 303 segments de mur ; 0 transitions. Inspection physique ; architecture complète encore ouverte.</x:v>
      </x:c>
      <x:c r="H2783" s="115" t="str">
        <x:v>L 386 ; l 368 ; hauteur 10,6 m ; choix de composition auteur ; dimensions réelles à documenter</x:v>
      </x:c>
      <x:c r="I2783" s="115" t="str">
        <x:v>À équilibrer</x:v>
      </x:c>
      <x:c r="J2783" s="115" t="str">
        <x:v>Non</x:v>
      </x:c>
      <x:c r="K2783" s="115" t="str">
        <x:v>Pièces décrites, murs, portes, niveaux et mobilier inspectables à l’échelle. Volumes réservés, raccord au seed, butin, rencontres et services de campagne restent à terminer.</x:v>
      </x:c>
    </x:row>
    <x:row r="2784" ht="96" customHeight="1">
      <x:c r="A2784" s="115" t="str">
        <x:v>EXT-MONDE-T056-V29</x:v>
      </x:c>
      <x:c r="B2784" s="115" t="str">
        <x:v>EXT-MONDE-T056</x:v>
      </x:c>
      <x:c r="C2784" s="115" t="str">
        <x:v>Usines</x:v>
      </x:c>
      <x:c r="D2784" s="115" t="str">
        <x:v>Usine de matériaux</x:v>
      </x:c>
      <x:c r="E2784" s="115" t="n">
        <x:v>29</x:v>
      </x:c>
      <x:c r="F2784" s="115" t="str">
        <x:v>Inspection physique</x:v>
      </x:c>
      <x:c r="G2784" s="115" t="str">
        <x:v>1 niveaux ; 40 pièces ; 303 segments de mur ; 0 transitions. Inspection physique ; architecture complète encore ouverte.</x:v>
      </x:c>
      <x:c r="H2784" s="115" t="str">
        <x:v>L 386 ; l 368 ; hauteur 10,6 m ; choix de composition auteur ; dimensions réelles à documenter</x:v>
      </x:c>
      <x:c r="I2784" s="115" t="str">
        <x:v>À équilibrer</x:v>
      </x:c>
      <x:c r="J2784" s="115" t="str">
        <x:v>Non</x:v>
      </x:c>
      <x:c r="K2784" s="115" t="str">
        <x:v>Pièces décrites, murs, portes, niveaux et mobilier inspectables à l’échelle. Volumes réservés, raccord au seed, butin, rencontres et services de campagne restent à terminer.</x:v>
      </x:c>
    </x:row>
    <x:row r="2785" ht="96" customHeight="1">
      <x:c r="A2785" s="115" t="str">
        <x:v>EXT-MONDE-T056-V30</x:v>
      </x:c>
      <x:c r="B2785" s="115" t="str">
        <x:v>EXT-MONDE-T056</x:v>
      </x:c>
      <x:c r="C2785" s="115" t="str">
        <x:v>Usines</x:v>
      </x:c>
      <x:c r="D2785" s="115" t="str">
        <x:v>Usine de matériaux</x:v>
      </x:c>
      <x:c r="E2785" s="115" t="n">
        <x:v>30</x:v>
      </x:c>
      <x:c r="F2785" s="115" t="str">
        <x:v>Inspection physique</x:v>
      </x:c>
      <x:c r="G2785" s="115" t="str">
        <x:v>1 niveaux ; 40 pièces ; 303 segments de mur ; 0 transitions. Inspection physique ; architecture complète encore ouverte.</x:v>
      </x:c>
      <x:c r="H2785" s="115" t="str">
        <x:v>L 386 ; l 368 ; hauteur 10,6 m ; choix de composition auteur ; dimensions réelles à documenter</x:v>
      </x:c>
      <x:c r="I2785" s="115" t="str">
        <x:v>À équilibrer</x:v>
      </x:c>
      <x:c r="J2785" s="115" t="str">
        <x:v>Non</x:v>
      </x:c>
      <x:c r="K2785" s="115" t="str">
        <x:v>Pièces décrites, murs, portes, niveaux et mobilier inspectables à l’échelle. Volumes réservés, raccord au seed, butin, rencontres et services de campagne restent à terminer.</x:v>
      </x:c>
    </x:row>
    <x:row r="2786" ht="96" customHeight="1">
      <x:c r="A2786" s="115" t="str">
        <x:v>EXT-MONDE-T056-V31</x:v>
      </x:c>
      <x:c r="B2786" s="115" t="str">
        <x:v>EXT-MONDE-T056</x:v>
      </x:c>
      <x:c r="C2786" s="115" t="str">
        <x:v>Usines</x:v>
      </x:c>
      <x:c r="D2786" s="115" t="str">
        <x:v>Usine de matériaux</x:v>
      </x:c>
      <x:c r="E2786" s="115" t="n">
        <x:v>31</x:v>
      </x:c>
      <x:c r="F2786" s="115" t="str">
        <x:v>Inspection physique</x:v>
      </x:c>
      <x:c r="G2786" s="115" t="str">
        <x:v>1 niveaux ; 40 pièces ; 303 segments de mur ; 0 transitions. Inspection physique ; architecture complète encore ouverte.</x:v>
      </x:c>
      <x:c r="H2786" s="115" t="str">
        <x:v>L 404 ; l 392 ; hauteur 10,6 m ; choix de composition auteur ; dimensions réelles à documenter</x:v>
      </x:c>
      <x:c r="I2786" s="115" t="str">
        <x:v>À équilibrer</x:v>
      </x:c>
      <x:c r="J2786" s="115" t="str">
        <x:v>Non</x:v>
      </x:c>
      <x:c r="K2786" s="115" t="str">
        <x:v>Pièces décrites, murs, portes, niveaux et mobilier inspectables à l’échelle. Volumes réservés, raccord au seed, butin, rencontres et services de campagne restent à terminer.</x:v>
      </x:c>
    </x:row>
    <x:row r="2787" ht="96" customHeight="1">
      <x:c r="A2787" s="115" t="str">
        <x:v>EXT-MONDE-T056-V32</x:v>
      </x:c>
      <x:c r="B2787" s="115" t="str">
        <x:v>EXT-MONDE-T056</x:v>
      </x:c>
      <x:c r="C2787" s="115" t="str">
        <x:v>Usines</x:v>
      </x:c>
      <x:c r="D2787" s="115" t="str">
        <x:v>Usine de matériaux</x:v>
      </x:c>
      <x:c r="E2787" s="115" t="n">
        <x:v>32</x:v>
      </x:c>
      <x:c r="F2787" s="115" t="str">
        <x:v>Inspection physique</x:v>
      </x:c>
      <x:c r="G2787" s="115" t="str">
        <x:v>1 niveaux ; 40 pièces ; 303 segments de mur ; 0 transitions. Inspection physique ; architecture complète encore ouverte.</x:v>
      </x:c>
      <x:c r="H2787" s="115" t="str">
        <x:v>L 404 ; l 392 ; hauteur 10,6 m ; choix de composition auteur ; dimensions réelles à documenter</x:v>
      </x:c>
      <x:c r="I2787" s="115" t="str">
        <x:v>À équilibrer</x:v>
      </x:c>
      <x:c r="J2787" s="115" t="str">
        <x:v>Non</x:v>
      </x:c>
      <x:c r="K2787" s="115" t="str">
        <x:v>Pièces décrites, murs, portes, niveaux et mobilier inspectables à l’échelle. Volumes réservés, raccord au seed, butin, rencontres et services de campagne restent à terminer.</x:v>
      </x:c>
    </x:row>
    <x:row r="2788" ht="96" customHeight="1">
      <x:c r="A2788" s="115" t="str">
        <x:v>EXT-MONDE-T056-V33</x:v>
      </x:c>
      <x:c r="B2788" s="115" t="str">
        <x:v>EXT-MONDE-T056</x:v>
      </x:c>
      <x:c r="C2788" s="115" t="str">
        <x:v>Usines</x:v>
      </x:c>
      <x:c r="D2788" s="115" t="str">
        <x:v>Usine de matériaux</x:v>
      </x:c>
      <x:c r="E2788" s="115" t="n">
        <x:v>33</x:v>
      </x:c>
      <x:c r="F2788" s="115" t="str">
        <x:v>Inspection physique</x:v>
      </x:c>
      <x:c r="G2788" s="115" t="str">
        <x:v>1 niveaux ; 40 pièces ; 303 segments de mur ; 0 transitions. Inspection physique ; architecture complète encore ouverte.</x:v>
      </x:c>
      <x:c r="H2788" s="115" t="str">
        <x:v>L 404 ; l 392 ; hauteur 10,6 m ; choix de composition auteur ; dimensions réelles à documenter</x:v>
      </x:c>
      <x:c r="I2788" s="115" t="str">
        <x:v>À équilibrer</x:v>
      </x:c>
      <x:c r="J2788" s="115" t="str">
        <x:v>Non</x:v>
      </x:c>
      <x:c r="K2788" s="115" t="str">
        <x:v>Pièces décrites, murs, portes, niveaux et mobilier inspectables à l’échelle. Volumes réservés, raccord au seed, butin, rencontres et services de campagne restent à terminer.</x:v>
      </x:c>
    </x:row>
    <x:row r="2789" ht="96" customHeight="1">
      <x:c r="A2789" s="115" t="str">
        <x:v>EXT-MONDE-T056-V34</x:v>
      </x:c>
      <x:c r="B2789" s="115" t="str">
        <x:v>EXT-MONDE-T056</x:v>
      </x:c>
      <x:c r="C2789" s="115" t="str">
        <x:v>Usines</x:v>
      </x:c>
      <x:c r="D2789" s="115" t="str">
        <x:v>Usine de matériaux</x:v>
      </x:c>
      <x:c r="E2789" s="115" t="n">
        <x:v>34</x:v>
      </x:c>
      <x:c r="F2789" s="115" t="str">
        <x:v>Inspection physique</x:v>
      </x:c>
      <x:c r="G2789" s="115" t="str">
        <x:v>1 niveaux ; 40 pièces ; 303 segments de mur ; 0 transitions. Inspection physique ; architecture complète encore ouverte.</x:v>
      </x:c>
      <x:c r="H2789" s="115" t="str">
        <x:v>L 404 ; l 392 ; hauteur 10,6 m ; choix de composition auteur ; dimensions réelles à documenter</x:v>
      </x:c>
      <x:c r="I2789" s="115" t="str">
        <x:v>À équilibrer</x:v>
      </x:c>
      <x:c r="J2789" s="115" t="str">
        <x:v>Non</x:v>
      </x:c>
      <x:c r="K2789" s="115" t="str">
        <x:v>Pièces décrites, murs, portes, niveaux et mobilier inspectables à l’échelle. Volumes réservés, raccord au seed, butin, rencontres et services de campagne restent à terminer.</x:v>
      </x:c>
    </x:row>
    <x:row r="2790" ht="96" customHeight="1">
      <x:c r="A2790" s="115" t="str">
        <x:v>EXT-MONDE-T056-V35</x:v>
      </x:c>
      <x:c r="B2790" s="115" t="str">
        <x:v>EXT-MONDE-T056</x:v>
      </x:c>
      <x:c r="C2790" s="115" t="str">
        <x:v>Usines</x:v>
      </x:c>
      <x:c r="D2790" s="115" t="str">
        <x:v>Usine de matériaux</x:v>
      </x:c>
      <x:c r="E2790" s="115" t="n">
        <x:v>35</x:v>
      </x:c>
      <x:c r="F2790" s="115" t="str">
        <x:v>Inspection physique</x:v>
      </x:c>
      <x:c r="G2790" s="115" t="str">
        <x:v>1 niveaux ; 40 pièces ; 303 segments de mur ; 0 transitions. Inspection physique ; architecture complète encore ouverte.</x:v>
      </x:c>
      <x:c r="H2790" s="115" t="str">
        <x:v>L 404 ; l 392 ; hauteur 10,6 m ; choix de composition auteur ; dimensions réelles à documenter</x:v>
      </x:c>
      <x:c r="I2790" s="115" t="str">
        <x:v>À équilibrer</x:v>
      </x:c>
      <x:c r="J2790" s="115" t="str">
        <x:v>Non</x:v>
      </x:c>
      <x:c r="K2790" s="115" t="str">
        <x:v>Pièces décrites, murs, portes, niveaux et mobilier inspectables à l’échelle. Volumes réservés, raccord au seed, butin, rencontres et services de campagne restent à terminer.</x:v>
      </x:c>
    </x:row>
    <x:row r="2791" ht="96" customHeight="1">
      <x:c r="A2791" s="115" t="str">
        <x:v>EXT-MONDE-T056-V36</x:v>
      </x:c>
      <x:c r="B2791" s="115" t="str">
        <x:v>EXT-MONDE-T056</x:v>
      </x:c>
      <x:c r="C2791" s="115" t="str">
        <x:v>Usines</x:v>
      </x:c>
      <x:c r="D2791" s="115" t="str">
        <x:v>Usine de matériaux</x:v>
      </x:c>
      <x:c r="E2791" s="115" t="n">
        <x:v>36</x:v>
      </x:c>
      <x:c r="F2791" s="115" t="str">
        <x:v>Inspection physique</x:v>
      </x:c>
      <x:c r="G2791" s="115" t="str">
        <x:v>1 niveaux ; 40 pièces ; 303 segments de mur ; 0 transitions. Inspection physique ; architecture complète encore ouverte.</x:v>
      </x:c>
      <x:c r="H2791" s="115" t="str">
        <x:v>L 404 ; l 392 ; hauteur 10,6 m ; choix de composition auteur ; dimensions réelles à documenter</x:v>
      </x:c>
      <x:c r="I2791" s="115" t="str">
        <x:v>À équilibrer</x:v>
      </x:c>
      <x:c r="J2791" s="115" t="str">
        <x:v>Non</x:v>
      </x:c>
      <x:c r="K2791" s="115" t="str">
        <x:v>Pièces décrites, murs, portes, niveaux et mobilier inspectables à l’échelle. Volumes réservés, raccord au seed, butin, rencontres et services de campagne restent à terminer.</x:v>
      </x:c>
    </x:row>
    <x:row r="2792" ht="96" customHeight="1">
      <x:c r="A2792" s="115" t="str">
        <x:v>EXT-MONDE-T056-V37</x:v>
      </x:c>
      <x:c r="B2792" s="115" t="str">
        <x:v>EXT-MONDE-T056</x:v>
      </x:c>
      <x:c r="C2792" s="115" t="str">
        <x:v>Usines</x:v>
      </x:c>
      <x:c r="D2792" s="115" t="str">
        <x:v>Usine de matériaux</x:v>
      </x:c>
      <x:c r="E2792" s="115" t="n">
        <x:v>37</x:v>
      </x:c>
      <x:c r="F2792" s="115" t="str">
        <x:v>Inspection physique</x:v>
      </x:c>
      <x:c r="G2792" s="115" t="str">
        <x:v>1 niveaux ; 40 pièces ; 303 segments de mur ; 0 transitions. Inspection physique ; architecture complète encore ouverte.</x:v>
      </x:c>
      <x:c r="H2792" s="115" t="str">
        <x:v>L 404 ; l 392 ; hauteur 10,6 m ; choix de composition auteur ; dimensions réelles à documenter</x:v>
      </x:c>
      <x:c r="I2792" s="115" t="str">
        <x:v>À équilibrer</x:v>
      </x:c>
      <x:c r="J2792" s="115" t="str">
        <x:v>Non</x:v>
      </x:c>
      <x:c r="K2792" s="115" t="str">
        <x:v>Pièces décrites, murs, portes, niveaux et mobilier inspectables à l’échelle. Volumes réservés, raccord au seed, butin, rencontres et services de campagne restent à terminer.</x:v>
      </x:c>
    </x:row>
    <x:row r="2793" ht="96" customHeight="1">
      <x:c r="A2793" s="115" t="str">
        <x:v>EXT-MONDE-T056-V38</x:v>
      </x:c>
      <x:c r="B2793" s="115" t="str">
        <x:v>EXT-MONDE-T056</x:v>
      </x:c>
      <x:c r="C2793" s="115" t="str">
        <x:v>Usines</x:v>
      </x:c>
      <x:c r="D2793" s="115" t="str">
        <x:v>Usine de matériaux</x:v>
      </x:c>
      <x:c r="E2793" s="115" t="n">
        <x:v>38</x:v>
      </x:c>
      <x:c r="F2793" s="115" t="str">
        <x:v>Inspection physique</x:v>
      </x:c>
      <x:c r="G2793" s="115" t="str">
        <x:v>1 niveaux ; 40 pièces ; 303 segments de mur ; 0 transitions. Inspection physique ; architecture complète encore ouverte.</x:v>
      </x:c>
      <x:c r="H2793" s="115" t="str">
        <x:v>L 404 ; l 392 ; hauteur 10,6 m ; choix de composition auteur ; dimensions réelles à documenter</x:v>
      </x:c>
      <x:c r="I2793" s="115" t="str">
        <x:v>À équilibrer</x:v>
      </x:c>
      <x:c r="J2793" s="115" t="str">
        <x:v>Non</x:v>
      </x:c>
      <x:c r="K2793" s="115" t="str">
        <x:v>Pièces décrites, murs, portes, niveaux et mobilier inspectables à l’échelle. Volumes réservés, raccord au seed, butin, rencontres et services de campagne restent à terminer.</x:v>
      </x:c>
    </x:row>
    <x:row r="2794" ht="96" customHeight="1">
      <x:c r="A2794" s="115" t="str">
        <x:v>EXT-MONDE-T056-V39</x:v>
      </x:c>
      <x:c r="B2794" s="115" t="str">
        <x:v>EXT-MONDE-T056</x:v>
      </x:c>
      <x:c r="C2794" s="115" t="str">
        <x:v>Usines</x:v>
      </x:c>
      <x:c r="D2794" s="115" t="str">
        <x:v>Usine de matériaux</x:v>
      </x:c>
      <x:c r="E2794" s="115" t="n">
        <x:v>39</x:v>
      </x:c>
      <x:c r="F2794" s="115" t="str">
        <x:v>Inspection physique</x:v>
      </x:c>
      <x:c r="G2794" s="115" t="str">
        <x:v>1 niveaux ; 40 pièces ; 303 segments de mur ; 0 transitions. Inspection physique ; architecture complète encore ouverte.</x:v>
      </x:c>
      <x:c r="H2794" s="115" t="str">
        <x:v>L 404 ; l 392 ; hauteur 10,6 m ; choix de composition auteur ; dimensions réelles à documenter</x:v>
      </x:c>
      <x:c r="I2794" s="115" t="str">
        <x:v>À équilibrer</x:v>
      </x:c>
      <x:c r="J2794" s="115" t="str">
        <x:v>Non</x:v>
      </x:c>
      <x:c r="K2794" s="115" t="str">
        <x:v>Pièces décrites, murs, portes, niveaux et mobilier inspectables à l’échelle. Volumes réservés, raccord au seed, butin, rencontres et services de campagne restent à terminer.</x:v>
      </x:c>
    </x:row>
    <x:row r="2795" ht="96" customHeight="1">
      <x:c r="A2795" s="115" t="str">
        <x:v>EXT-MONDE-T056-V40</x:v>
      </x:c>
      <x:c r="B2795" s="115" t="str">
        <x:v>EXT-MONDE-T056</x:v>
      </x:c>
      <x:c r="C2795" s="115" t="str">
        <x:v>Usines</x:v>
      </x:c>
      <x:c r="D2795" s="115" t="str">
        <x:v>Usine de matériaux</x:v>
      </x:c>
      <x:c r="E2795" s="115" t="n">
        <x:v>40</x:v>
      </x:c>
      <x:c r="F2795" s="115" t="str">
        <x:v>Inspection physique</x:v>
      </x:c>
      <x:c r="G2795" s="115" t="str">
        <x:v>1 niveaux ; 40 pièces ; 303 segments de mur ; 0 transitions. Inspection physique ; architecture complète encore ouverte.</x:v>
      </x:c>
      <x:c r="H2795" s="115" t="str">
        <x:v>L 404 ; l 392 ; hauteur 10,6 m ; choix de composition auteur ; dimensions réelles à documenter</x:v>
      </x:c>
      <x:c r="I2795" s="115" t="str">
        <x:v>À équilibrer</x:v>
      </x:c>
      <x:c r="J2795" s="115" t="str">
        <x:v>Non</x:v>
      </x:c>
      <x:c r="K2795" s="115" t="str">
        <x:v>Pièces décrites, murs, portes, niveaux et mobilier inspectables à l’échelle. Volumes réservés, raccord au seed, butin, rencontres et services de campagne restent à terminer.</x:v>
      </x:c>
    </x:row>
    <x:row r="2796" ht="96" customHeight="1">
      <x:c r="A2796" s="115" t="str">
        <x:v>EXT-MONDE-T056-V41</x:v>
      </x:c>
      <x:c r="B2796" s="115" t="str">
        <x:v>EXT-MONDE-T056</x:v>
      </x:c>
      <x:c r="C2796" s="115" t="str">
        <x:v>Usines</x:v>
      </x:c>
      <x:c r="D2796" s="115" t="str">
        <x:v>Usine de matériaux</x:v>
      </x:c>
      <x:c r="E2796" s="115" t="n">
        <x:v>41</x:v>
      </x:c>
      <x:c r="F2796" s="115" t="str">
        <x:v>Inspection physique</x:v>
      </x:c>
      <x:c r="G2796" s="115" t="str">
        <x:v>1 niveaux ; 40 pièces ; 303 segments de mur ; 0 transitions. Inspection physique ; architecture complète encore ouverte.</x:v>
      </x:c>
      <x:c r="H2796" s="115" t="str">
        <x:v>L 422 ; l 416 ; hauteur 10,6 m ; choix de composition auteur ; dimensions réelles à documenter</x:v>
      </x:c>
      <x:c r="I2796" s="115" t="str">
        <x:v>À équilibrer</x:v>
      </x:c>
      <x:c r="J2796" s="115" t="str">
        <x:v>Non</x:v>
      </x:c>
      <x:c r="K2796" s="115" t="str">
        <x:v>Pièces décrites, murs, portes, niveaux et mobilier inspectables à l’échelle. Volumes réservés, raccord au seed, butin, rencontres et services de campagne restent à terminer.</x:v>
      </x:c>
    </x:row>
    <x:row r="2797" ht="96" customHeight="1">
      <x:c r="A2797" s="115" t="str">
        <x:v>EXT-MONDE-T056-V42</x:v>
      </x:c>
      <x:c r="B2797" s="115" t="str">
        <x:v>EXT-MONDE-T056</x:v>
      </x:c>
      <x:c r="C2797" s="115" t="str">
        <x:v>Usines</x:v>
      </x:c>
      <x:c r="D2797" s="115" t="str">
        <x:v>Usine de matériaux</x:v>
      </x:c>
      <x:c r="E2797" s="115" t="n">
        <x:v>42</x:v>
      </x:c>
      <x:c r="F2797" s="115" t="str">
        <x:v>Inspection physique</x:v>
      </x:c>
      <x:c r="G2797" s="115" t="str">
        <x:v>1 niveaux ; 40 pièces ; 303 segments de mur ; 0 transitions. Inspection physique ; architecture complète encore ouverte.</x:v>
      </x:c>
      <x:c r="H2797" s="115" t="str">
        <x:v>L 422 ; l 416 ; hauteur 10,6 m ; choix de composition auteur ; dimensions réelles à documenter</x:v>
      </x:c>
      <x:c r="I2797" s="115" t="str">
        <x:v>À équilibrer</x:v>
      </x:c>
      <x:c r="J2797" s="115" t="str">
        <x:v>Non</x:v>
      </x:c>
      <x:c r="K2797" s="115" t="str">
        <x:v>Pièces décrites, murs, portes, niveaux et mobilier inspectables à l’échelle. Volumes réservés, raccord au seed, butin, rencontres et services de campagne restent à terminer.</x:v>
      </x:c>
    </x:row>
    <x:row r="2798" ht="96" customHeight="1">
      <x:c r="A2798" s="115" t="str">
        <x:v>EXT-MONDE-T056-V43</x:v>
      </x:c>
      <x:c r="B2798" s="115" t="str">
        <x:v>EXT-MONDE-T056</x:v>
      </x:c>
      <x:c r="C2798" s="115" t="str">
        <x:v>Usines</x:v>
      </x:c>
      <x:c r="D2798" s="115" t="str">
        <x:v>Usine de matériaux</x:v>
      </x:c>
      <x:c r="E2798" s="115" t="n">
        <x:v>43</x:v>
      </x:c>
      <x:c r="F2798" s="115" t="str">
        <x:v>Inspection physique</x:v>
      </x:c>
      <x:c r="G2798" s="115" t="str">
        <x:v>1 niveaux ; 40 pièces ; 303 segments de mur ; 0 transitions. Inspection physique ; architecture complète encore ouverte.</x:v>
      </x:c>
      <x:c r="H2798" s="115" t="str">
        <x:v>L 422 ; l 416 ; hauteur 10,6 m ; choix de composition auteur ; dimensions réelles à documenter</x:v>
      </x:c>
      <x:c r="I2798" s="115" t="str">
        <x:v>À équilibrer</x:v>
      </x:c>
      <x:c r="J2798" s="115" t="str">
        <x:v>Non</x:v>
      </x:c>
      <x:c r="K2798" s="115" t="str">
        <x:v>Pièces décrites, murs, portes, niveaux et mobilier inspectables à l’échelle. Volumes réservés, raccord au seed, butin, rencontres et services de campagne restent à terminer.</x:v>
      </x:c>
    </x:row>
    <x:row r="2799" ht="96" customHeight="1">
      <x:c r="A2799" s="115" t="str">
        <x:v>EXT-MONDE-T056-V44</x:v>
      </x:c>
      <x:c r="B2799" s="115" t="str">
        <x:v>EXT-MONDE-T056</x:v>
      </x:c>
      <x:c r="C2799" s="115" t="str">
        <x:v>Usines</x:v>
      </x:c>
      <x:c r="D2799" s="115" t="str">
        <x:v>Usine de matériaux</x:v>
      </x:c>
      <x:c r="E2799" s="115" t="n">
        <x:v>44</x:v>
      </x:c>
      <x:c r="F2799" s="115" t="str">
        <x:v>Inspection physique</x:v>
      </x:c>
      <x:c r="G2799" s="115" t="str">
        <x:v>1 niveaux ; 40 pièces ; 303 segments de mur ; 0 transitions. Inspection physique ; architecture complète encore ouverte.</x:v>
      </x:c>
      <x:c r="H2799" s="115" t="str">
        <x:v>L 422 ; l 416 ; hauteur 10,6 m ; choix de composition auteur ; dimensions réelles à documenter</x:v>
      </x:c>
      <x:c r="I2799" s="115" t="str">
        <x:v>À équilibrer</x:v>
      </x:c>
      <x:c r="J2799" s="115" t="str">
        <x:v>Non</x:v>
      </x:c>
      <x:c r="K2799" s="115" t="str">
        <x:v>Pièces décrites, murs, portes, niveaux et mobilier inspectables à l’échelle. Volumes réservés, raccord au seed, butin, rencontres et services de campagne restent à terminer.</x:v>
      </x:c>
    </x:row>
    <x:row r="2800" ht="96" customHeight="1">
      <x:c r="A2800" s="115" t="str">
        <x:v>EXT-MONDE-T056-V45</x:v>
      </x:c>
      <x:c r="B2800" s="115" t="str">
        <x:v>EXT-MONDE-T056</x:v>
      </x:c>
      <x:c r="C2800" s="115" t="str">
        <x:v>Usines</x:v>
      </x:c>
      <x:c r="D2800" s="115" t="str">
        <x:v>Usine de matériaux</x:v>
      </x:c>
      <x:c r="E2800" s="115" t="n">
        <x:v>45</x:v>
      </x:c>
      <x:c r="F2800" s="115" t="str">
        <x:v>Inspection physique</x:v>
      </x:c>
      <x:c r="G2800" s="115" t="str">
        <x:v>1 niveaux ; 40 pièces ; 303 segments de mur ; 0 transitions. Inspection physique ; architecture complète encore ouverte.</x:v>
      </x:c>
      <x:c r="H2800" s="115" t="str">
        <x:v>L 422 ; l 416 ; hauteur 10,6 m ; choix de composition auteur ; dimensions réelles à documenter</x:v>
      </x:c>
      <x:c r="I2800" s="115" t="str">
        <x:v>À équilibrer</x:v>
      </x:c>
      <x:c r="J2800" s="115" t="str">
        <x:v>Non</x:v>
      </x:c>
      <x:c r="K2800" s="115" t="str">
        <x:v>Pièces décrites, murs, portes, niveaux et mobilier inspectables à l’échelle. Volumes réservés, raccord au seed, butin, rencontres et services de campagne restent à terminer.</x:v>
      </x:c>
    </x:row>
    <x:row r="2801" ht="96" customHeight="1">
      <x:c r="A2801" s="115" t="str">
        <x:v>EXT-MONDE-T056-V46</x:v>
      </x:c>
      <x:c r="B2801" s="115" t="str">
        <x:v>EXT-MONDE-T056</x:v>
      </x:c>
      <x:c r="C2801" s="115" t="str">
        <x:v>Usines</x:v>
      </x:c>
      <x:c r="D2801" s="115" t="str">
        <x:v>Usine de matériaux</x:v>
      </x:c>
      <x:c r="E2801" s="115" t="n">
        <x:v>46</x:v>
      </x:c>
      <x:c r="F2801" s="115" t="str">
        <x:v>Inspection physique</x:v>
      </x:c>
      <x:c r="G2801" s="115" t="str">
        <x:v>1 niveaux ; 40 pièces ; 303 segments de mur ; 0 transitions. Inspection physique ; architecture complète encore ouverte.</x:v>
      </x:c>
      <x:c r="H2801" s="115" t="str">
        <x:v>L 422 ; l 416 ; hauteur 10,6 m ; choix de composition auteur ; dimensions réelles à documenter</x:v>
      </x:c>
      <x:c r="I2801" s="115" t="str">
        <x:v>À équilibrer</x:v>
      </x:c>
      <x:c r="J2801" s="115" t="str">
        <x:v>Non</x:v>
      </x:c>
      <x:c r="K2801" s="115" t="str">
        <x:v>Pièces décrites, murs, portes, niveaux et mobilier inspectables à l’échelle. Volumes réservés, raccord au seed, butin, rencontres et services de campagne restent à terminer.</x:v>
      </x:c>
    </x:row>
    <x:row r="2802" ht="96" customHeight="1">
      <x:c r="A2802" s="115" t="str">
        <x:v>EXT-MONDE-T056-V47</x:v>
      </x:c>
      <x:c r="B2802" s="115" t="str">
        <x:v>EXT-MONDE-T056</x:v>
      </x:c>
      <x:c r="C2802" s="115" t="str">
        <x:v>Usines</x:v>
      </x:c>
      <x:c r="D2802" s="115" t="str">
        <x:v>Usine de matériaux</x:v>
      </x:c>
      <x:c r="E2802" s="115" t="n">
        <x:v>47</x:v>
      </x:c>
      <x:c r="F2802" s="115" t="str">
        <x:v>Inspection physique</x:v>
      </x:c>
      <x:c r="G2802" s="115" t="str">
        <x:v>1 niveaux ; 40 pièces ; 303 segments de mur ; 0 transitions. Inspection physique ; architecture complète encore ouverte.</x:v>
      </x:c>
      <x:c r="H2802" s="115" t="str">
        <x:v>L 422 ; l 416 ; hauteur 10,6 m ; choix de composition auteur ; dimensions réelles à documenter</x:v>
      </x:c>
      <x:c r="I2802" s="115" t="str">
        <x:v>À équilibrer</x:v>
      </x:c>
      <x:c r="J2802" s="115" t="str">
        <x:v>Non</x:v>
      </x:c>
      <x:c r="K2802" s="115" t="str">
        <x:v>Pièces décrites, murs, portes, niveaux et mobilier inspectables à l’échelle. Volumes réservés, raccord au seed, butin, rencontres et services de campagne restent à terminer.</x:v>
      </x:c>
    </x:row>
    <x:row r="2803" ht="96" customHeight="1">
      <x:c r="A2803" s="115" t="str">
        <x:v>EXT-MONDE-T056-V48</x:v>
      </x:c>
      <x:c r="B2803" s="115" t="str">
        <x:v>EXT-MONDE-T056</x:v>
      </x:c>
      <x:c r="C2803" s="115" t="str">
        <x:v>Usines</x:v>
      </x:c>
      <x:c r="D2803" s="115" t="str">
        <x:v>Usine de matériaux</x:v>
      </x:c>
      <x:c r="E2803" s="115" t="n">
        <x:v>48</x:v>
      </x:c>
      <x:c r="F2803" s="115" t="str">
        <x:v>Inspection physique</x:v>
      </x:c>
      <x:c r="G2803" s="115" t="str">
        <x:v>1 niveaux ; 40 pièces ; 303 segments de mur ; 0 transitions. Inspection physique ; architecture complète encore ouverte.</x:v>
      </x:c>
      <x:c r="H2803" s="115" t="str">
        <x:v>L 422 ; l 416 ; hauteur 10,6 m ; choix de composition auteur ; dimensions réelles à documenter</x:v>
      </x:c>
      <x:c r="I2803" s="115" t="str">
        <x:v>À équilibrer</x:v>
      </x:c>
      <x:c r="J2803" s="115" t="str">
        <x:v>Non</x:v>
      </x:c>
      <x:c r="K2803" s="115" t="str">
        <x:v>Pièces décrites, murs, portes, niveaux et mobilier inspectables à l’échelle. Volumes réservés, raccord au seed, butin, rencontres et services de campagne restent à terminer.</x:v>
      </x:c>
    </x:row>
    <x:row r="2804" ht="96" customHeight="1">
      <x:c r="A2804" s="115" t="str">
        <x:v>EXT-MONDE-T056-V49</x:v>
      </x:c>
      <x:c r="B2804" s="115" t="str">
        <x:v>EXT-MONDE-T056</x:v>
      </x:c>
      <x:c r="C2804" s="115" t="str">
        <x:v>Usines</x:v>
      </x:c>
      <x:c r="D2804" s="115" t="str">
        <x:v>Usine de matériaux</x:v>
      </x:c>
      <x:c r="E2804" s="115" t="n">
        <x:v>49</x:v>
      </x:c>
      <x:c r="F2804" s="115" t="str">
        <x:v>Inspection physique</x:v>
      </x:c>
      <x:c r="G2804" s="115" t="str">
        <x:v>1 niveaux ; 40 pièces ; 303 segments de mur ; 0 transitions. Inspection physique ; architecture complète encore ouverte.</x:v>
      </x:c>
      <x:c r="H2804" s="115" t="str">
        <x:v>L 422 ; l 416 ; hauteur 10,6 m ; choix de composition auteur ; dimensions réelles à documenter</x:v>
      </x:c>
      <x:c r="I2804" s="115" t="str">
        <x:v>À équilibrer</x:v>
      </x:c>
      <x:c r="J2804" s="115" t="str">
        <x:v>Non</x:v>
      </x:c>
      <x:c r="K2804" s="115" t="str">
        <x:v>Pièces décrites, murs, portes, niveaux et mobilier inspectables à l’échelle. Volumes réservés, raccord au seed, butin, rencontres et services de campagne restent à terminer.</x:v>
      </x:c>
    </x:row>
    <x:row r="2805" ht="96" customHeight="1">
      <x:c r="A2805" s="115" t="str">
        <x:v>EXT-MONDE-T056-V50</x:v>
      </x:c>
      <x:c r="B2805" s="115" t="str">
        <x:v>EXT-MONDE-T056</x:v>
      </x:c>
      <x:c r="C2805" s="115" t="str">
        <x:v>Usines</x:v>
      </x:c>
      <x:c r="D2805" s="115" t="str">
        <x:v>Usine de matériaux</x:v>
      </x:c>
      <x:c r="E2805" s="115" t="n">
        <x:v>50</x:v>
      </x:c>
      <x:c r="F2805" s="115" t="str">
        <x:v>Inspection physique</x:v>
      </x:c>
      <x:c r="G2805" s="115" t="str">
        <x:v>1 niveaux ; 40 pièces ; 303 segments de mur ; 0 transitions. Inspection physique ; architecture complète encore ouverte.</x:v>
      </x:c>
      <x:c r="H2805" s="115" t="str">
        <x:v>L 422 ; l 416 ; hauteur 10,6 m ; choix de composition auteur ; dimensions réelles à documenter</x:v>
      </x:c>
      <x:c r="I2805" s="115" t="str">
        <x:v>À équilibrer</x:v>
      </x:c>
      <x:c r="J2805" s="115" t="str">
        <x:v>Non</x:v>
      </x:c>
      <x:c r="K2805" s="115" t="str">
        <x:v>Pièces décrites, murs, portes, niveaux et mobilier inspectables à l’échelle. Volumes réservés, raccord au seed, butin, rencontres et services de campagne restent à terminer.</x:v>
      </x:c>
    </x:row>
    <x:row r="2806" ht="96" customHeight="1">
      <x:c r="A2806" s="115" t="str">
        <x:v>EXT-MONDE-T057-V01</x:v>
      </x:c>
      <x:c r="B2806" s="115" t="str">
        <x:v>EXT-MONDE-T057</x:v>
      </x:c>
      <x:c r="C2806" s="115" t="str">
        <x:v>Énergie</x:v>
      </x:c>
      <x:c r="D2806" s="115" t="str">
        <x:v>Centrale thermique</x:v>
      </x:c>
      <x:c r="E2806" s="115" t="n">
        <x:v>1</x:v>
      </x:c>
      <x:c r="F2806" s="115" t="str">
        <x:v>Inspection physique</x:v>
      </x:c>
      <x:c r="G2806" s="115" t="str">
        <x:v>1 niveaux ; 22 pièces ; 167 segments de mur ; 0 transitions. Inspection physique ; architecture complète encore ouverte.</x:v>
      </x:c>
      <x:c r="H2806" s="115" t="str">
        <x:v>L 430 ; l 440 ; hauteur 24 m ; choix de composition auteur ; dimensions réelles à documenter</x:v>
      </x:c>
      <x:c r="I2806" s="115" t="str">
        <x:v>À équilibrer</x:v>
      </x:c>
      <x:c r="J2806" s="115" t="str">
        <x:v>Non</x:v>
      </x:c>
      <x:c r="K2806" s="115" t="str">
        <x:v>Pièces décrites, murs, portes, niveaux et mobilier inspectables à l’échelle. Volumes réservés, raccord au seed, butin, rencontres et services de campagne restent à terminer.</x:v>
      </x:c>
    </x:row>
    <x:row r="2807" ht="96" customHeight="1">
      <x:c r="A2807" s="115" t="str">
        <x:v>EXT-MONDE-T057-V02</x:v>
      </x:c>
      <x:c r="B2807" s="115" t="str">
        <x:v>EXT-MONDE-T057</x:v>
      </x:c>
      <x:c r="C2807" s="115" t="str">
        <x:v>Énergie</x:v>
      </x:c>
      <x:c r="D2807" s="115" t="str">
        <x:v>Centrale thermique</x:v>
      </x:c>
      <x:c r="E2807" s="115" t="n">
        <x:v>2</x:v>
      </x:c>
      <x:c r="F2807" s="115" t="str">
        <x:v>Inspection physique</x:v>
      </x:c>
      <x:c r="G2807" s="115" t="str">
        <x:v>1 niveaux ; 22 pièces ; 167 segments de mur ; 0 transitions. Inspection physique ; architecture complète encore ouverte.</x:v>
      </x:c>
      <x:c r="H2807" s="115" t="str">
        <x:v>L 430 ; l 440 ; hauteur 24 m ; choix de composition auteur ; dimensions réelles à documenter</x:v>
      </x:c>
      <x:c r="I2807" s="115" t="str">
        <x:v>À équilibrer</x:v>
      </x:c>
      <x:c r="J2807" s="115" t="str">
        <x:v>Non</x:v>
      </x:c>
      <x:c r="K2807" s="115" t="str">
        <x:v>Pièces décrites, murs, portes, niveaux et mobilier inspectables à l’échelle. Volumes réservés, raccord au seed, butin, rencontres et services de campagne restent à terminer.</x:v>
      </x:c>
    </x:row>
    <x:row r="2808" ht="96" customHeight="1">
      <x:c r="A2808" s="115" t="str">
        <x:v>EXT-MONDE-T057-V03</x:v>
      </x:c>
      <x:c r="B2808" s="115" t="str">
        <x:v>EXT-MONDE-T057</x:v>
      </x:c>
      <x:c r="C2808" s="115" t="str">
        <x:v>Énergie</x:v>
      </x:c>
      <x:c r="D2808" s="115" t="str">
        <x:v>Centrale thermique</x:v>
      </x:c>
      <x:c r="E2808" s="115" t="n">
        <x:v>3</x:v>
      </x:c>
      <x:c r="F2808" s="115" t="str">
        <x:v>Inspection physique</x:v>
      </x:c>
      <x:c r="G2808" s="115" t="str">
        <x:v>1 niveaux ; 22 pièces ; 167 segments de mur ; 0 transitions. Inspection physique ; architecture complète encore ouverte.</x:v>
      </x:c>
      <x:c r="H2808" s="115" t="str">
        <x:v>L 430 ; l 440 ; hauteur 24 m ; choix de composition auteur ; dimensions réelles à documenter</x:v>
      </x:c>
      <x:c r="I2808" s="115" t="str">
        <x:v>À équilibrer</x:v>
      </x:c>
      <x:c r="J2808" s="115" t="str">
        <x:v>Non</x:v>
      </x:c>
      <x:c r="K2808" s="115" t="str">
        <x:v>Pièces décrites, murs, portes, niveaux et mobilier inspectables à l’échelle. Volumes réservés, raccord au seed, butin, rencontres et services de campagne restent à terminer.</x:v>
      </x:c>
    </x:row>
    <x:row r="2809" ht="96" customHeight="1">
      <x:c r="A2809" s="115" t="str">
        <x:v>EXT-MONDE-T057-V04</x:v>
      </x:c>
      <x:c r="B2809" s="115" t="str">
        <x:v>EXT-MONDE-T057</x:v>
      </x:c>
      <x:c r="C2809" s="115" t="str">
        <x:v>Énergie</x:v>
      </x:c>
      <x:c r="D2809" s="115" t="str">
        <x:v>Centrale thermique</x:v>
      </x:c>
      <x:c r="E2809" s="115" t="n">
        <x:v>4</x:v>
      </x:c>
      <x:c r="F2809" s="115" t="str">
        <x:v>Inspection physique</x:v>
      </x:c>
      <x:c r="G2809" s="115" t="str">
        <x:v>1 niveaux ; 22 pièces ; 167 segments de mur ; 0 transitions. Inspection physique ; architecture complète encore ouverte.</x:v>
      </x:c>
      <x:c r="H2809" s="115" t="str">
        <x:v>L 430 ; l 440 ; hauteur 24 m ; choix de composition auteur ; dimensions réelles à documenter</x:v>
      </x:c>
      <x:c r="I2809" s="115" t="str">
        <x:v>À équilibrer</x:v>
      </x:c>
      <x:c r="J2809" s="115" t="str">
        <x:v>Non</x:v>
      </x:c>
      <x:c r="K2809" s="115" t="str">
        <x:v>Pièces décrites, murs, portes, niveaux et mobilier inspectables à l’échelle. Volumes réservés, raccord au seed, butin, rencontres et services de campagne restent à terminer.</x:v>
      </x:c>
    </x:row>
    <x:row r="2810" ht="96" customHeight="1">
      <x:c r="A2810" s="115" t="str">
        <x:v>EXT-MONDE-T057-V05</x:v>
      </x:c>
      <x:c r="B2810" s="115" t="str">
        <x:v>EXT-MONDE-T057</x:v>
      </x:c>
      <x:c r="C2810" s="115" t="str">
        <x:v>Énergie</x:v>
      </x:c>
      <x:c r="D2810" s="115" t="str">
        <x:v>Centrale thermique</x:v>
      </x:c>
      <x:c r="E2810" s="115" t="n">
        <x:v>5</x:v>
      </x:c>
      <x:c r="F2810" s="115" t="str">
        <x:v>Inspection physique</x:v>
      </x:c>
      <x:c r="G2810" s="115" t="str">
        <x:v>1 niveaux ; 22 pièces ; 167 segments de mur ; 0 transitions. Inspection physique ; architecture complète encore ouverte.</x:v>
      </x:c>
      <x:c r="H2810" s="115" t="str">
        <x:v>L 430 ; l 440 ; hauteur 24 m ; choix de composition auteur ; dimensions réelles à documenter</x:v>
      </x:c>
      <x:c r="I2810" s="115" t="str">
        <x:v>À équilibrer</x:v>
      </x:c>
      <x:c r="J2810" s="115" t="str">
        <x:v>Non</x:v>
      </x:c>
      <x:c r="K2810" s="115" t="str">
        <x:v>Pièces décrites, murs, portes, niveaux et mobilier inspectables à l’échelle. Volumes réservés, raccord au seed, butin, rencontres et services de campagne restent à terminer.</x:v>
      </x:c>
    </x:row>
    <x:row r="2811" ht="96" customHeight="1">
      <x:c r="A2811" s="115" t="str">
        <x:v>EXT-MONDE-T057-V06</x:v>
      </x:c>
      <x:c r="B2811" s="115" t="str">
        <x:v>EXT-MONDE-T057</x:v>
      </x:c>
      <x:c r="C2811" s="115" t="str">
        <x:v>Énergie</x:v>
      </x:c>
      <x:c r="D2811" s="115" t="str">
        <x:v>Centrale thermique</x:v>
      </x:c>
      <x:c r="E2811" s="115" t="n">
        <x:v>6</x:v>
      </x:c>
      <x:c r="F2811" s="115" t="str">
        <x:v>Inspection physique</x:v>
      </x:c>
      <x:c r="G2811" s="115" t="str">
        <x:v>1 niveaux ; 22 pièces ; 167 segments de mur ; 0 transitions. Inspection physique ; architecture complète encore ouverte.</x:v>
      </x:c>
      <x:c r="H2811" s="115" t="str">
        <x:v>L 430 ; l 440 ; hauteur 24 m ; choix de composition auteur ; dimensions réelles à documenter</x:v>
      </x:c>
      <x:c r="I2811" s="115" t="str">
        <x:v>À équilibrer</x:v>
      </x:c>
      <x:c r="J2811" s="115" t="str">
        <x:v>Non</x:v>
      </x:c>
      <x:c r="K2811" s="115" t="str">
        <x:v>Pièces décrites, murs, portes, niveaux et mobilier inspectables à l’échelle. Volumes réservés, raccord au seed, butin, rencontres et services de campagne restent à terminer.</x:v>
      </x:c>
    </x:row>
    <x:row r="2812" ht="96" customHeight="1">
      <x:c r="A2812" s="115" t="str">
        <x:v>EXT-MONDE-T057-V07</x:v>
      </x:c>
      <x:c r="B2812" s="115" t="str">
        <x:v>EXT-MONDE-T057</x:v>
      </x:c>
      <x:c r="C2812" s="115" t="str">
        <x:v>Énergie</x:v>
      </x:c>
      <x:c r="D2812" s="115" t="str">
        <x:v>Centrale thermique</x:v>
      </x:c>
      <x:c r="E2812" s="115" t="n">
        <x:v>7</x:v>
      </x:c>
      <x:c r="F2812" s="115" t="str">
        <x:v>Inspection physique</x:v>
      </x:c>
      <x:c r="G2812" s="115" t="str">
        <x:v>1 niveaux ; 22 pièces ; 167 segments de mur ; 0 transitions. Inspection physique ; architecture complète encore ouverte.</x:v>
      </x:c>
      <x:c r="H2812" s="115" t="str">
        <x:v>L 430 ; l 440 ; hauteur 24 m ; choix de composition auteur ; dimensions réelles à documenter</x:v>
      </x:c>
      <x:c r="I2812" s="115" t="str">
        <x:v>À équilibrer</x:v>
      </x:c>
      <x:c r="J2812" s="115" t="str">
        <x:v>Non</x:v>
      </x:c>
      <x:c r="K2812" s="115" t="str">
        <x:v>Pièces décrites, murs, portes, niveaux et mobilier inspectables à l’échelle. Volumes réservés, raccord au seed, butin, rencontres et services de campagne restent à terminer.</x:v>
      </x:c>
    </x:row>
    <x:row r="2813" ht="96" customHeight="1">
      <x:c r="A2813" s="115" t="str">
        <x:v>EXT-MONDE-T057-V08</x:v>
      </x:c>
      <x:c r="B2813" s="115" t="str">
        <x:v>EXT-MONDE-T057</x:v>
      </x:c>
      <x:c r="C2813" s="115" t="str">
        <x:v>Énergie</x:v>
      </x:c>
      <x:c r="D2813" s="115" t="str">
        <x:v>Centrale thermique</x:v>
      </x:c>
      <x:c r="E2813" s="115" t="n">
        <x:v>8</x:v>
      </x:c>
      <x:c r="F2813" s="115" t="str">
        <x:v>Inspection physique</x:v>
      </x:c>
      <x:c r="G2813" s="115" t="str">
        <x:v>1 niveaux ; 22 pièces ; 167 segments de mur ; 0 transitions. Inspection physique ; architecture complète encore ouverte.</x:v>
      </x:c>
      <x:c r="H2813" s="115" t="str">
        <x:v>L 430 ; l 440 ; hauteur 24 m ; choix de composition auteur ; dimensions réelles à documenter</x:v>
      </x:c>
      <x:c r="I2813" s="115" t="str">
        <x:v>À équilibrer</x:v>
      </x:c>
      <x:c r="J2813" s="115" t="str">
        <x:v>Non</x:v>
      </x:c>
      <x:c r="K2813" s="115" t="str">
        <x:v>Pièces décrites, murs, portes, niveaux et mobilier inspectables à l’échelle. Volumes réservés, raccord au seed, butin, rencontres et services de campagne restent à terminer.</x:v>
      </x:c>
    </x:row>
    <x:row r="2814" ht="96" customHeight="1">
      <x:c r="A2814" s="115" t="str">
        <x:v>EXT-MONDE-T057-V09</x:v>
      </x:c>
      <x:c r="B2814" s="115" t="str">
        <x:v>EXT-MONDE-T057</x:v>
      </x:c>
      <x:c r="C2814" s="115" t="str">
        <x:v>Énergie</x:v>
      </x:c>
      <x:c r="D2814" s="115" t="str">
        <x:v>Centrale thermique</x:v>
      </x:c>
      <x:c r="E2814" s="115" t="n">
        <x:v>9</x:v>
      </x:c>
      <x:c r="F2814" s="115" t="str">
        <x:v>Inspection physique</x:v>
      </x:c>
      <x:c r="G2814" s="115" t="str">
        <x:v>1 niveaux ; 22 pièces ; 167 segments de mur ; 0 transitions. Inspection physique ; architecture complète encore ouverte.</x:v>
      </x:c>
      <x:c r="H2814" s="115" t="str">
        <x:v>L 430 ; l 440 ; hauteur 24 m ; choix de composition auteur ; dimensions réelles à documenter</x:v>
      </x:c>
      <x:c r="I2814" s="115" t="str">
        <x:v>À équilibrer</x:v>
      </x:c>
      <x:c r="J2814" s="115" t="str">
        <x:v>Non</x:v>
      </x:c>
      <x:c r="K2814" s="115" t="str">
        <x:v>Pièces décrites, murs, portes, niveaux et mobilier inspectables à l’échelle. Volumes réservés, raccord au seed, butin, rencontres et services de campagne restent à terminer.</x:v>
      </x:c>
    </x:row>
    <x:row r="2815" ht="96" customHeight="1">
      <x:c r="A2815" s="115" t="str">
        <x:v>EXT-MONDE-T057-V10</x:v>
      </x:c>
      <x:c r="B2815" s="115" t="str">
        <x:v>EXT-MONDE-T057</x:v>
      </x:c>
      <x:c r="C2815" s="115" t="str">
        <x:v>Énergie</x:v>
      </x:c>
      <x:c r="D2815" s="115" t="str">
        <x:v>Centrale thermique</x:v>
      </x:c>
      <x:c r="E2815" s="115" t="n">
        <x:v>10</x:v>
      </x:c>
      <x:c r="F2815" s="115" t="str">
        <x:v>Inspection physique</x:v>
      </x:c>
      <x:c r="G2815" s="115" t="str">
        <x:v>1 niveaux ; 22 pièces ; 167 segments de mur ; 0 transitions. Inspection physique ; architecture complète encore ouverte.</x:v>
      </x:c>
      <x:c r="H2815" s="115" t="str">
        <x:v>L 430 ; l 440 ; hauteur 24 m ; choix de composition auteur ; dimensions réelles à documenter</x:v>
      </x:c>
      <x:c r="I2815" s="115" t="str">
        <x:v>À équilibrer</x:v>
      </x:c>
      <x:c r="J2815" s="115" t="str">
        <x:v>Non</x:v>
      </x:c>
      <x:c r="K2815" s="115" t="str">
        <x:v>Pièces décrites, murs, portes, niveaux et mobilier inspectables à l’échelle. Volumes réservés, raccord au seed, butin, rencontres et services de campagne restent à terminer.</x:v>
      </x:c>
    </x:row>
    <x:row r="2816" ht="96" customHeight="1">
      <x:c r="A2816" s="115" t="str">
        <x:v>EXT-MONDE-T057-V11</x:v>
      </x:c>
      <x:c r="B2816" s="115" t="str">
        <x:v>EXT-MONDE-T057</x:v>
      </x:c>
      <x:c r="C2816" s="115" t="str">
        <x:v>Énergie</x:v>
      </x:c>
      <x:c r="D2816" s="115" t="str">
        <x:v>Centrale thermique</x:v>
      </x:c>
      <x:c r="E2816" s="115" t="n">
        <x:v>11</x:v>
      </x:c>
      <x:c r="F2816" s="115" t="str">
        <x:v>Inspection physique</x:v>
      </x:c>
      <x:c r="G2816" s="115" t="str">
        <x:v>1 niveaux ; 22 pièces ; 167 segments de mur ; 0 transitions. Inspection physique ; architecture complète encore ouverte.</x:v>
      </x:c>
      <x:c r="H2816" s="115" t="str">
        <x:v>L 448 ; l 460 ; hauteur 24 m ; choix de composition auteur ; dimensions réelles à documenter</x:v>
      </x:c>
      <x:c r="I2816" s="115" t="str">
        <x:v>À équilibrer</x:v>
      </x:c>
      <x:c r="J2816" s="115" t="str">
        <x:v>Non</x:v>
      </x:c>
      <x:c r="K2816" s="115" t="str">
        <x:v>Pièces décrites, murs, portes, niveaux et mobilier inspectables à l’échelle. Volumes réservés, raccord au seed, butin, rencontres et services de campagne restent à terminer.</x:v>
      </x:c>
    </x:row>
    <x:row r="2817" ht="96" customHeight="1">
      <x:c r="A2817" s="115" t="str">
        <x:v>EXT-MONDE-T057-V12</x:v>
      </x:c>
      <x:c r="B2817" s="115" t="str">
        <x:v>EXT-MONDE-T057</x:v>
      </x:c>
      <x:c r="C2817" s="115" t="str">
        <x:v>Énergie</x:v>
      </x:c>
      <x:c r="D2817" s="115" t="str">
        <x:v>Centrale thermique</x:v>
      </x:c>
      <x:c r="E2817" s="115" t="n">
        <x:v>12</x:v>
      </x:c>
      <x:c r="F2817" s="115" t="str">
        <x:v>Inspection physique</x:v>
      </x:c>
      <x:c r="G2817" s="115" t="str">
        <x:v>1 niveaux ; 22 pièces ; 167 segments de mur ; 0 transitions. Inspection physique ; architecture complète encore ouverte.</x:v>
      </x:c>
      <x:c r="H2817" s="115" t="str">
        <x:v>L 448 ; l 460 ; hauteur 24 m ; choix de composition auteur ; dimensions réelles à documenter</x:v>
      </x:c>
      <x:c r="I2817" s="115" t="str">
        <x:v>À équilibrer</x:v>
      </x:c>
      <x:c r="J2817" s="115" t="str">
        <x:v>Non</x:v>
      </x:c>
      <x:c r="K2817" s="115" t="str">
        <x:v>Pièces décrites, murs, portes, niveaux et mobilier inspectables à l’échelle. Volumes réservés, raccord au seed, butin, rencontres et services de campagne restent à terminer.</x:v>
      </x:c>
    </x:row>
    <x:row r="2818" ht="96" customHeight="1">
      <x:c r="A2818" s="115" t="str">
        <x:v>EXT-MONDE-T057-V13</x:v>
      </x:c>
      <x:c r="B2818" s="115" t="str">
        <x:v>EXT-MONDE-T057</x:v>
      </x:c>
      <x:c r="C2818" s="115" t="str">
        <x:v>Énergie</x:v>
      </x:c>
      <x:c r="D2818" s="115" t="str">
        <x:v>Centrale thermique</x:v>
      </x:c>
      <x:c r="E2818" s="115" t="n">
        <x:v>13</x:v>
      </x:c>
      <x:c r="F2818" s="115" t="str">
        <x:v>Inspection physique</x:v>
      </x:c>
      <x:c r="G2818" s="115" t="str">
        <x:v>1 niveaux ; 22 pièces ; 167 segments de mur ; 0 transitions. Inspection physique ; architecture complète encore ouverte.</x:v>
      </x:c>
      <x:c r="H2818" s="115" t="str">
        <x:v>L 448 ; l 460 ; hauteur 24 m ; choix de composition auteur ; dimensions réelles à documenter</x:v>
      </x:c>
      <x:c r="I2818" s="115" t="str">
        <x:v>À équilibrer</x:v>
      </x:c>
      <x:c r="J2818" s="115" t="str">
        <x:v>Non</x:v>
      </x:c>
      <x:c r="K2818" s="115" t="str">
        <x:v>Pièces décrites, murs, portes, niveaux et mobilier inspectables à l’échelle. Volumes réservés, raccord au seed, butin, rencontres et services de campagne restent à terminer.</x:v>
      </x:c>
    </x:row>
    <x:row r="2819" ht="96" customHeight="1">
      <x:c r="A2819" s="115" t="str">
        <x:v>EXT-MONDE-T057-V14</x:v>
      </x:c>
      <x:c r="B2819" s="115" t="str">
        <x:v>EXT-MONDE-T057</x:v>
      </x:c>
      <x:c r="C2819" s="115" t="str">
        <x:v>Énergie</x:v>
      </x:c>
      <x:c r="D2819" s="115" t="str">
        <x:v>Centrale thermique</x:v>
      </x:c>
      <x:c r="E2819" s="115" t="n">
        <x:v>14</x:v>
      </x:c>
      <x:c r="F2819" s="115" t="str">
        <x:v>Inspection physique</x:v>
      </x:c>
      <x:c r="G2819" s="115" t="str">
        <x:v>1 niveaux ; 22 pièces ; 167 segments de mur ; 0 transitions. Inspection physique ; architecture complète encore ouverte.</x:v>
      </x:c>
      <x:c r="H2819" s="115" t="str">
        <x:v>L 448 ; l 460 ; hauteur 24 m ; choix de composition auteur ; dimensions réelles à documenter</x:v>
      </x:c>
      <x:c r="I2819" s="115" t="str">
        <x:v>À équilibrer</x:v>
      </x:c>
      <x:c r="J2819" s="115" t="str">
        <x:v>Non</x:v>
      </x:c>
      <x:c r="K2819" s="115" t="str">
        <x:v>Pièces décrites, murs, portes, niveaux et mobilier inspectables à l’échelle. Volumes réservés, raccord au seed, butin, rencontres et services de campagne restent à terminer.</x:v>
      </x:c>
    </x:row>
    <x:row r="2820" ht="96" customHeight="1">
      <x:c r="A2820" s="115" t="str">
        <x:v>EXT-MONDE-T057-V15</x:v>
      </x:c>
      <x:c r="B2820" s="115" t="str">
        <x:v>EXT-MONDE-T057</x:v>
      </x:c>
      <x:c r="C2820" s="115" t="str">
        <x:v>Énergie</x:v>
      </x:c>
      <x:c r="D2820" s="115" t="str">
        <x:v>Centrale thermique</x:v>
      </x:c>
      <x:c r="E2820" s="115" t="n">
        <x:v>15</x:v>
      </x:c>
      <x:c r="F2820" s="115" t="str">
        <x:v>Inspection physique</x:v>
      </x:c>
      <x:c r="G2820" s="115" t="str">
        <x:v>1 niveaux ; 22 pièces ; 167 segments de mur ; 0 transitions. Inspection physique ; architecture complète encore ouverte.</x:v>
      </x:c>
      <x:c r="H2820" s="115" t="str">
        <x:v>L 448 ; l 460 ; hauteur 24 m ; choix de composition auteur ; dimensions réelles à documenter</x:v>
      </x:c>
      <x:c r="I2820" s="115" t="str">
        <x:v>À équilibrer</x:v>
      </x:c>
      <x:c r="J2820" s="115" t="str">
        <x:v>Non</x:v>
      </x:c>
      <x:c r="K2820" s="115" t="str">
        <x:v>Pièces décrites, murs, portes, niveaux et mobilier inspectables à l’échelle. Volumes réservés, raccord au seed, butin, rencontres et services de campagne restent à terminer.</x:v>
      </x:c>
    </x:row>
    <x:row r="2821" ht="96" customHeight="1">
      <x:c r="A2821" s="115" t="str">
        <x:v>EXT-MONDE-T057-V16</x:v>
      </x:c>
      <x:c r="B2821" s="115" t="str">
        <x:v>EXT-MONDE-T057</x:v>
      </x:c>
      <x:c r="C2821" s="115" t="str">
        <x:v>Énergie</x:v>
      </x:c>
      <x:c r="D2821" s="115" t="str">
        <x:v>Centrale thermique</x:v>
      </x:c>
      <x:c r="E2821" s="115" t="n">
        <x:v>16</x:v>
      </x:c>
      <x:c r="F2821" s="115" t="str">
        <x:v>Inspection physique</x:v>
      </x:c>
      <x:c r="G2821" s="115" t="str">
        <x:v>1 niveaux ; 22 pièces ; 167 segments de mur ; 0 transitions. Inspection physique ; architecture complète encore ouverte.</x:v>
      </x:c>
      <x:c r="H2821" s="115" t="str">
        <x:v>L 448 ; l 460 ; hauteur 24 m ; choix de composition auteur ; dimensions réelles à documenter</x:v>
      </x:c>
      <x:c r="I2821" s="115" t="str">
        <x:v>À équilibrer</x:v>
      </x:c>
      <x:c r="J2821" s="115" t="str">
        <x:v>Non</x:v>
      </x:c>
      <x:c r="K2821" s="115" t="str">
        <x:v>Pièces décrites, murs, portes, niveaux et mobilier inspectables à l’échelle. Volumes réservés, raccord au seed, butin, rencontres et services de campagne restent à terminer.</x:v>
      </x:c>
    </x:row>
    <x:row r="2822" ht="96" customHeight="1">
      <x:c r="A2822" s="115" t="str">
        <x:v>EXT-MONDE-T057-V17</x:v>
      </x:c>
      <x:c r="B2822" s="115" t="str">
        <x:v>EXT-MONDE-T057</x:v>
      </x:c>
      <x:c r="C2822" s="115" t="str">
        <x:v>Énergie</x:v>
      </x:c>
      <x:c r="D2822" s="115" t="str">
        <x:v>Centrale thermique</x:v>
      </x:c>
      <x:c r="E2822" s="115" t="n">
        <x:v>17</x:v>
      </x:c>
      <x:c r="F2822" s="115" t="str">
        <x:v>Inspection physique</x:v>
      </x:c>
      <x:c r="G2822" s="115" t="str">
        <x:v>1 niveaux ; 22 pièces ; 167 segments de mur ; 0 transitions. Inspection physique ; architecture complète encore ouverte.</x:v>
      </x:c>
      <x:c r="H2822" s="115" t="str">
        <x:v>L 448 ; l 460 ; hauteur 24 m ; choix de composition auteur ; dimensions réelles à documenter</x:v>
      </x:c>
      <x:c r="I2822" s="115" t="str">
        <x:v>À équilibrer</x:v>
      </x:c>
      <x:c r="J2822" s="115" t="str">
        <x:v>Non</x:v>
      </x:c>
      <x:c r="K2822" s="115" t="str">
        <x:v>Pièces décrites, murs, portes, niveaux et mobilier inspectables à l’échelle. Volumes réservés, raccord au seed, butin, rencontres et services de campagne restent à terminer.</x:v>
      </x:c>
    </x:row>
    <x:row r="2823" ht="96" customHeight="1">
      <x:c r="A2823" s="115" t="str">
        <x:v>EXT-MONDE-T057-V18</x:v>
      </x:c>
      <x:c r="B2823" s="115" t="str">
        <x:v>EXT-MONDE-T057</x:v>
      </x:c>
      <x:c r="C2823" s="115" t="str">
        <x:v>Énergie</x:v>
      </x:c>
      <x:c r="D2823" s="115" t="str">
        <x:v>Centrale thermique</x:v>
      </x:c>
      <x:c r="E2823" s="115" t="n">
        <x:v>18</x:v>
      </x:c>
      <x:c r="F2823" s="115" t="str">
        <x:v>Inspection physique</x:v>
      </x:c>
      <x:c r="G2823" s="115" t="str">
        <x:v>1 niveaux ; 22 pièces ; 167 segments de mur ; 0 transitions. Inspection physique ; architecture complète encore ouverte.</x:v>
      </x:c>
      <x:c r="H2823" s="115" t="str">
        <x:v>L 448 ; l 460 ; hauteur 24 m ; choix de composition auteur ; dimensions réelles à documenter</x:v>
      </x:c>
      <x:c r="I2823" s="115" t="str">
        <x:v>À équilibrer</x:v>
      </x:c>
      <x:c r="J2823" s="115" t="str">
        <x:v>Non</x:v>
      </x:c>
      <x:c r="K2823" s="115" t="str">
        <x:v>Pièces décrites, murs, portes, niveaux et mobilier inspectables à l’échelle. Volumes réservés, raccord au seed, butin, rencontres et services de campagne restent à terminer.</x:v>
      </x:c>
    </x:row>
    <x:row r="2824" ht="96" customHeight="1">
      <x:c r="A2824" s="115" t="str">
        <x:v>EXT-MONDE-T057-V19</x:v>
      </x:c>
      <x:c r="B2824" s="115" t="str">
        <x:v>EXT-MONDE-T057</x:v>
      </x:c>
      <x:c r="C2824" s="115" t="str">
        <x:v>Énergie</x:v>
      </x:c>
      <x:c r="D2824" s="115" t="str">
        <x:v>Centrale thermique</x:v>
      </x:c>
      <x:c r="E2824" s="115" t="n">
        <x:v>19</x:v>
      </x:c>
      <x:c r="F2824" s="115" t="str">
        <x:v>Inspection physique</x:v>
      </x:c>
      <x:c r="G2824" s="115" t="str">
        <x:v>1 niveaux ; 22 pièces ; 167 segments de mur ; 0 transitions. Inspection physique ; architecture complète encore ouverte.</x:v>
      </x:c>
      <x:c r="H2824" s="115" t="str">
        <x:v>L 448 ; l 460 ; hauteur 24 m ; choix de composition auteur ; dimensions réelles à documenter</x:v>
      </x:c>
      <x:c r="I2824" s="115" t="str">
        <x:v>À équilibrer</x:v>
      </x:c>
      <x:c r="J2824" s="115" t="str">
        <x:v>Non</x:v>
      </x:c>
      <x:c r="K2824" s="115" t="str">
        <x:v>Pièces décrites, murs, portes, niveaux et mobilier inspectables à l’échelle. Volumes réservés, raccord au seed, butin, rencontres et services de campagne restent à terminer.</x:v>
      </x:c>
    </x:row>
    <x:row r="2825" ht="96" customHeight="1">
      <x:c r="A2825" s="115" t="str">
        <x:v>EXT-MONDE-T057-V20</x:v>
      </x:c>
      <x:c r="B2825" s="115" t="str">
        <x:v>EXT-MONDE-T057</x:v>
      </x:c>
      <x:c r="C2825" s="115" t="str">
        <x:v>Énergie</x:v>
      </x:c>
      <x:c r="D2825" s="115" t="str">
        <x:v>Centrale thermique</x:v>
      </x:c>
      <x:c r="E2825" s="115" t="n">
        <x:v>20</x:v>
      </x:c>
      <x:c r="F2825" s="115" t="str">
        <x:v>Inspection physique</x:v>
      </x:c>
      <x:c r="G2825" s="115" t="str">
        <x:v>1 niveaux ; 22 pièces ; 167 segments de mur ; 0 transitions. Inspection physique ; architecture complète encore ouverte.</x:v>
      </x:c>
      <x:c r="H2825" s="115" t="str">
        <x:v>L 448 ; l 460 ; hauteur 24 m ; choix de composition auteur ; dimensions réelles à documenter</x:v>
      </x:c>
      <x:c r="I2825" s="115" t="str">
        <x:v>À équilibrer</x:v>
      </x:c>
      <x:c r="J2825" s="115" t="str">
        <x:v>Non</x:v>
      </x:c>
      <x:c r="K2825" s="115" t="str">
        <x:v>Pièces décrites, murs, portes, niveaux et mobilier inspectables à l’échelle. Volumes réservés, raccord au seed, butin, rencontres et services de campagne restent à terminer.</x:v>
      </x:c>
    </x:row>
    <x:row r="2826" ht="96" customHeight="1">
      <x:c r="A2826" s="115" t="str">
        <x:v>EXT-MONDE-T057-V21</x:v>
      </x:c>
      <x:c r="B2826" s="115" t="str">
        <x:v>EXT-MONDE-T057</x:v>
      </x:c>
      <x:c r="C2826" s="115" t="str">
        <x:v>Énergie</x:v>
      </x:c>
      <x:c r="D2826" s="115" t="str">
        <x:v>Centrale thermique</x:v>
      </x:c>
      <x:c r="E2826" s="115" t="n">
        <x:v>21</x:v>
      </x:c>
      <x:c r="F2826" s="115" t="str">
        <x:v>Inspection physique</x:v>
      </x:c>
      <x:c r="G2826" s="115" t="str">
        <x:v>1 niveaux ; 22 pièces ; 167 segments de mur ; 0 transitions. Inspection physique ; architecture complète encore ouverte.</x:v>
      </x:c>
      <x:c r="H2826" s="115" t="str">
        <x:v>L 466 ; l 480 ; hauteur 24 m ; choix de composition auteur ; dimensions réelles à documenter</x:v>
      </x:c>
      <x:c r="I2826" s="115" t="str">
        <x:v>À équilibrer</x:v>
      </x:c>
      <x:c r="J2826" s="115" t="str">
        <x:v>Non</x:v>
      </x:c>
      <x:c r="K2826" s="115" t="str">
        <x:v>Pièces décrites, murs, portes, niveaux et mobilier inspectables à l’échelle. Volumes réservés, raccord au seed, butin, rencontres et services de campagne restent à terminer.</x:v>
      </x:c>
    </x:row>
    <x:row r="2827" ht="96" customHeight="1">
      <x:c r="A2827" s="115" t="str">
        <x:v>EXT-MONDE-T057-V22</x:v>
      </x:c>
      <x:c r="B2827" s="115" t="str">
        <x:v>EXT-MONDE-T057</x:v>
      </x:c>
      <x:c r="C2827" s="115" t="str">
        <x:v>Énergie</x:v>
      </x:c>
      <x:c r="D2827" s="115" t="str">
        <x:v>Centrale thermique</x:v>
      </x:c>
      <x:c r="E2827" s="115" t="n">
        <x:v>22</x:v>
      </x:c>
      <x:c r="F2827" s="115" t="str">
        <x:v>Inspection physique</x:v>
      </x:c>
      <x:c r="G2827" s="115" t="str">
        <x:v>1 niveaux ; 22 pièces ; 167 segments de mur ; 0 transitions. Inspection physique ; architecture complète encore ouverte.</x:v>
      </x:c>
      <x:c r="H2827" s="115" t="str">
        <x:v>L 466 ; l 480 ; hauteur 24 m ; choix de composition auteur ; dimensions réelles à documenter</x:v>
      </x:c>
      <x:c r="I2827" s="115" t="str">
        <x:v>À équilibrer</x:v>
      </x:c>
      <x:c r="J2827" s="115" t="str">
        <x:v>Non</x:v>
      </x:c>
      <x:c r="K2827" s="115" t="str">
        <x:v>Pièces décrites, murs, portes, niveaux et mobilier inspectables à l’échelle. Volumes réservés, raccord au seed, butin, rencontres et services de campagne restent à terminer.</x:v>
      </x:c>
    </x:row>
    <x:row r="2828" ht="96" customHeight="1">
      <x:c r="A2828" s="115" t="str">
        <x:v>EXT-MONDE-T057-V23</x:v>
      </x:c>
      <x:c r="B2828" s="115" t="str">
        <x:v>EXT-MONDE-T057</x:v>
      </x:c>
      <x:c r="C2828" s="115" t="str">
        <x:v>Énergie</x:v>
      </x:c>
      <x:c r="D2828" s="115" t="str">
        <x:v>Centrale thermique</x:v>
      </x:c>
      <x:c r="E2828" s="115" t="n">
        <x:v>23</x:v>
      </x:c>
      <x:c r="F2828" s="115" t="str">
        <x:v>Inspection physique</x:v>
      </x:c>
      <x:c r="G2828" s="115" t="str">
        <x:v>1 niveaux ; 22 pièces ; 167 segments de mur ; 0 transitions. Inspection physique ; architecture complète encore ouverte.</x:v>
      </x:c>
      <x:c r="H2828" s="115" t="str">
        <x:v>L 466 ; l 480 ; hauteur 24 m ; choix de composition auteur ; dimensions réelles à documenter</x:v>
      </x:c>
      <x:c r="I2828" s="115" t="str">
        <x:v>À équilibrer</x:v>
      </x:c>
      <x:c r="J2828" s="115" t="str">
        <x:v>Non</x:v>
      </x:c>
      <x:c r="K2828" s="115" t="str">
        <x:v>Pièces décrites, murs, portes, niveaux et mobilier inspectables à l’échelle. Volumes réservés, raccord au seed, butin, rencontres et services de campagne restent à terminer.</x:v>
      </x:c>
    </x:row>
    <x:row r="2829" ht="96" customHeight="1">
      <x:c r="A2829" s="115" t="str">
        <x:v>EXT-MONDE-T057-V24</x:v>
      </x:c>
      <x:c r="B2829" s="115" t="str">
        <x:v>EXT-MONDE-T057</x:v>
      </x:c>
      <x:c r="C2829" s="115" t="str">
        <x:v>Énergie</x:v>
      </x:c>
      <x:c r="D2829" s="115" t="str">
        <x:v>Centrale thermique</x:v>
      </x:c>
      <x:c r="E2829" s="115" t="n">
        <x:v>24</x:v>
      </x:c>
      <x:c r="F2829" s="115" t="str">
        <x:v>Inspection physique</x:v>
      </x:c>
      <x:c r="G2829" s="115" t="str">
        <x:v>1 niveaux ; 22 pièces ; 167 segments de mur ; 0 transitions. Inspection physique ; architecture complète encore ouverte.</x:v>
      </x:c>
      <x:c r="H2829" s="115" t="str">
        <x:v>L 466 ; l 480 ; hauteur 24 m ; choix de composition auteur ; dimensions réelles à documenter</x:v>
      </x:c>
      <x:c r="I2829" s="115" t="str">
        <x:v>À équilibrer</x:v>
      </x:c>
      <x:c r="J2829" s="115" t="str">
        <x:v>Non</x:v>
      </x:c>
      <x:c r="K2829" s="115" t="str">
        <x:v>Pièces décrites, murs, portes, niveaux et mobilier inspectables à l’échelle. Volumes réservés, raccord au seed, butin, rencontres et services de campagne restent à terminer.</x:v>
      </x:c>
    </x:row>
    <x:row r="2830" ht="96" customHeight="1">
      <x:c r="A2830" s="115" t="str">
        <x:v>EXT-MONDE-T057-V25</x:v>
      </x:c>
      <x:c r="B2830" s="115" t="str">
        <x:v>EXT-MONDE-T057</x:v>
      </x:c>
      <x:c r="C2830" s="115" t="str">
        <x:v>Énergie</x:v>
      </x:c>
      <x:c r="D2830" s="115" t="str">
        <x:v>Centrale thermique</x:v>
      </x:c>
      <x:c r="E2830" s="115" t="n">
        <x:v>25</x:v>
      </x:c>
      <x:c r="F2830" s="115" t="str">
        <x:v>Inspection physique</x:v>
      </x:c>
      <x:c r="G2830" s="115" t="str">
        <x:v>1 niveaux ; 22 pièces ; 167 segments de mur ; 0 transitions. Inspection physique ; architecture complète encore ouverte.</x:v>
      </x:c>
      <x:c r="H2830" s="115" t="str">
        <x:v>L 466 ; l 480 ; hauteur 24 m ; choix de composition auteur ; dimensions réelles à documenter</x:v>
      </x:c>
      <x:c r="I2830" s="115" t="str">
        <x:v>À équilibrer</x:v>
      </x:c>
      <x:c r="J2830" s="115" t="str">
        <x:v>Non</x:v>
      </x:c>
      <x:c r="K2830" s="115" t="str">
        <x:v>Pièces décrites, murs, portes, niveaux et mobilier inspectables à l’échelle. Volumes réservés, raccord au seed, butin, rencontres et services de campagne restent à terminer.</x:v>
      </x:c>
    </x:row>
    <x:row r="2831" ht="96" customHeight="1">
      <x:c r="A2831" s="115" t="str">
        <x:v>EXT-MONDE-T057-V26</x:v>
      </x:c>
      <x:c r="B2831" s="115" t="str">
        <x:v>EXT-MONDE-T057</x:v>
      </x:c>
      <x:c r="C2831" s="115" t="str">
        <x:v>Énergie</x:v>
      </x:c>
      <x:c r="D2831" s="115" t="str">
        <x:v>Centrale thermique</x:v>
      </x:c>
      <x:c r="E2831" s="115" t="n">
        <x:v>26</x:v>
      </x:c>
      <x:c r="F2831" s="115" t="str">
        <x:v>Inspection physique</x:v>
      </x:c>
      <x:c r="G2831" s="115" t="str">
        <x:v>1 niveaux ; 22 pièces ; 167 segments de mur ; 0 transitions. Inspection physique ; architecture complète encore ouverte.</x:v>
      </x:c>
      <x:c r="H2831" s="115" t="str">
        <x:v>L 466 ; l 480 ; hauteur 24 m ; choix de composition auteur ; dimensions réelles à documenter</x:v>
      </x:c>
      <x:c r="I2831" s="115" t="str">
        <x:v>À équilibrer</x:v>
      </x:c>
      <x:c r="J2831" s="115" t="str">
        <x:v>Non</x:v>
      </x:c>
      <x:c r="K2831" s="115" t="str">
        <x:v>Pièces décrites, murs, portes, niveaux et mobilier inspectables à l’échelle. Volumes réservés, raccord au seed, butin, rencontres et services de campagne restent à terminer.</x:v>
      </x:c>
    </x:row>
    <x:row r="2832" ht="96" customHeight="1">
      <x:c r="A2832" s="115" t="str">
        <x:v>EXT-MONDE-T057-V27</x:v>
      </x:c>
      <x:c r="B2832" s="115" t="str">
        <x:v>EXT-MONDE-T057</x:v>
      </x:c>
      <x:c r="C2832" s="115" t="str">
        <x:v>Énergie</x:v>
      </x:c>
      <x:c r="D2832" s="115" t="str">
        <x:v>Centrale thermique</x:v>
      </x:c>
      <x:c r="E2832" s="115" t="n">
        <x:v>27</x:v>
      </x:c>
      <x:c r="F2832" s="115" t="str">
        <x:v>Inspection physique</x:v>
      </x:c>
      <x:c r="G2832" s="115" t="str">
        <x:v>1 niveaux ; 22 pièces ; 167 segments de mur ; 0 transitions. Inspection physique ; architecture complète encore ouverte.</x:v>
      </x:c>
      <x:c r="H2832" s="115" t="str">
        <x:v>L 466 ; l 480 ; hauteur 24 m ; choix de composition auteur ; dimensions réelles à documenter</x:v>
      </x:c>
      <x:c r="I2832" s="115" t="str">
        <x:v>À équilibrer</x:v>
      </x:c>
      <x:c r="J2832" s="115" t="str">
        <x:v>Non</x:v>
      </x:c>
      <x:c r="K2832" s="115" t="str">
        <x:v>Pièces décrites, murs, portes, niveaux et mobilier inspectables à l’échelle. Volumes réservés, raccord au seed, butin, rencontres et services de campagne restent à terminer.</x:v>
      </x:c>
    </x:row>
    <x:row r="2833" ht="96" customHeight="1">
      <x:c r="A2833" s="115" t="str">
        <x:v>EXT-MONDE-T057-V28</x:v>
      </x:c>
      <x:c r="B2833" s="115" t="str">
        <x:v>EXT-MONDE-T057</x:v>
      </x:c>
      <x:c r="C2833" s="115" t="str">
        <x:v>Énergie</x:v>
      </x:c>
      <x:c r="D2833" s="115" t="str">
        <x:v>Centrale thermique</x:v>
      </x:c>
      <x:c r="E2833" s="115" t="n">
        <x:v>28</x:v>
      </x:c>
      <x:c r="F2833" s="115" t="str">
        <x:v>Inspection physique</x:v>
      </x:c>
      <x:c r="G2833" s="115" t="str">
        <x:v>1 niveaux ; 22 pièces ; 167 segments de mur ; 0 transitions. Inspection physique ; architecture complète encore ouverte.</x:v>
      </x:c>
      <x:c r="H2833" s="115" t="str">
        <x:v>L 466 ; l 480 ; hauteur 24 m ; choix de composition auteur ; dimensions réelles à documenter</x:v>
      </x:c>
      <x:c r="I2833" s="115" t="str">
        <x:v>À équilibrer</x:v>
      </x:c>
      <x:c r="J2833" s="115" t="str">
        <x:v>Non</x:v>
      </x:c>
      <x:c r="K2833" s="115" t="str">
        <x:v>Pièces décrites, murs, portes, niveaux et mobilier inspectables à l’échelle. Volumes réservés, raccord au seed, butin, rencontres et services de campagne restent à terminer.</x:v>
      </x:c>
    </x:row>
    <x:row r="2834" ht="96" customHeight="1">
      <x:c r="A2834" s="115" t="str">
        <x:v>EXT-MONDE-T057-V29</x:v>
      </x:c>
      <x:c r="B2834" s="115" t="str">
        <x:v>EXT-MONDE-T057</x:v>
      </x:c>
      <x:c r="C2834" s="115" t="str">
        <x:v>Énergie</x:v>
      </x:c>
      <x:c r="D2834" s="115" t="str">
        <x:v>Centrale thermique</x:v>
      </x:c>
      <x:c r="E2834" s="115" t="n">
        <x:v>29</x:v>
      </x:c>
      <x:c r="F2834" s="115" t="str">
        <x:v>Inspection physique</x:v>
      </x:c>
      <x:c r="G2834" s="115" t="str">
        <x:v>1 niveaux ; 22 pièces ; 167 segments de mur ; 0 transitions. Inspection physique ; architecture complète encore ouverte.</x:v>
      </x:c>
      <x:c r="H2834" s="115" t="str">
        <x:v>L 466 ; l 480 ; hauteur 24 m ; choix de composition auteur ; dimensions réelles à documenter</x:v>
      </x:c>
      <x:c r="I2834" s="115" t="str">
        <x:v>À équilibrer</x:v>
      </x:c>
      <x:c r="J2834" s="115" t="str">
        <x:v>Non</x:v>
      </x:c>
      <x:c r="K2834" s="115" t="str">
        <x:v>Pièces décrites, murs, portes, niveaux et mobilier inspectables à l’échelle. Volumes réservés, raccord au seed, butin, rencontres et services de campagne restent à terminer.</x:v>
      </x:c>
    </x:row>
    <x:row r="2835" ht="96" customHeight="1">
      <x:c r="A2835" s="115" t="str">
        <x:v>EXT-MONDE-T057-V30</x:v>
      </x:c>
      <x:c r="B2835" s="115" t="str">
        <x:v>EXT-MONDE-T057</x:v>
      </x:c>
      <x:c r="C2835" s="115" t="str">
        <x:v>Énergie</x:v>
      </x:c>
      <x:c r="D2835" s="115" t="str">
        <x:v>Centrale thermique</x:v>
      </x:c>
      <x:c r="E2835" s="115" t="n">
        <x:v>30</x:v>
      </x:c>
      <x:c r="F2835" s="115" t="str">
        <x:v>Inspection physique</x:v>
      </x:c>
      <x:c r="G2835" s="115" t="str">
        <x:v>1 niveaux ; 22 pièces ; 167 segments de mur ; 0 transitions. Inspection physique ; architecture complète encore ouverte.</x:v>
      </x:c>
      <x:c r="H2835" s="115" t="str">
        <x:v>L 466 ; l 480 ; hauteur 24 m ; choix de composition auteur ; dimensions réelles à documenter</x:v>
      </x:c>
      <x:c r="I2835" s="115" t="str">
        <x:v>À équilibrer</x:v>
      </x:c>
      <x:c r="J2835" s="115" t="str">
        <x:v>Non</x:v>
      </x:c>
      <x:c r="K2835" s="115" t="str">
        <x:v>Pièces décrites, murs, portes, niveaux et mobilier inspectables à l’échelle. Volumes réservés, raccord au seed, butin, rencontres et services de campagne restent à terminer.</x:v>
      </x:c>
    </x:row>
    <x:row r="2836" ht="96" customHeight="1">
      <x:c r="A2836" s="115" t="str">
        <x:v>EXT-MONDE-T057-V31</x:v>
      </x:c>
      <x:c r="B2836" s="115" t="str">
        <x:v>EXT-MONDE-T057</x:v>
      </x:c>
      <x:c r="C2836" s="115" t="str">
        <x:v>Énergie</x:v>
      </x:c>
      <x:c r="D2836" s="115" t="str">
        <x:v>Centrale thermique</x:v>
      </x:c>
      <x:c r="E2836" s="115" t="n">
        <x:v>31</x:v>
      </x:c>
      <x:c r="F2836" s="115" t="str">
        <x:v>Inspection physique</x:v>
      </x:c>
      <x:c r="G2836" s="115" t="str">
        <x:v>1 niveaux ; 22 pièces ; 167 segments de mur ; 0 transitions. Inspection physique ; architecture complète encore ouverte.</x:v>
      </x:c>
      <x:c r="H2836" s="115" t="str">
        <x:v>L 484 ; l 500 ; hauteur 24 m ; choix de composition auteur ; dimensions réelles à documenter</x:v>
      </x:c>
      <x:c r="I2836" s="115" t="str">
        <x:v>À équilibrer</x:v>
      </x:c>
      <x:c r="J2836" s="115" t="str">
        <x:v>Non</x:v>
      </x:c>
      <x:c r="K2836" s="115" t="str">
        <x:v>Pièces décrites, murs, portes, niveaux et mobilier inspectables à l’échelle. Volumes réservés, raccord au seed, butin, rencontres et services de campagne restent à terminer.</x:v>
      </x:c>
    </x:row>
    <x:row r="2837" ht="96" customHeight="1">
      <x:c r="A2837" s="115" t="str">
        <x:v>EXT-MONDE-T057-V32</x:v>
      </x:c>
      <x:c r="B2837" s="115" t="str">
        <x:v>EXT-MONDE-T057</x:v>
      </x:c>
      <x:c r="C2837" s="115" t="str">
        <x:v>Énergie</x:v>
      </x:c>
      <x:c r="D2837" s="115" t="str">
        <x:v>Centrale thermique</x:v>
      </x:c>
      <x:c r="E2837" s="115" t="n">
        <x:v>32</x:v>
      </x:c>
      <x:c r="F2837" s="115" t="str">
        <x:v>Inspection physique</x:v>
      </x:c>
      <x:c r="G2837" s="115" t="str">
        <x:v>1 niveaux ; 22 pièces ; 167 segments de mur ; 0 transitions. Inspection physique ; architecture complète encore ouverte.</x:v>
      </x:c>
      <x:c r="H2837" s="115" t="str">
        <x:v>L 484 ; l 500 ; hauteur 24 m ; choix de composition auteur ; dimensions réelles à documenter</x:v>
      </x:c>
      <x:c r="I2837" s="115" t="str">
        <x:v>À équilibrer</x:v>
      </x:c>
      <x:c r="J2837" s="115" t="str">
        <x:v>Non</x:v>
      </x:c>
      <x:c r="K2837" s="115" t="str">
        <x:v>Pièces décrites, murs, portes, niveaux et mobilier inspectables à l’échelle. Volumes réservés, raccord au seed, butin, rencontres et services de campagne restent à terminer.</x:v>
      </x:c>
    </x:row>
    <x:row r="2838" ht="96" customHeight="1">
      <x:c r="A2838" s="115" t="str">
        <x:v>EXT-MONDE-T057-V33</x:v>
      </x:c>
      <x:c r="B2838" s="115" t="str">
        <x:v>EXT-MONDE-T057</x:v>
      </x:c>
      <x:c r="C2838" s="115" t="str">
        <x:v>Énergie</x:v>
      </x:c>
      <x:c r="D2838" s="115" t="str">
        <x:v>Centrale thermique</x:v>
      </x:c>
      <x:c r="E2838" s="115" t="n">
        <x:v>33</x:v>
      </x:c>
      <x:c r="F2838" s="115" t="str">
        <x:v>Inspection physique</x:v>
      </x:c>
      <x:c r="G2838" s="115" t="str">
        <x:v>1 niveaux ; 22 pièces ; 167 segments de mur ; 0 transitions. Inspection physique ; architecture complète encore ouverte.</x:v>
      </x:c>
      <x:c r="H2838" s="115" t="str">
        <x:v>L 484 ; l 500 ; hauteur 24 m ; choix de composition auteur ; dimensions réelles à documenter</x:v>
      </x:c>
      <x:c r="I2838" s="115" t="str">
        <x:v>À équilibrer</x:v>
      </x:c>
      <x:c r="J2838" s="115" t="str">
        <x:v>Non</x:v>
      </x:c>
      <x:c r="K2838" s="115" t="str">
        <x:v>Pièces décrites, murs, portes, niveaux et mobilier inspectables à l’échelle. Volumes réservés, raccord au seed, butin, rencontres et services de campagne restent à terminer.</x:v>
      </x:c>
    </x:row>
    <x:row r="2839" ht="96" customHeight="1">
      <x:c r="A2839" s="115" t="str">
        <x:v>EXT-MONDE-T057-V34</x:v>
      </x:c>
      <x:c r="B2839" s="115" t="str">
        <x:v>EXT-MONDE-T057</x:v>
      </x:c>
      <x:c r="C2839" s="115" t="str">
        <x:v>Énergie</x:v>
      </x:c>
      <x:c r="D2839" s="115" t="str">
        <x:v>Centrale thermique</x:v>
      </x:c>
      <x:c r="E2839" s="115" t="n">
        <x:v>34</x:v>
      </x:c>
      <x:c r="F2839" s="115" t="str">
        <x:v>Inspection physique</x:v>
      </x:c>
      <x:c r="G2839" s="115" t="str">
        <x:v>1 niveaux ; 22 pièces ; 167 segments de mur ; 0 transitions. Inspection physique ; architecture complète encore ouverte.</x:v>
      </x:c>
      <x:c r="H2839" s="115" t="str">
        <x:v>L 484 ; l 500 ; hauteur 24 m ; choix de composition auteur ; dimensions réelles à documenter</x:v>
      </x:c>
      <x:c r="I2839" s="115" t="str">
        <x:v>À équilibrer</x:v>
      </x:c>
      <x:c r="J2839" s="115" t="str">
        <x:v>Non</x:v>
      </x:c>
      <x:c r="K2839" s="115" t="str">
        <x:v>Pièces décrites, murs, portes, niveaux et mobilier inspectables à l’échelle. Volumes réservés, raccord au seed, butin, rencontres et services de campagne restent à terminer.</x:v>
      </x:c>
    </x:row>
    <x:row r="2840" ht="96" customHeight="1">
      <x:c r="A2840" s="115" t="str">
        <x:v>EXT-MONDE-T057-V35</x:v>
      </x:c>
      <x:c r="B2840" s="115" t="str">
        <x:v>EXT-MONDE-T057</x:v>
      </x:c>
      <x:c r="C2840" s="115" t="str">
        <x:v>Énergie</x:v>
      </x:c>
      <x:c r="D2840" s="115" t="str">
        <x:v>Centrale thermique</x:v>
      </x:c>
      <x:c r="E2840" s="115" t="n">
        <x:v>35</x:v>
      </x:c>
      <x:c r="F2840" s="115" t="str">
        <x:v>Inspection physique</x:v>
      </x:c>
      <x:c r="G2840" s="115" t="str">
        <x:v>1 niveaux ; 22 pièces ; 167 segments de mur ; 0 transitions. Inspection physique ; architecture complète encore ouverte.</x:v>
      </x:c>
      <x:c r="H2840" s="115" t="str">
        <x:v>L 484 ; l 500 ; hauteur 24 m ; choix de composition auteur ; dimensions réelles à documenter</x:v>
      </x:c>
      <x:c r="I2840" s="115" t="str">
        <x:v>À équilibrer</x:v>
      </x:c>
      <x:c r="J2840" s="115" t="str">
        <x:v>Non</x:v>
      </x:c>
      <x:c r="K2840" s="115" t="str">
        <x:v>Pièces décrites, murs, portes, niveaux et mobilier inspectables à l’échelle. Volumes réservés, raccord au seed, butin, rencontres et services de campagne restent à terminer.</x:v>
      </x:c>
    </x:row>
    <x:row r="2841" ht="96" customHeight="1">
      <x:c r="A2841" s="115" t="str">
        <x:v>EXT-MONDE-T057-V36</x:v>
      </x:c>
      <x:c r="B2841" s="115" t="str">
        <x:v>EXT-MONDE-T057</x:v>
      </x:c>
      <x:c r="C2841" s="115" t="str">
        <x:v>Énergie</x:v>
      </x:c>
      <x:c r="D2841" s="115" t="str">
        <x:v>Centrale thermique</x:v>
      </x:c>
      <x:c r="E2841" s="115" t="n">
        <x:v>36</x:v>
      </x:c>
      <x:c r="F2841" s="115" t="str">
        <x:v>Inspection physique</x:v>
      </x:c>
      <x:c r="G2841" s="115" t="str">
        <x:v>1 niveaux ; 22 pièces ; 167 segments de mur ; 0 transitions. Inspection physique ; architecture complète encore ouverte.</x:v>
      </x:c>
      <x:c r="H2841" s="115" t="str">
        <x:v>L 484 ; l 500 ; hauteur 24 m ; choix de composition auteur ; dimensions réelles à documenter</x:v>
      </x:c>
      <x:c r="I2841" s="115" t="str">
        <x:v>À équilibrer</x:v>
      </x:c>
      <x:c r="J2841" s="115" t="str">
        <x:v>Non</x:v>
      </x:c>
      <x:c r="K2841" s="115" t="str">
        <x:v>Pièces décrites, murs, portes, niveaux et mobilier inspectables à l’échelle. Volumes réservés, raccord au seed, butin, rencontres et services de campagne restent à terminer.</x:v>
      </x:c>
    </x:row>
    <x:row r="2842" ht="96" customHeight="1">
      <x:c r="A2842" s="115" t="str">
        <x:v>EXT-MONDE-T057-V37</x:v>
      </x:c>
      <x:c r="B2842" s="115" t="str">
        <x:v>EXT-MONDE-T057</x:v>
      </x:c>
      <x:c r="C2842" s="115" t="str">
        <x:v>Énergie</x:v>
      </x:c>
      <x:c r="D2842" s="115" t="str">
        <x:v>Centrale thermique</x:v>
      </x:c>
      <x:c r="E2842" s="115" t="n">
        <x:v>37</x:v>
      </x:c>
      <x:c r="F2842" s="115" t="str">
        <x:v>Inspection physique</x:v>
      </x:c>
      <x:c r="G2842" s="115" t="str">
        <x:v>1 niveaux ; 22 pièces ; 167 segments de mur ; 0 transitions. Inspection physique ; architecture complète encore ouverte.</x:v>
      </x:c>
      <x:c r="H2842" s="115" t="str">
        <x:v>L 484 ; l 500 ; hauteur 24 m ; choix de composition auteur ; dimensions réelles à documenter</x:v>
      </x:c>
      <x:c r="I2842" s="115" t="str">
        <x:v>À équilibrer</x:v>
      </x:c>
      <x:c r="J2842" s="115" t="str">
        <x:v>Non</x:v>
      </x:c>
      <x:c r="K2842" s="115" t="str">
        <x:v>Pièces décrites, murs, portes, niveaux et mobilier inspectables à l’échelle. Volumes réservés, raccord au seed, butin, rencontres et services de campagne restent à terminer.</x:v>
      </x:c>
    </x:row>
    <x:row r="2843" ht="96" customHeight="1">
      <x:c r="A2843" s="115" t="str">
        <x:v>EXT-MONDE-T057-V38</x:v>
      </x:c>
      <x:c r="B2843" s="115" t="str">
        <x:v>EXT-MONDE-T057</x:v>
      </x:c>
      <x:c r="C2843" s="115" t="str">
        <x:v>Énergie</x:v>
      </x:c>
      <x:c r="D2843" s="115" t="str">
        <x:v>Centrale thermique</x:v>
      </x:c>
      <x:c r="E2843" s="115" t="n">
        <x:v>38</x:v>
      </x:c>
      <x:c r="F2843" s="115" t="str">
        <x:v>Inspection physique</x:v>
      </x:c>
      <x:c r="G2843" s="115" t="str">
        <x:v>1 niveaux ; 22 pièces ; 167 segments de mur ; 0 transitions. Inspection physique ; architecture complète encore ouverte.</x:v>
      </x:c>
      <x:c r="H2843" s="115" t="str">
        <x:v>L 484 ; l 500 ; hauteur 24 m ; choix de composition auteur ; dimensions réelles à documenter</x:v>
      </x:c>
      <x:c r="I2843" s="115" t="str">
        <x:v>À équilibrer</x:v>
      </x:c>
      <x:c r="J2843" s="115" t="str">
        <x:v>Non</x:v>
      </x:c>
      <x:c r="K2843" s="115" t="str">
        <x:v>Pièces décrites, murs, portes, niveaux et mobilier inspectables à l’échelle. Volumes réservés, raccord au seed, butin, rencontres et services de campagne restent à terminer.</x:v>
      </x:c>
    </x:row>
    <x:row r="2844" ht="96" customHeight="1">
      <x:c r="A2844" s="115" t="str">
        <x:v>EXT-MONDE-T057-V39</x:v>
      </x:c>
      <x:c r="B2844" s="115" t="str">
        <x:v>EXT-MONDE-T057</x:v>
      </x:c>
      <x:c r="C2844" s="115" t="str">
        <x:v>Énergie</x:v>
      </x:c>
      <x:c r="D2844" s="115" t="str">
        <x:v>Centrale thermique</x:v>
      </x:c>
      <x:c r="E2844" s="115" t="n">
        <x:v>39</x:v>
      </x:c>
      <x:c r="F2844" s="115" t="str">
        <x:v>Inspection physique</x:v>
      </x:c>
      <x:c r="G2844" s="115" t="str">
        <x:v>1 niveaux ; 22 pièces ; 167 segments de mur ; 0 transitions. Inspection physique ; architecture complète encore ouverte.</x:v>
      </x:c>
      <x:c r="H2844" s="115" t="str">
        <x:v>L 484 ; l 500 ; hauteur 24 m ; choix de composition auteur ; dimensions réelles à documenter</x:v>
      </x:c>
      <x:c r="I2844" s="115" t="str">
        <x:v>À équilibrer</x:v>
      </x:c>
      <x:c r="J2844" s="115" t="str">
        <x:v>Non</x:v>
      </x:c>
      <x:c r="K2844" s="115" t="str">
        <x:v>Pièces décrites, murs, portes, niveaux et mobilier inspectables à l’échelle. Volumes réservés, raccord au seed, butin, rencontres et services de campagne restent à terminer.</x:v>
      </x:c>
    </x:row>
    <x:row r="2845" ht="96" customHeight="1">
      <x:c r="A2845" s="115" t="str">
        <x:v>EXT-MONDE-T057-V40</x:v>
      </x:c>
      <x:c r="B2845" s="115" t="str">
        <x:v>EXT-MONDE-T057</x:v>
      </x:c>
      <x:c r="C2845" s="115" t="str">
        <x:v>Énergie</x:v>
      </x:c>
      <x:c r="D2845" s="115" t="str">
        <x:v>Centrale thermique</x:v>
      </x:c>
      <x:c r="E2845" s="115" t="n">
        <x:v>40</x:v>
      </x:c>
      <x:c r="F2845" s="115" t="str">
        <x:v>Inspection physique</x:v>
      </x:c>
      <x:c r="G2845" s="115" t="str">
        <x:v>1 niveaux ; 22 pièces ; 167 segments de mur ; 0 transitions. Inspection physique ; architecture complète encore ouverte.</x:v>
      </x:c>
      <x:c r="H2845" s="115" t="str">
        <x:v>L 484 ; l 500 ; hauteur 24 m ; choix de composition auteur ; dimensions réelles à documenter</x:v>
      </x:c>
      <x:c r="I2845" s="115" t="str">
        <x:v>À équilibrer</x:v>
      </x:c>
      <x:c r="J2845" s="115" t="str">
        <x:v>Non</x:v>
      </x:c>
      <x:c r="K2845" s="115" t="str">
        <x:v>Pièces décrites, murs, portes, niveaux et mobilier inspectables à l’échelle. Volumes réservés, raccord au seed, butin, rencontres et services de campagne restent à terminer.</x:v>
      </x:c>
    </x:row>
    <x:row r="2846" ht="96" customHeight="1">
      <x:c r="A2846" s="115" t="str">
        <x:v>EXT-MONDE-T057-V41</x:v>
      </x:c>
      <x:c r="B2846" s="115" t="str">
        <x:v>EXT-MONDE-T057</x:v>
      </x:c>
      <x:c r="C2846" s="115" t="str">
        <x:v>Énergie</x:v>
      </x:c>
      <x:c r="D2846" s="115" t="str">
        <x:v>Centrale thermique</x:v>
      </x:c>
      <x:c r="E2846" s="115" t="n">
        <x:v>41</x:v>
      </x:c>
      <x:c r="F2846" s="115" t="str">
        <x:v>Inspection physique</x:v>
      </x:c>
      <x:c r="G2846" s="115" t="str">
        <x:v>1 niveaux ; 22 pièces ; 167 segments de mur ; 0 transitions. Inspection physique ; architecture complète encore ouverte.</x:v>
      </x:c>
      <x:c r="H2846" s="115" t="str">
        <x:v>L 502 ; l 520 ; hauteur 24 m ; choix de composition auteur ; dimensions réelles à documenter</x:v>
      </x:c>
      <x:c r="I2846" s="115" t="str">
        <x:v>À équilibrer</x:v>
      </x:c>
      <x:c r="J2846" s="115" t="str">
        <x:v>Non</x:v>
      </x:c>
      <x:c r="K2846" s="115" t="str">
        <x:v>Pièces décrites, murs, portes, niveaux et mobilier inspectables à l’échelle. Volumes réservés, raccord au seed, butin, rencontres et services de campagne restent à terminer.</x:v>
      </x:c>
    </x:row>
    <x:row r="2847" ht="96" customHeight="1">
      <x:c r="A2847" s="115" t="str">
        <x:v>EXT-MONDE-T057-V42</x:v>
      </x:c>
      <x:c r="B2847" s="115" t="str">
        <x:v>EXT-MONDE-T057</x:v>
      </x:c>
      <x:c r="C2847" s="115" t="str">
        <x:v>Énergie</x:v>
      </x:c>
      <x:c r="D2847" s="115" t="str">
        <x:v>Centrale thermique</x:v>
      </x:c>
      <x:c r="E2847" s="115" t="n">
        <x:v>42</x:v>
      </x:c>
      <x:c r="F2847" s="115" t="str">
        <x:v>Inspection physique</x:v>
      </x:c>
      <x:c r="G2847" s="115" t="str">
        <x:v>1 niveaux ; 22 pièces ; 167 segments de mur ; 0 transitions. Inspection physique ; architecture complète encore ouverte.</x:v>
      </x:c>
      <x:c r="H2847" s="115" t="str">
        <x:v>L 502 ; l 520 ; hauteur 24 m ; choix de composition auteur ; dimensions réelles à documenter</x:v>
      </x:c>
      <x:c r="I2847" s="115" t="str">
        <x:v>À équilibrer</x:v>
      </x:c>
      <x:c r="J2847" s="115" t="str">
        <x:v>Non</x:v>
      </x:c>
      <x:c r="K2847" s="115" t="str">
        <x:v>Pièces décrites, murs, portes, niveaux et mobilier inspectables à l’échelle. Volumes réservés, raccord au seed, butin, rencontres et services de campagne restent à terminer.</x:v>
      </x:c>
    </x:row>
    <x:row r="2848" ht="96" customHeight="1">
      <x:c r="A2848" s="115" t="str">
        <x:v>EXT-MONDE-T057-V43</x:v>
      </x:c>
      <x:c r="B2848" s="115" t="str">
        <x:v>EXT-MONDE-T057</x:v>
      </x:c>
      <x:c r="C2848" s="115" t="str">
        <x:v>Énergie</x:v>
      </x:c>
      <x:c r="D2848" s="115" t="str">
        <x:v>Centrale thermique</x:v>
      </x:c>
      <x:c r="E2848" s="115" t="n">
        <x:v>43</x:v>
      </x:c>
      <x:c r="F2848" s="115" t="str">
        <x:v>Inspection physique</x:v>
      </x:c>
      <x:c r="G2848" s="115" t="str">
        <x:v>1 niveaux ; 22 pièces ; 167 segments de mur ; 0 transitions. Inspection physique ; architecture complète encore ouverte.</x:v>
      </x:c>
      <x:c r="H2848" s="115" t="str">
        <x:v>L 502 ; l 520 ; hauteur 24 m ; choix de composition auteur ; dimensions réelles à documenter</x:v>
      </x:c>
      <x:c r="I2848" s="115" t="str">
        <x:v>À équilibrer</x:v>
      </x:c>
      <x:c r="J2848" s="115" t="str">
        <x:v>Non</x:v>
      </x:c>
      <x:c r="K2848" s="115" t="str">
        <x:v>Pièces décrites, murs, portes, niveaux et mobilier inspectables à l’échelle. Volumes réservés, raccord au seed, butin, rencontres et services de campagne restent à terminer.</x:v>
      </x:c>
    </x:row>
    <x:row r="2849" ht="96" customHeight="1">
      <x:c r="A2849" s="115" t="str">
        <x:v>EXT-MONDE-T057-V44</x:v>
      </x:c>
      <x:c r="B2849" s="115" t="str">
        <x:v>EXT-MONDE-T057</x:v>
      </x:c>
      <x:c r="C2849" s="115" t="str">
        <x:v>Énergie</x:v>
      </x:c>
      <x:c r="D2849" s="115" t="str">
        <x:v>Centrale thermique</x:v>
      </x:c>
      <x:c r="E2849" s="115" t="n">
        <x:v>44</x:v>
      </x:c>
      <x:c r="F2849" s="115" t="str">
        <x:v>Inspection physique</x:v>
      </x:c>
      <x:c r="G2849" s="115" t="str">
        <x:v>1 niveaux ; 22 pièces ; 167 segments de mur ; 0 transitions. Inspection physique ; architecture complète encore ouverte.</x:v>
      </x:c>
      <x:c r="H2849" s="115" t="str">
        <x:v>L 502 ; l 520 ; hauteur 24 m ; choix de composition auteur ; dimensions réelles à documenter</x:v>
      </x:c>
      <x:c r="I2849" s="115" t="str">
        <x:v>À équilibrer</x:v>
      </x:c>
      <x:c r="J2849" s="115" t="str">
        <x:v>Non</x:v>
      </x:c>
      <x:c r="K2849" s="115" t="str">
        <x:v>Pièces décrites, murs, portes, niveaux et mobilier inspectables à l’échelle. Volumes réservés, raccord au seed, butin, rencontres et services de campagne restent à terminer.</x:v>
      </x:c>
    </x:row>
    <x:row r="2850" ht="96" customHeight="1">
      <x:c r="A2850" s="115" t="str">
        <x:v>EXT-MONDE-T057-V45</x:v>
      </x:c>
      <x:c r="B2850" s="115" t="str">
        <x:v>EXT-MONDE-T057</x:v>
      </x:c>
      <x:c r="C2850" s="115" t="str">
        <x:v>Énergie</x:v>
      </x:c>
      <x:c r="D2850" s="115" t="str">
        <x:v>Centrale thermique</x:v>
      </x:c>
      <x:c r="E2850" s="115" t="n">
        <x:v>45</x:v>
      </x:c>
      <x:c r="F2850" s="115" t="str">
        <x:v>Inspection physique</x:v>
      </x:c>
      <x:c r="G2850" s="115" t="str">
        <x:v>1 niveaux ; 22 pièces ; 167 segments de mur ; 0 transitions. Inspection physique ; architecture complète encore ouverte.</x:v>
      </x:c>
      <x:c r="H2850" s="115" t="str">
        <x:v>L 502 ; l 520 ; hauteur 24 m ; choix de composition auteur ; dimensions réelles à documenter</x:v>
      </x:c>
      <x:c r="I2850" s="115" t="str">
        <x:v>À équilibrer</x:v>
      </x:c>
      <x:c r="J2850" s="115" t="str">
        <x:v>Non</x:v>
      </x:c>
      <x:c r="K2850" s="115" t="str">
        <x:v>Pièces décrites, murs, portes, niveaux et mobilier inspectables à l’échelle. Volumes réservés, raccord au seed, butin, rencontres et services de campagne restent à terminer.</x:v>
      </x:c>
    </x:row>
    <x:row r="2851" ht="96" customHeight="1">
      <x:c r="A2851" s="115" t="str">
        <x:v>EXT-MONDE-T057-V46</x:v>
      </x:c>
      <x:c r="B2851" s="115" t="str">
        <x:v>EXT-MONDE-T057</x:v>
      </x:c>
      <x:c r="C2851" s="115" t="str">
        <x:v>Énergie</x:v>
      </x:c>
      <x:c r="D2851" s="115" t="str">
        <x:v>Centrale thermique</x:v>
      </x:c>
      <x:c r="E2851" s="115" t="n">
        <x:v>46</x:v>
      </x:c>
      <x:c r="F2851" s="115" t="str">
        <x:v>Inspection physique</x:v>
      </x:c>
      <x:c r="G2851" s="115" t="str">
        <x:v>1 niveaux ; 22 pièces ; 167 segments de mur ; 0 transitions. Inspection physique ; architecture complète encore ouverte.</x:v>
      </x:c>
      <x:c r="H2851" s="115" t="str">
        <x:v>L 502 ; l 520 ; hauteur 24 m ; choix de composition auteur ; dimensions réelles à documenter</x:v>
      </x:c>
      <x:c r="I2851" s="115" t="str">
        <x:v>À équilibrer</x:v>
      </x:c>
      <x:c r="J2851" s="115" t="str">
        <x:v>Non</x:v>
      </x:c>
      <x:c r="K2851" s="115" t="str">
        <x:v>Pièces décrites, murs, portes, niveaux et mobilier inspectables à l’échelle. Volumes réservés, raccord au seed, butin, rencontres et services de campagne restent à terminer.</x:v>
      </x:c>
    </x:row>
    <x:row r="2852" ht="96" customHeight="1">
      <x:c r="A2852" s="115" t="str">
        <x:v>EXT-MONDE-T057-V47</x:v>
      </x:c>
      <x:c r="B2852" s="115" t="str">
        <x:v>EXT-MONDE-T057</x:v>
      </x:c>
      <x:c r="C2852" s="115" t="str">
        <x:v>Énergie</x:v>
      </x:c>
      <x:c r="D2852" s="115" t="str">
        <x:v>Centrale thermique</x:v>
      </x:c>
      <x:c r="E2852" s="115" t="n">
        <x:v>47</x:v>
      </x:c>
      <x:c r="F2852" s="115" t="str">
        <x:v>Inspection physique</x:v>
      </x:c>
      <x:c r="G2852" s="115" t="str">
        <x:v>1 niveaux ; 22 pièces ; 167 segments de mur ; 0 transitions. Inspection physique ; architecture complète encore ouverte.</x:v>
      </x:c>
      <x:c r="H2852" s="115" t="str">
        <x:v>L 502 ; l 520 ; hauteur 24 m ; choix de composition auteur ; dimensions réelles à documenter</x:v>
      </x:c>
      <x:c r="I2852" s="115" t="str">
        <x:v>À équilibrer</x:v>
      </x:c>
      <x:c r="J2852" s="115" t="str">
        <x:v>Non</x:v>
      </x:c>
      <x:c r="K2852" s="115" t="str">
        <x:v>Pièces décrites, murs, portes, niveaux et mobilier inspectables à l’échelle. Volumes réservés, raccord au seed, butin, rencontres et services de campagne restent à terminer.</x:v>
      </x:c>
    </x:row>
    <x:row r="2853" ht="96" customHeight="1">
      <x:c r="A2853" s="115" t="str">
        <x:v>EXT-MONDE-T057-V48</x:v>
      </x:c>
      <x:c r="B2853" s="115" t="str">
        <x:v>EXT-MONDE-T057</x:v>
      </x:c>
      <x:c r="C2853" s="115" t="str">
        <x:v>Énergie</x:v>
      </x:c>
      <x:c r="D2853" s="115" t="str">
        <x:v>Centrale thermique</x:v>
      </x:c>
      <x:c r="E2853" s="115" t="n">
        <x:v>48</x:v>
      </x:c>
      <x:c r="F2853" s="115" t="str">
        <x:v>Inspection physique</x:v>
      </x:c>
      <x:c r="G2853" s="115" t="str">
        <x:v>1 niveaux ; 22 pièces ; 167 segments de mur ; 0 transitions. Inspection physique ; architecture complète encore ouverte.</x:v>
      </x:c>
      <x:c r="H2853" s="115" t="str">
        <x:v>L 502 ; l 520 ; hauteur 24 m ; choix de composition auteur ; dimensions réelles à documenter</x:v>
      </x:c>
      <x:c r="I2853" s="115" t="str">
        <x:v>À équilibrer</x:v>
      </x:c>
      <x:c r="J2853" s="115" t="str">
        <x:v>Non</x:v>
      </x:c>
      <x:c r="K2853" s="115" t="str">
        <x:v>Pièces décrites, murs, portes, niveaux et mobilier inspectables à l’échelle. Volumes réservés, raccord au seed, butin, rencontres et services de campagne restent à terminer.</x:v>
      </x:c>
    </x:row>
    <x:row r="2854" ht="96" customHeight="1">
      <x:c r="A2854" s="115" t="str">
        <x:v>EXT-MONDE-T057-V49</x:v>
      </x:c>
      <x:c r="B2854" s="115" t="str">
        <x:v>EXT-MONDE-T057</x:v>
      </x:c>
      <x:c r="C2854" s="115" t="str">
        <x:v>Énergie</x:v>
      </x:c>
      <x:c r="D2854" s="115" t="str">
        <x:v>Centrale thermique</x:v>
      </x:c>
      <x:c r="E2854" s="115" t="n">
        <x:v>49</x:v>
      </x:c>
      <x:c r="F2854" s="115" t="str">
        <x:v>Inspection physique</x:v>
      </x:c>
      <x:c r="G2854" s="115" t="str">
        <x:v>1 niveaux ; 22 pièces ; 167 segments de mur ; 0 transitions. Inspection physique ; architecture complète encore ouverte.</x:v>
      </x:c>
      <x:c r="H2854" s="115" t="str">
        <x:v>L 502 ; l 520 ; hauteur 24 m ; choix de composition auteur ; dimensions réelles à documenter</x:v>
      </x:c>
      <x:c r="I2854" s="115" t="str">
        <x:v>À équilibrer</x:v>
      </x:c>
      <x:c r="J2854" s="115" t="str">
        <x:v>Non</x:v>
      </x:c>
      <x:c r="K2854" s="115" t="str">
        <x:v>Pièces décrites, murs, portes, niveaux et mobilier inspectables à l’échelle. Volumes réservés, raccord au seed, butin, rencontres et services de campagne restent à terminer.</x:v>
      </x:c>
    </x:row>
    <x:row r="2855" ht="96" customHeight="1">
      <x:c r="A2855" s="115" t="str">
        <x:v>EXT-MONDE-T057-V50</x:v>
      </x:c>
      <x:c r="B2855" s="115" t="str">
        <x:v>EXT-MONDE-T057</x:v>
      </x:c>
      <x:c r="C2855" s="115" t="str">
        <x:v>Énergie</x:v>
      </x:c>
      <x:c r="D2855" s="115" t="str">
        <x:v>Centrale thermique</x:v>
      </x:c>
      <x:c r="E2855" s="115" t="n">
        <x:v>50</x:v>
      </x:c>
      <x:c r="F2855" s="115" t="str">
        <x:v>Inspection physique</x:v>
      </x:c>
      <x:c r="G2855" s="115" t="str">
        <x:v>1 niveaux ; 22 pièces ; 167 segments de mur ; 0 transitions. Inspection physique ; architecture complète encore ouverte.</x:v>
      </x:c>
      <x:c r="H2855" s="115" t="str">
        <x:v>L 502 ; l 520 ; hauteur 24 m ; choix de composition auteur ; dimensions réelles à documenter</x:v>
      </x:c>
      <x:c r="I2855" s="115" t="str">
        <x:v>À équilibrer</x:v>
      </x:c>
      <x:c r="J2855" s="115" t="str">
        <x:v>Non</x:v>
      </x:c>
      <x:c r="K2855" s="115" t="str">
        <x:v>Pièces décrites, murs, portes, niveaux et mobilier inspectables à l’échelle. Volumes réservés, raccord au seed, butin, rencontres et services de campagne restent à terminer.</x:v>
      </x:c>
    </x:row>
    <x:row r="2856" ht="96" customHeight="1">
      <x:c r="A2856" s="115" t="str">
        <x:v>EXT-MONDE-T058-V01</x:v>
      </x:c>
      <x:c r="B2856" s="115" t="str">
        <x:v>EXT-MONDE-T058</x:v>
      </x:c>
      <x:c r="C2856" s="115" t="str">
        <x:v>Énergie</x:v>
      </x:c>
      <x:c r="D2856" s="115" t="str">
        <x:v>Centrale hydroélectrique</x:v>
      </x:c>
      <x:c r="E2856" s="115" t="n">
        <x:v>1</x:v>
      </x:c>
      <x:c r="F2856" s="115" t="str">
        <x:v>Inspection physique</x:v>
      </x:c>
      <x:c r="G2856" s="115" t="str">
        <x:v>1 niveaux ; 22 pièces ; 167 segments de mur ; 0 transitions. Inspection physique ; architecture complète encore ouverte.</x:v>
      </x:c>
      <x:c r="H2856" s="115" t="str">
        <x:v>L 430 ; l 440 ; hauteur 9 m ; choix de composition auteur ; dimensions réelles à documenter</x:v>
      </x:c>
      <x:c r="I2856" s="115" t="str">
        <x:v>À équilibrer</x:v>
      </x:c>
      <x:c r="J2856" s="115" t="str">
        <x:v>Non</x:v>
      </x:c>
      <x:c r="K2856" s="115" t="str">
        <x:v>Pièces décrites, murs, portes, niveaux et mobilier inspectables à l’échelle. Volumes réservés, raccord au seed, butin, rencontres et services de campagne restent à terminer.</x:v>
      </x:c>
    </x:row>
    <x:row r="2857" ht="96" customHeight="1">
      <x:c r="A2857" s="115" t="str">
        <x:v>EXT-MONDE-T058-V02</x:v>
      </x:c>
      <x:c r="B2857" s="115" t="str">
        <x:v>EXT-MONDE-T058</x:v>
      </x:c>
      <x:c r="C2857" s="115" t="str">
        <x:v>Énergie</x:v>
      </x:c>
      <x:c r="D2857" s="115" t="str">
        <x:v>Centrale hydroélectrique</x:v>
      </x:c>
      <x:c r="E2857" s="115" t="n">
        <x:v>2</x:v>
      </x:c>
      <x:c r="F2857" s="115" t="str">
        <x:v>Inspection physique</x:v>
      </x:c>
      <x:c r="G2857" s="115" t="str">
        <x:v>1 niveaux ; 22 pièces ; 167 segments de mur ; 0 transitions. Inspection physique ; architecture complète encore ouverte.</x:v>
      </x:c>
      <x:c r="H2857" s="115" t="str">
        <x:v>L 430 ; l 440 ; hauteur 9 m ; choix de composition auteur ; dimensions réelles à documenter</x:v>
      </x:c>
      <x:c r="I2857" s="115" t="str">
        <x:v>À équilibrer</x:v>
      </x:c>
      <x:c r="J2857" s="115" t="str">
        <x:v>Non</x:v>
      </x:c>
      <x:c r="K2857" s="115" t="str">
        <x:v>Pièces décrites, murs, portes, niveaux et mobilier inspectables à l’échelle. Volumes réservés, raccord au seed, butin, rencontres et services de campagne restent à terminer.</x:v>
      </x:c>
    </x:row>
    <x:row r="2858" ht="96" customHeight="1">
      <x:c r="A2858" s="115" t="str">
        <x:v>EXT-MONDE-T058-V03</x:v>
      </x:c>
      <x:c r="B2858" s="115" t="str">
        <x:v>EXT-MONDE-T058</x:v>
      </x:c>
      <x:c r="C2858" s="115" t="str">
        <x:v>Énergie</x:v>
      </x:c>
      <x:c r="D2858" s="115" t="str">
        <x:v>Centrale hydroélectrique</x:v>
      </x:c>
      <x:c r="E2858" s="115" t="n">
        <x:v>3</x:v>
      </x:c>
      <x:c r="F2858" s="115" t="str">
        <x:v>Inspection physique</x:v>
      </x:c>
      <x:c r="G2858" s="115" t="str">
        <x:v>1 niveaux ; 22 pièces ; 167 segments de mur ; 0 transitions. Inspection physique ; architecture complète encore ouverte.</x:v>
      </x:c>
      <x:c r="H2858" s="115" t="str">
        <x:v>L 430 ; l 440 ; hauteur 9 m ; choix de composition auteur ; dimensions réelles à documenter</x:v>
      </x:c>
      <x:c r="I2858" s="115" t="str">
        <x:v>À équilibrer</x:v>
      </x:c>
      <x:c r="J2858" s="115" t="str">
        <x:v>Non</x:v>
      </x:c>
      <x:c r="K2858" s="115" t="str">
        <x:v>Pièces décrites, murs, portes, niveaux et mobilier inspectables à l’échelle. Volumes réservés, raccord au seed, butin, rencontres et services de campagne restent à terminer.</x:v>
      </x:c>
    </x:row>
    <x:row r="2859" ht="96" customHeight="1">
      <x:c r="A2859" s="115" t="str">
        <x:v>EXT-MONDE-T058-V04</x:v>
      </x:c>
      <x:c r="B2859" s="115" t="str">
        <x:v>EXT-MONDE-T058</x:v>
      </x:c>
      <x:c r="C2859" s="115" t="str">
        <x:v>Énergie</x:v>
      </x:c>
      <x:c r="D2859" s="115" t="str">
        <x:v>Centrale hydroélectrique</x:v>
      </x:c>
      <x:c r="E2859" s="115" t="n">
        <x:v>4</x:v>
      </x:c>
      <x:c r="F2859" s="115" t="str">
        <x:v>Inspection physique</x:v>
      </x:c>
      <x:c r="G2859" s="115" t="str">
        <x:v>1 niveaux ; 22 pièces ; 167 segments de mur ; 0 transitions. Inspection physique ; architecture complète encore ouverte.</x:v>
      </x:c>
      <x:c r="H2859" s="115" t="str">
        <x:v>L 430 ; l 440 ; hauteur 9 m ; choix de composition auteur ; dimensions réelles à documenter</x:v>
      </x:c>
      <x:c r="I2859" s="115" t="str">
        <x:v>À équilibrer</x:v>
      </x:c>
      <x:c r="J2859" s="115" t="str">
        <x:v>Non</x:v>
      </x:c>
      <x:c r="K2859" s="115" t="str">
        <x:v>Pièces décrites, murs, portes, niveaux et mobilier inspectables à l’échelle. Volumes réservés, raccord au seed, butin, rencontres et services de campagne restent à terminer.</x:v>
      </x:c>
    </x:row>
    <x:row r="2860" ht="96" customHeight="1">
      <x:c r="A2860" s="115" t="str">
        <x:v>EXT-MONDE-T058-V05</x:v>
      </x:c>
      <x:c r="B2860" s="115" t="str">
        <x:v>EXT-MONDE-T058</x:v>
      </x:c>
      <x:c r="C2860" s="115" t="str">
        <x:v>Énergie</x:v>
      </x:c>
      <x:c r="D2860" s="115" t="str">
        <x:v>Centrale hydroélectrique</x:v>
      </x:c>
      <x:c r="E2860" s="115" t="n">
        <x:v>5</x:v>
      </x:c>
      <x:c r="F2860" s="115" t="str">
        <x:v>Inspection physique</x:v>
      </x:c>
      <x:c r="G2860" s="115" t="str">
        <x:v>1 niveaux ; 22 pièces ; 167 segments de mur ; 0 transitions. Inspection physique ; architecture complète encore ouverte.</x:v>
      </x:c>
      <x:c r="H2860" s="115" t="str">
        <x:v>L 430 ; l 440 ; hauteur 9 m ; choix de composition auteur ; dimensions réelles à documenter</x:v>
      </x:c>
      <x:c r="I2860" s="115" t="str">
        <x:v>À équilibrer</x:v>
      </x:c>
      <x:c r="J2860" s="115" t="str">
        <x:v>Non</x:v>
      </x:c>
      <x:c r="K2860" s="115" t="str">
        <x:v>Pièces décrites, murs, portes, niveaux et mobilier inspectables à l’échelle. Volumes réservés, raccord au seed, butin, rencontres et services de campagne restent à terminer.</x:v>
      </x:c>
    </x:row>
    <x:row r="2861" ht="96" customHeight="1">
      <x:c r="A2861" s="115" t="str">
        <x:v>EXT-MONDE-T058-V06</x:v>
      </x:c>
      <x:c r="B2861" s="115" t="str">
        <x:v>EXT-MONDE-T058</x:v>
      </x:c>
      <x:c r="C2861" s="115" t="str">
        <x:v>Énergie</x:v>
      </x:c>
      <x:c r="D2861" s="115" t="str">
        <x:v>Centrale hydroélectrique</x:v>
      </x:c>
      <x:c r="E2861" s="115" t="n">
        <x:v>6</x:v>
      </x:c>
      <x:c r="F2861" s="115" t="str">
        <x:v>Inspection physique</x:v>
      </x:c>
      <x:c r="G2861" s="115" t="str">
        <x:v>1 niveaux ; 22 pièces ; 167 segments de mur ; 0 transitions. Inspection physique ; architecture complète encore ouverte.</x:v>
      </x:c>
      <x:c r="H2861" s="115" t="str">
        <x:v>L 430 ; l 440 ; hauteur 9 m ; choix de composition auteur ; dimensions réelles à documenter</x:v>
      </x:c>
      <x:c r="I2861" s="115" t="str">
        <x:v>À équilibrer</x:v>
      </x:c>
      <x:c r="J2861" s="115" t="str">
        <x:v>Non</x:v>
      </x:c>
      <x:c r="K2861" s="115" t="str">
        <x:v>Pièces décrites, murs, portes, niveaux et mobilier inspectables à l’échelle. Volumes réservés, raccord au seed, butin, rencontres et services de campagne restent à terminer.</x:v>
      </x:c>
    </x:row>
    <x:row r="2862" ht="96" customHeight="1">
      <x:c r="A2862" s="115" t="str">
        <x:v>EXT-MONDE-T058-V07</x:v>
      </x:c>
      <x:c r="B2862" s="115" t="str">
        <x:v>EXT-MONDE-T058</x:v>
      </x:c>
      <x:c r="C2862" s="115" t="str">
        <x:v>Énergie</x:v>
      </x:c>
      <x:c r="D2862" s="115" t="str">
        <x:v>Centrale hydroélectrique</x:v>
      </x:c>
      <x:c r="E2862" s="115" t="n">
        <x:v>7</x:v>
      </x:c>
      <x:c r="F2862" s="115" t="str">
        <x:v>Inspection physique</x:v>
      </x:c>
      <x:c r="G2862" s="115" t="str">
        <x:v>1 niveaux ; 22 pièces ; 167 segments de mur ; 0 transitions. Inspection physique ; architecture complète encore ouverte.</x:v>
      </x:c>
      <x:c r="H2862" s="115" t="str">
        <x:v>L 430 ; l 440 ; hauteur 9 m ; choix de composition auteur ; dimensions réelles à documenter</x:v>
      </x:c>
      <x:c r="I2862" s="115" t="str">
        <x:v>À équilibrer</x:v>
      </x:c>
      <x:c r="J2862" s="115" t="str">
        <x:v>Non</x:v>
      </x:c>
      <x:c r="K2862" s="115" t="str">
        <x:v>Pièces décrites, murs, portes, niveaux et mobilier inspectables à l’échelle. Volumes réservés, raccord au seed, butin, rencontres et services de campagne restent à terminer.</x:v>
      </x:c>
    </x:row>
    <x:row r="2863" ht="96" customHeight="1">
      <x:c r="A2863" s="115" t="str">
        <x:v>EXT-MONDE-T058-V08</x:v>
      </x:c>
      <x:c r="B2863" s="115" t="str">
        <x:v>EXT-MONDE-T058</x:v>
      </x:c>
      <x:c r="C2863" s="115" t="str">
        <x:v>Énergie</x:v>
      </x:c>
      <x:c r="D2863" s="115" t="str">
        <x:v>Centrale hydroélectrique</x:v>
      </x:c>
      <x:c r="E2863" s="115" t="n">
        <x:v>8</x:v>
      </x:c>
      <x:c r="F2863" s="115" t="str">
        <x:v>Inspection physique</x:v>
      </x:c>
      <x:c r="G2863" s="115" t="str">
        <x:v>1 niveaux ; 22 pièces ; 167 segments de mur ; 0 transitions. Inspection physique ; architecture complète encore ouverte.</x:v>
      </x:c>
      <x:c r="H2863" s="115" t="str">
        <x:v>L 430 ; l 440 ; hauteur 9 m ; choix de composition auteur ; dimensions réelles à documenter</x:v>
      </x:c>
      <x:c r="I2863" s="115" t="str">
        <x:v>À équilibrer</x:v>
      </x:c>
      <x:c r="J2863" s="115" t="str">
        <x:v>Non</x:v>
      </x:c>
      <x:c r="K2863" s="115" t="str">
        <x:v>Pièces décrites, murs, portes, niveaux et mobilier inspectables à l’échelle. Volumes réservés, raccord au seed, butin, rencontres et services de campagne restent à terminer.</x:v>
      </x:c>
    </x:row>
    <x:row r="2864" ht="96" customHeight="1">
      <x:c r="A2864" s="115" t="str">
        <x:v>EXT-MONDE-T058-V09</x:v>
      </x:c>
      <x:c r="B2864" s="115" t="str">
        <x:v>EXT-MONDE-T058</x:v>
      </x:c>
      <x:c r="C2864" s="115" t="str">
        <x:v>Énergie</x:v>
      </x:c>
      <x:c r="D2864" s="115" t="str">
        <x:v>Centrale hydroélectrique</x:v>
      </x:c>
      <x:c r="E2864" s="115" t="n">
        <x:v>9</x:v>
      </x:c>
      <x:c r="F2864" s="115" t="str">
        <x:v>Inspection physique</x:v>
      </x:c>
      <x:c r="G2864" s="115" t="str">
        <x:v>1 niveaux ; 22 pièces ; 167 segments de mur ; 0 transitions. Inspection physique ; architecture complète encore ouverte.</x:v>
      </x:c>
      <x:c r="H2864" s="115" t="str">
        <x:v>L 430 ; l 440 ; hauteur 9 m ; choix de composition auteur ; dimensions réelles à documenter</x:v>
      </x:c>
      <x:c r="I2864" s="115" t="str">
        <x:v>À équilibrer</x:v>
      </x:c>
      <x:c r="J2864" s="115" t="str">
        <x:v>Non</x:v>
      </x:c>
      <x:c r="K2864" s="115" t="str">
        <x:v>Pièces décrites, murs, portes, niveaux et mobilier inspectables à l’échelle. Volumes réservés, raccord au seed, butin, rencontres et services de campagne restent à terminer.</x:v>
      </x:c>
    </x:row>
    <x:row r="2865" ht="96" customHeight="1">
      <x:c r="A2865" s="115" t="str">
        <x:v>EXT-MONDE-T058-V10</x:v>
      </x:c>
      <x:c r="B2865" s="115" t="str">
        <x:v>EXT-MONDE-T058</x:v>
      </x:c>
      <x:c r="C2865" s="115" t="str">
        <x:v>Énergie</x:v>
      </x:c>
      <x:c r="D2865" s="115" t="str">
        <x:v>Centrale hydroélectrique</x:v>
      </x:c>
      <x:c r="E2865" s="115" t="n">
        <x:v>10</x:v>
      </x:c>
      <x:c r="F2865" s="115" t="str">
        <x:v>Inspection physique</x:v>
      </x:c>
      <x:c r="G2865" s="115" t="str">
        <x:v>1 niveaux ; 22 pièces ; 167 segments de mur ; 0 transitions. Inspection physique ; architecture complète encore ouverte.</x:v>
      </x:c>
      <x:c r="H2865" s="115" t="str">
        <x:v>L 430 ; l 440 ; hauteur 9 m ; choix de composition auteur ; dimensions réelles à documenter</x:v>
      </x:c>
      <x:c r="I2865" s="115" t="str">
        <x:v>À équilibrer</x:v>
      </x:c>
      <x:c r="J2865" s="115" t="str">
        <x:v>Non</x:v>
      </x:c>
      <x:c r="K2865" s="115" t="str">
        <x:v>Pièces décrites, murs, portes, niveaux et mobilier inspectables à l’échelle. Volumes réservés, raccord au seed, butin, rencontres et services de campagne restent à terminer.</x:v>
      </x:c>
    </x:row>
    <x:row r="2866" ht="96" customHeight="1">
      <x:c r="A2866" s="115" t="str">
        <x:v>EXT-MONDE-T058-V11</x:v>
      </x:c>
      <x:c r="B2866" s="115" t="str">
        <x:v>EXT-MONDE-T058</x:v>
      </x:c>
      <x:c r="C2866" s="115" t="str">
        <x:v>Énergie</x:v>
      </x:c>
      <x:c r="D2866" s="115" t="str">
        <x:v>Centrale hydroélectrique</x:v>
      </x:c>
      <x:c r="E2866" s="115" t="n">
        <x:v>11</x:v>
      </x:c>
      <x:c r="F2866" s="115" t="str">
        <x:v>Inspection physique</x:v>
      </x:c>
      <x:c r="G2866" s="115" t="str">
        <x:v>1 niveaux ; 22 pièces ; 167 segments de mur ; 0 transitions. Inspection physique ; architecture complète encore ouverte.</x:v>
      </x:c>
      <x:c r="H2866" s="115" t="str">
        <x:v>L 448 ; l 460 ; hauteur 9,2 m ; choix de composition auteur ; dimensions réelles à documenter</x:v>
      </x:c>
      <x:c r="I2866" s="115" t="str">
        <x:v>À équilibrer</x:v>
      </x:c>
      <x:c r="J2866" s="115" t="str">
        <x:v>Non</x:v>
      </x:c>
      <x:c r="K2866" s="115" t="str">
        <x:v>Pièces décrites, murs, portes, niveaux et mobilier inspectables à l’échelle. Volumes réservés, raccord au seed, butin, rencontres et services de campagne restent à terminer.</x:v>
      </x:c>
    </x:row>
    <x:row r="2867" ht="96" customHeight="1">
      <x:c r="A2867" s="115" t="str">
        <x:v>EXT-MONDE-T058-V12</x:v>
      </x:c>
      <x:c r="B2867" s="115" t="str">
        <x:v>EXT-MONDE-T058</x:v>
      </x:c>
      <x:c r="C2867" s="115" t="str">
        <x:v>Énergie</x:v>
      </x:c>
      <x:c r="D2867" s="115" t="str">
        <x:v>Centrale hydroélectrique</x:v>
      </x:c>
      <x:c r="E2867" s="115" t="n">
        <x:v>12</x:v>
      </x:c>
      <x:c r="F2867" s="115" t="str">
        <x:v>Inspection physique</x:v>
      </x:c>
      <x:c r="G2867" s="115" t="str">
        <x:v>1 niveaux ; 22 pièces ; 167 segments de mur ; 0 transitions. Inspection physique ; architecture complète encore ouverte.</x:v>
      </x:c>
      <x:c r="H2867" s="115" t="str">
        <x:v>L 448 ; l 460 ; hauteur 9,2 m ; choix de composition auteur ; dimensions réelles à documenter</x:v>
      </x:c>
      <x:c r="I2867" s="115" t="str">
        <x:v>À équilibrer</x:v>
      </x:c>
      <x:c r="J2867" s="115" t="str">
        <x:v>Non</x:v>
      </x:c>
      <x:c r="K2867" s="115" t="str">
        <x:v>Pièces décrites, murs, portes, niveaux et mobilier inspectables à l’échelle. Volumes réservés, raccord au seed, butin, rencontres et services de campagne restent à terminer.</x:v>
      </x:c>
    </x:row>
    <x:row r="2868" ht="96" customHeight="1">
      <x:c r="A2868" s="115" t="str">
        <x:v>EXT-MONDE-T058-V13</x:v>
      </x:c>
      <x:c r="B2868" s="115" t="str">
        <x:v>EXT-MONDE-T058</x:v>
      </x:c>
      <x:c r="C2868" s="115" t="str">
        <x:v>Énergie</x:v>
      </x:c>
      <x:c r="D2868" s="115" t="str">
        <x:v>Centrale hydroélectrique</x:v>
      </x:c>
      <x:c r="E2868" s="115" t="n">
        <x:v>13</x:v>
      </x:c>
      <x:c r="F2868" s="115" t="str">
        <x:v>Inspection physique</x:v>
      </x:c>
      <x:c r="G2868" s="115" t="str">
        <x:v>1 niveaux ; 22 pièces ; 167 segments de mur ; 0 transitions. Inspection physique ; architecture complète encore ouverte.</x:v>
      </x:c>
      <x:c r="H2868" s="115" t="str">
        <x:v>L 448 ; l 460 ; hauteur 9,2 m ; choix de composition auteur ; dimensions réelles à documenter</x:v>
      </x:c>
      <x:c r="I2868" s="115" t="str">
        <x:v>À équilibrer</x:v>
      </x:c>
      <x:c r="J2868" s="115" t="str">
        <x:v>Non</x:v>
      </x:c>
      <x:c r="K2868" s="115" t="str">
        <x:v>Pièces décrites, murs, portes, niveaux et mobilier inspectables à l’échelle. Volumes réservés, raccord au seed, butin, rencontres et services de campagne restent à terminer.</x:v>
      </x:c>
    </x:row>
    <x:row r="2869" ht="96" customHeight="1">
      <x:c r="A2869" s="115" t="str">
        <x:v>EXT-MONDE-T058-V14</x:v>
      </x:c>
      <x:c r="B2869" s="115" t="str">
        <x:v>EXT-MONDE-T058</x:v>
      </x:c>
      <x:c r="C2869" s="115" t="str">
        <x:v>Énergie</x:v>
      </x:c>
      <x:c r="D2869" s="115" t="str">
        <x:v>Centrale hydroélectrique</x:v>
      </x:c>
      <x:c r="E2869" s="115" t="n">
        <x:v>14</x:v>
      </x:c>
      <x:c r="F2869" s="115" t="str">
        <x:v>Inspection physique</x:v>
      </x:c>
      <x:c r="G2869" s="115" t="str">
        <x:v>1 niveaux ; 22 pièces ; 167 segments de mur ; 0 transitions. Inspection physique ; architecture complète encore ouverte.</x:v>
      </x:c>
      <x:c r="H2869" s="115" t="str">
        <x:v>L 448 ; l 460 ; hauteur 9,2 m ; choix de composition auteur ; dimensions réelles à documenter</x:v>
      </x:c>
      <x:c r="I2869" s="115" t="str">
        <x:v>À équilibrer</x:v>
      </x:c>
      <x:c r="J2869" s="115" t="str">
        <x:v>Non</x:v>
      </x:c>
      <x:c r="K2869" s="115" t="str">
        <x:v>Pièces décrites, murs, portes, niveaux et mobilier inspectables à l’échelle. Volumes réservés, raccord au seed, butin, rencontres et services de campagne restent à terminer.</x:v>
      </x:c>
    </x:row>
    <x:row r="2870" ht="96" customHeight="1">
      <x:c r="A2870" s="115" t="str">
        <x:v>EXT-MONDE-T058-V15</x:v>
      </x:c>
      <x:c r="B2870" s="115" t="str">
        <x:v>EXT-MONDE-T058</x:v>
      </x:c>
      <x:c r="C2870" s="115" t="str">
        <x:v>Énergie</x:v>
      </x:c>
      <x:c r="D2870" s="115" t="str">
        <x:v>Centrale hydroélectrique</x:v>
      </x:c>
      <x:c r="E2870" s="115" t="n">
        <x:v>15</x:v>
      </x:c>
      <x:c r="F2870" s="115" t="str">
        <x:v>Inspection physique</x:v>
      </x:c>
      <x:c r="G2870" s="115" t="str">
        <x:v>1 niveaux ; 22 pièces ; 167 segments de mur ; 0 transitions. Inspection physique ; architecture complète encore ouverte.</x:v>
      </x:c>
      <x:c r="H2870" s="115" t="str">
        <x:v>L 448 ; l 460 ; hauteur 9,2 m ; choix de composition auteur ; dimensions réelles à documenter</x:v>
      </x:c>
      <x:c r="I2870" s="115" t="str">
        <x:v>À équilibrer</x:v>
      </x:c>
      <x:c r="J2870" s="115" t="str">
        <x:v>Non</x:v>
      </x:c>
      <x:c r="K2870" s="115" t="str">
        <x:v>Pièces décrites, murs, portes, niveaux et mobilier inspectables à l’échelle. Volumes réservés, raccord au seed, butin, rencontres et services de campagne restent à terminer.</x:v>
      </x:c>
    </x:row>
    <x:row r="2871" ht="96" customHeight="1">
      <x:c r="A2871" s="115" t="str">
        <x:v>EXT-MONDE-T058-V16</x:v>
      </x:c>
      <x:c r="B2871" s="115" t="str">
        <x:v>EXT-MONDE-T058</x:v>
      </x:c>
      <x:c r="C2871" s="115" t="str">
        <x:v>Énergie</x:v>
      </x:c>
      <x:c r="D2871" s="115" t="str">
        <x:v>Centrale hydroélectrique</x:v>
      </x:c>
      <x:c r="E2871" s="115" t="n">
        <x:v>16</x:v>
      </x:c>
      <x:c r="F2871" s="115" t="str">
        <x:v>Inspection physique</x:v>
      </x:c>
      <x:c r="G2871" s="115" t="str">
        <x:v>1 niveaux ; 22 pièces ; 167 segments de mur ; 0 transitions. Inspection physique ; architecture complète encore ouverte.</x:v>
      </x:c>
      <x:c r="H2871" s="115" t="str">
        <x:v>L 448 ; l 460 ; hauteur 9,2 m ; choix de composition auteur ; dimensions réelles à documenter</x:v>
      </x:c>
      <x:c r="I2871" s="115" t="str">
        <x:v>À équilibrer</x:v>
      </x:c>
      <x:c r="J2871" s="115" t="str">
        <x:v>Non</x:v>
      </x:c>
      <x:c r="K2871" s="115" t="str">
        <x:v>Pièces décrites, murs, portes, niveaux et mobilier inspectables à l’échelle. Volumes réservés, raccord au seed, butin, rencontres et services de campagne restent à terminer.</x:v>
      </x:c>
    </x:row>
    <x:row r="2872" ht="96" customHeight="1">
      <x:c r="A2872" s="115" t="str">
        <x:v>EXT-MONDE-T058-V17</x:v>
      </x:c>
      <x:c r="B2872" s="115" t="str">
        <x:v>EXT-MONDE-T058</x:v>
      </x:c>
      <x:c r="C2872" s="115" t="str">
        <x:v>Énergie</x:v>
      </x:c>
      <x:c r="D2872" s="115" t="str">
        <x:v>Centrale hydroélectrique</x:v>
      </x:c>
      <x:c r="E2872" s="115" t="n">
        <x:v>17</x:v>
      </x:c>
      <x:c r="F2872" s="115" t="str">
        <x:v>Inspection physique</x:v>
      </x:c>
      <x:c r="G2872" s="115" t="str">
        <x:v>1 niveaux ; 22 pièces ; 167 segments de mur ; 0 transitions. Inspection physique ; architecture complète encore ouverte.</x:v>
      </x:c>
      <x:c r="H2872" s="115" t="str">
        <x:v>L 448 ; l 460 ; hauteur 9,2 m ; choix de composition auteur ; dimensions réelles à documenter</x:v>
      </x:c>
      <x:c r="I2872" s="115" t="str">
        <x:v>À équilibrer</x:v>
      </x:c>
      <x:c r="J2872" s="115" t="str">
        <x:v>Non</x:v>
      </x:c>
      <x:c r="K2872" s="115" t="str">
        <x:v>Pièces décrites, murs, portes, niveaux et mobilier inspectables à l’échelle. Volumes réservés, raccord au seed, butin, rencontres et services de campagne restent à terminer.</x:v>
      </x:c>
    </x:row>
    <x:row r="2873" ht="96" customHeight="1">
      <x:c r="A2873" s="115" t="str">
        <x:v>EXT-MONDE-T058-V18</x:v>
      </x:c>
      <x:c r="B2873" s="115" t="str">
        <x:v>EXT-MONDE-T058</x:v>
      </x:c>
      <x:c r="C2873" s="115" t="str">
        <x:v>Énergie</x:v>
      </x:c>
      <x:c r="D2873" s="115" t="str">
        <x:v>Centrale hydroélectrique</x:v>
      </x:c>
      <x:c r="E2873" s="115" t="n">
        <x:v>18</x:v>
      </x:c>
      <x:c r="F2873" s="115" t="str">
        <x:v>Inspection physique</x:v>
      </x:c>
      <x:c r="G2873" s="115" t="str">
        <x:v>1 niveaux ; 22 pièces ; 167 segments de mur ; 0 transitions. Inspection physique ; architecture complète encore ouverte.</x:v>
      </x:c>
      <x:c r="H2873" s="115" t="str">
        <x:v>L 448 ; l 460 ; hauteur 9,2 m ; choix de composition auteur ; dimensions réelles à documenter</x:v>
      </x:c>
      <x:c r="I2873" s="115" t="str">
        <x:v>À équilibrer</x:v>
      </x:c>
      <x:c r="J2873" s="115" t="str">
        <x:v>Non</x:v>
      </x:c>
      <x:c r="K2873" s="115" t="str">
        <x:v>Pièces décrites, murs, portes, niveaux et mobilier inspectables à l’échelle. Volumes réservés, raccord au seed, butin, rencontres et services de campagne restent à terminer.</x:v>
      </x:c>
    </x:row>
    <x:row r="2874" ht="96" customHeight="1">
      <x:c r="A2874" s="115" t="str">
        <x:v>EXT-MONDE-T058-V19</x:v>
      </x:c>
      <x:c r="B2874" s="115" t="str">
        <x:v>EXT-MONDE-T058</x:v>
      </x:c>
      <x:c r="C2874" s="115" t="str">
        <x:v>Énergie</x:v>
      </x:c>
      <x:c r="D2874" s="115" t="str">
        <x:v>Centrale hydroélectrique</x:v>
      </x:c>
      <x:c r="E2874" s="115" t="n">
        <x:v>19</x:v>
      </x:c>
      <x:c r="F2874" s="115" t="str">
        <x:v>Inspection physique</x:v>
      </x:c>
      <x:c r="G2874" s="115" t="str">
        <x:v>1 niveaux ; 22 pièces ; 167 segments de mur ; 0 transitions. Inspection physique ; architecture complète encore ouverte.</x:v>
      </x:c>
      <x:c r="H2874" s="115" t="str">
        <x:v>L 448 ; l 460 ; hauteur 9,2 m ; choix de composition auteur ; dimensions réelles à documenter</x:v>
      </x:c>
      <x:c r="I2874" s="115" t="str">
        <x:v>À équilibrer</x:v>
      </x:c>
      <x:c r="J2874" s="115" t="str">
        <x:v>Non</x:v>
      </x:c>
      <x:c r="K2874" s="115" t="str">
        <x:v>Pièces décrites, murs, portes, niveaux et mobilier inspectables à l’échelle. Volumes réservés, raccord au seed, butin, rencontres et services de campagne restent à terminer.</x:v>
      </x:c>
    </x:row>
    <x:row r="2875" ht="96" customHeight="1">
      <x:c r="A2875" s="115" t="str">
        <x:v>EXT-MONDE-T058-V20</x:v>
      </x:c>
      <x:c r="B2875" s="115" t="str">
        <x:v>EXT-MONDE-T058</x:v>
      </x:c>
      <x:c r="C2875" s="115" t="str">
        <x:v>Énergie</x:v>
      </x:c>
      <x:c r="D2875" s="115" t="str">
        <x:v>Centrale hydroélectrique</x:v>
      </x:c>
      <x:c r="E2875" s="115" t="n">
        <x:v>20</x:v>
      </x:c>
      <x:c r="F2875" s="115" t="str">
        <x:v>Inspection physique</x:v>
      </x:c>
      <x:c r="G2875" s="115" t="str">
        <x:v>1 niveaux ; 22 pièces ; 167 segments de mur ; 0 transitions. Inspection physique ; architecture complète encore ouverte.</x:v>
      </x:c>
      <x:c r="H2875" s="115" t="str">
        <x:v>L 448 ; l 460 ; hauteur 9,2 m ; choix de composition auteur ; dimensions réelles à documenter</x:v>
      </x:c>
      <x:c r="I2875" s="115" t="str">
        <x:v>À équilibrer</x:v>
      </x:c>
      <x:c r="J2875" s="115" t="str">
        <x:v>Non</x:v>
      </x:c>
      <x:c r="K2875" s="115" t="str">
        <x:v>Pièces décrites, murs, portes, niveaux et mobilier inspectables à l’échelle. Volumes réservés, raccord au seed, butin, rencontres et services de campagne restent à terminer.</x:v>
      </x:c>
    </x:row>
    <x:row r="2876" ht="96" customHeight="1">
      <x:c r="A2876" s="115" t="str">
        <x:v>EXT-MONDE-T058-V21</x:v>
      </x:c>
      <x:c r="B2876" s="115" t="str">
        <x:v>EXT-MONDE-T058</x:v>
      </x:c>
      <x:c r="C2876" s="115" t="str">
        <x:v>Énergie</x:v>
      </x:c>
      <x:c r="D2876" s="115" t="str">
        <x:v>Centrale hydroélectrique</x:v>
      </x:c>
      <x:c r="E2876" s="115" t="n">
        <x:v>21</x:v>
      </x:c>
      <x:c r="F2876" s="115" t="str">
        <x:v>Inspection physique</x:v>
      </x:c>
      <x:c r="G2876" s="115" t="str">
        <x:v>1 niveaux ; 22 pièces ; 167 segments de mur ; 0 transitions. Inspection physique ; architecture complète encore ouverte.</x:v>
      </x:c>
      <x:c r="H2876" s="115" t="str">
        <x:v>L 466 ; l 480 ; hauteur 9,4 m ; choix de composition auteur ; dimensions réelles à documenter</x:v>
      </x:c>
      <x:c r="I2876" s="115" t="str">
        <x:v>À équilibrer</x:v>
      </x:c>
      <x:c r="J2876" s="115" t="str">
        <x:v>Non</x:v>
      </x:c>
      <x:c r="K2876" s="115" t="str">
        <x:v>Pièces décrites, murs, portes, niveaux et mobilier inspectables à l’échelle. Volumes réservés, raccord au seed, butin, rencontres et services de campagne restent à terminer.</x:v>
      </x:c>
    </x:row>
    <x:row r="2877" ht="96" customHeight="1">
      <x:c r="A2877" s="115" t="str">
        <x:v>EXT-MONDE-T058-V22</x:v>
      </x:c>
      <x:c r="B2877" s="115" t="str">
        <x:v>EXT-MONDE-T058</x:v>
      </x:c>
      <x:c r="C2877" s="115" t="str">
        <x:v>Énergie</x:v>
      </x:c>
      <x:c r="D2877" s="115" t="str">
        <x:v>Centrale hydroélectrique</x:v>
      </x:c>
      <x:c r="E2877" s="115" t="n">
        <x:v>22</x:v>
      </x:c>
      <x:c r="F2877" s="115" t="str">
        <x:v>Inspection physique</x:v>
      </x:c>
      <x:c r="G2877" s="115" t="str">
        <x:v>1 niveaux ; 22 pièces ; 167 segments de mur ; 0 transitions. Inspection physique ; architecture complète encore ouverte.</x:v>
      </x:c>
      <x:c r="H2877" s="115" t="str">
        <x:v>L 466 ; l 480 ; hauteur 9,4 m ; choix de composition auteur ; dimensions réelles à documenter</x:v>
      </x:c>
      <x:c r="I2877" s="115" t="str">
        <x:v>À équilibrer</x:v>
      </x:c>
      <x:c r="J2877" s="115" t="str">
        <x:v>Non</x:v>
      </x:c>
      <x:c r="K2877" s="115" t="str">
        <x:v>Pièces décrites, murs, portes, niveaux et mobilier inspectables à l’échelle. Volumes réservés, raccord au seed, butin, rencontres et services de campagne restent à terminer.</x:v>
      </x:c>
    </x:row>
    <x:row r="2878" ht="96" customHeight="1">
      <x:c r="A2878" s="115" t="str">
        <x:v>EXT-MONDE-T058-V23</x:v>
      </x:c>
      <x:c r="B2878" s="115" t="str">
        <x:v>EXT-MONDE-T058</x:v>
      </x:c>
      <x:c r="C2878" s="115" t="str">
        <x:v>Énergie</x:v>
      </x:c>
      <x:c r="D2878" s="115" t="str">
        <x:v>Centrale hydroélectrique</x:v>
      </x:c>
      <x:c r="E2878" s="115" t="n">
        <x:v>23</x:v>
      </x:c>
      <x:c r="F2878" s="115" t="str">
        <x:v>Inspection physique</x:v>
      </x:c>
      <x:c r="G2878" s="115" t="str">
        <x:v>1 niveaux ; 22 pièces ; 167 segments de mur ; 0 transitions. Inspection physique ; architecture complète encore ouverte.</x:v>
      </x:c>
      <x:c r="H2878" s="115" t="str">
        <x:v>L 466 ; l 480 ; hauteur 9,4 m ; choix de composition auteur ; dimensions réelles à documenter</x:v>
      </x:c>
      <x:c r="I2878" s="115" t="str">
        <x:v>À équilibrer</x:v>
      </x:c>
      <x:c r="J2878" s="115" t="str">
        <x:v>Non</x:v>
      </x:c>
      <x:c r="K2878" s="115" t="str">
        <x:v>Pièces décrites, murs, portes, niveaux et mobilier inspectables à l’échelle. Volumes réservés, raccord au seed, butin, rencontres et services de campagne restent à terminer.</x:v>
      </x:c>
    </x:row>
    <x:row r="2879" ht="96" customHeight="1">
      <x:c r="A2879" s="115" t="str">
        <x:v>EXT-MONDE-T058-V24</x:v>
      </x:c>
      <x:c r="B2879" s="115" t="str">
        <x:v>EXT-MONDE-T058</x:v>
      </x:c>
      <x:c r="C2879" s="115" t="str">
        <x:v>Énergie</x:v>
      </x:c>
      <x:c r="D2879" s="115" t="str">
        <x:v>Centrale hydroélectrique</x:v>
      </x:c>
      <x:c r="E2879" s="115" t="n">
        <x:v>24</x:v>
      </x:c>
      <x:c r="F2879" s="115" t="str">
        <x:v>Inspection physique</x:v>
      </x:c>
      <x:c r="G2879" s="115" t="str">
        <x:v>1 niveaux ; 22 pièces ; 167 segments de mur ; 0 transitions. Inspection physique ; architecture complète encore ouverte.</x:v>
      </x:c>
      <x:c r="H2879" s="115" t="str">
        <x:v>L 466 ; l 480 ; hauteur 9,4 m ; choix de composition auteur ; dimensions réelles à documenter</x:v>
      </x:c>
      <x:c r="I2879" s="115" t="str">
        <x:v>À équilibrer</x:v>
      </x:c>
      <x:c r="J2879" s="115" t="str">
        <x:v>Non</x:v>
      </x:c>
      <x:c r="K2879" s="115" t="str">
        <x:v>Pièces décrites, murs, portes, niveaux et mobilier inspectables à l’échelle. Volumes réservés, raccord au seed, butin, rencontres et services de campagne restent à terminer.</x:v>
      </x:c>
    </x:row>
    <x:row r="2880" ht="96" customHeight="1">
      <x:c r="A2880" s="115" t="str">
        <x:v>EXT-MONDE-T058-V25</x:v>
      </x:c>
      <x:c r="B2880" s="115" t="str">
        <x:v>EXT-MONDE-T058</x:v>
      </x:c>
      <x:c r="C2880" s="115" t="str">
        <x:v>Énergie</x:v>
      </x:c>
      <x:c r="D2880" s="115" t="str">
        <x:v>Centrale hydroélectrique</x:v>
      </x:c>
      <x:c r="E2880" s="115" t="n">
        <x:v>25</x:v>
      </x:c>
      <x:c r="F2880" s="115" t="str">
        <x:v>Inspection physique</x:v>
      </x:c>
      <x:c r="G2880" s="115" t="str">
        <x:v>1 niveaux ; 22 pièces ; 167 segments de mur ; 0 transitions. Inspection physique ; architecture complète encore ouverte.</x:v>
      </x:c>
      <x:c r="H2880" s="115" t="str">
        <x:v>L 466 ; l 480 ; hauteur 9,4 m ; choix de composition auteur ; dimensions réelles à documenter</x:v>
      </x:c>
      <x:c r="I2880" s="115" t="str">
        <x:v>À équilibrer</x:v>
      </x:c>
      <x:c r="J2880" s="115" t="str">
        <x:v>Non</x:v>
      </x:c>
      <x:c r="K2880" s="115" t="str">
        <x:v>Pièces décrites, murs, portes, niveaux et mobilier inspectables à l’échelle. Volumes réservés, raccord au seed, butin, rencontres et services de campagne restent à terminer.</x:v>
      </x:c>
    </x:row>
    <x:row r="2881" ht="96" customHeight="1">
      <x:c r="A2881" s="115" t="str">
        <x:v>EXT-MONDE-T058-V26</x:v>
      </x:c>
      <x:c r="B2881" s="115" t="str">
        <x:v>EXT-MONDE-T058</x:v>
      </x:c>
      <x:c r="C2881" s="115" t="str">
        <x:v>Énergie</x:v>
      </x:c>
      <x:c r="D2881" s="115" t="str">
        <x:v>Centrale hydroélectrique</x:v>
      </x:c>
      <x:c r="E2881" s="115" t="n">
        <x:v>26</x:v>
      </x:c>
      <x:c r="F2881" s="115" t="str">
        <x:v>Inspection physique</x:v>
      </x:c>
      <x:c r="G2881" s="115" t="str">
        <x:v>1 niveaux ; 22 pièces ; 167 segments de mur ; 0 transitions. Inspection physique ; architecture complète encore ouverte.</x:v>
      </x:c>
      <x:c r="H2881" s="115" t="str">
        <x:v>L 466 ; l 480 ; hauteur 9,4 m ; choix de composition auteur ; dimensions réelles à documenter</x:v>
      </x:c>
      <x:c r="I2881" s="115" t="str">
        <x:v>À équilibrer</x:v>
      </x:c>
      <x:c r="J2881" s="115" t="str">
        <x:v>Non</x:v>
      </x:c>
      <x:c r="K2881" s="115" t="str">
        <x:v>Pièces décrites, murs, portes, niveaux et mobilier inspectables à l’échelle. Volumes réservés, raccord au seed, butin, rencontres et services de campagne restent à terminer.</x:v>
      </x:c>
    </x:row>
    <x:row r="2882" ht="96" customHeight="1">
      <x:c r="A2882" s="115" t="str">
        <x:v>EXT-MONDE-T058-V27</x:v>
      </x:c>
      <x:c r="B2882" s="115" t="str">
        <x:v>EXT-MONDE-T058</x:v>
      </x:c>
      <x:c r="C2882" s="115" t="str">
        <x:v>Énergie</x:v>
      </x:c>
      <x:c r="D2882" s="115" t="str">
        <x:v>Centrale hydroélectrique</x:v>
      </x:c>
      <x:c r="E2882" s="115" t="n">
        <x:v>27</x:v>
      </x:c>
      <x:c r="F2882" s="115" t="str">
        <x:v>Inspection physique</x:v>
      </x:c>
      <x:c r="G2882" s="115" t="str">
        <x:v>1 niveaux ; 22 pièces ; 167 segments de mur ; 0 transitions. Inspection physique ; architecture complète encore ouverte.</x:v>
      </x:c>
      <x:c r="H2882" s="115" t="str">
        <x:v>L 466 ; l 480 ; hauteur 9,4 m ; choix de composition auteur ; dimensions réelles à documenter</x:v>
      </x:c>
      <x:c r="I2882" s="115" t="str">
        <x:v>À équilibrer</x:v>
      </x:c>
      <x:c r="J2882" s="115" t="str">
        <x:v>Non</x:v>
      </x:c>
      <x:c r="K2882" s="115" t="str">
        <x:v>Pièces décrites, murs, portes, niveaux et mobilier inspectables à l’échelle. Volumes réservés, raccord au seed, butin, rencontres et services de campagne restent à terminer.</x:v>
      </x:c>
    </x:row>
    <x:row r="2883" ht="96" customHeight="1">
      <x:c r="A2883" s="115" t="str">
        <x:v>EXT-MONDE-T058-V28</x:v>
      </x:c>
      <x:c r="B2883" s="115" t="str">
        <x:v>EXT-MONDE-T058</x:v>
      </x:c>
      <x:c r="C2883" s="115" t="str">
        <x:v>Énergie</x:v>
      </x:c>
      <x:c r="D2883" s="115" t="str">
        <x:v>Centrale hydroélectrique</x:v>
      </x:c>
      <x:c r="E2883" s="115" t="n">
        <x:v>28</x:v>
      </x:c>
      <x:c r="F2883" s="115" t="str">
        <x:v>Inspection physique</x:v>
      </x:c>
      <x:c r="G2883" s="115" t="str">
        <x:v>1 niveaux ; 22 pièces ; 167 segments de mur ; 0 transitions. Inspection physique ; architecture complète encore ouverte.</x:v>
      </x:c>
      <x:c r="H2883" s="115" t="str">
        <x:v>L 466 ; l 480 ; hauteur 9,4 m ; choix de composition auteur ; dimensions réelles à documenter</x:v>
      </x:c>
      <x:c r="I2883" s="115" t="str">
        <x:v>À équilibrer</x:v>
      </x:c>
      <x:c r="J2883" s="115" t="str">
        <x:v>Non</x:v>
      </x:c>
      <x:c r="K2883" s="115" t="str">
        <x:v>Pièces décrites, murs, portes, niveaux et mobilier inspectables à l’échelle. Volumes réservés, raccord au seed, butin, rencontres et services de campagne restent à terminer.</x:v>
      </x:c>
    </x:row>
    <x:row r="2884" ht="96" customHeight="1">
      <x:c r="A2884" s="115" t="str">
        <x:v>EXT-MONDE-T058-V29</x:v>
      </x:c>
      <x:c r="B2884" s="115" t="str">
        <x:v>EXT-MONDE-T058</x:v>
      </x:c>
      <x:c r="C2884" s="115" t="str">
        <x:v>Énergie</x:v>
      </x:c>
      <x:c r="D2884" s="115" t="str">
        <x:v>Centrale hydroélectrique</x:v>
      </x:c>
      <x:c r="E2884" s="115" t="n">
        <x:v>29</x:v>
      </x:c>
      <x:c r="F2884" s="115" t="str">
        <x:v>Inspection physique</x:v>
      </x:c>
      <x:c r="G2884" s="115" t="str">
        <x:v>1 niveaux ; 22 pièces ; 167 segments de mur ; 0 transitions. Inspection physique ; architecture complète encore ouverte.</x:v>
      </x:c>
      <x:c r="H2884" s="115" t="str">
        <x:v>L 466 ; l 480 ; hauteur 9,4 m ; choix de composition auteur ; dimensions réelles à documenter</x:v>
      </x:c>
      <x:c r="I2884" s="115" t="str">
        <x:v>À équilibrer</x:v>
      </x:c>
      <x:c r="J2884" s="115" t="str">
        <x:v>Non</x:v>
      </x:c>
      <x:c r="K2884" s="115" t="str">
        <x:v>Pièces décrites, murs, portes, niveaux et mobilier inspectables à l’échelle. Volumes réservés, raccord au seed, butin, rencontres et services de campagne restent à terminer.</x:v>
      </x:c>
    </x:row>
    <x:row r="2885" ht="96" customHeight="1">
      <x:c r="A2885" s="115" t="str">
        <x:v>EXT-MONDE-T058-V30</x:v>
      </x:c>
      <x:c r="B2885" s="115" t="str">
        <x:v>EXT-MONDE-T058</x:v>
      </x:c>
      <x:c r="C2885" s="115" t="str">
        <x:v>Énergie</x:v>
      </x:c>
      <x:c r="D2885" s="115" t="str">
        <x:v>Centrale hydroélectrique</x:v>
      </x:c>
      <x:c r="E2885" s="115" t="n">
        <x:v>30</x:v>
      </x:c>
      <x:c r="F2885" s="115" t="str">
        <x:v>Inspection physique</x:v>
      </x:c>
      <x:c r="G2885" s="115" t="str">
        <x:v>1 niveaux ; 22 pièces ; 167 segments de mur ; 0 transitions. Inspection physique ; architecture complète encore ouverte.</x:v>
      </x:c>
      <x:c r="H2885" s="115" t="str">
        <x:v>L 466 ; l 480 ; hauteur 9,4 m ; choix de composition auteur ; dimensions réelles à documenter</x:v>
      </x:c>
      <x:c r="I2885" s="115" t="str">
        <x:v>À équilibrer</x:v>
      </x:c>
      <x:c r="J2885" s="115" t="str">
        <x:v>Non</x:v>
      </x:c>
      <x:c r="K2885" s="115" t="str">
        <x:v>Pièces décrites, murs, portes, niveaux et mobilier inspectables à l’échelle. Volumes réservés, raccord au seed, butin, rencontres et services de campagne restent à terminer.</x:v>
      </x:c>
    </x:row>
    <x:row r="2886" ht="96" customHeight="1">
      <x:c r="A2886" s="115" t="str">
        <x:v>EXT-MONDE-T058-V31</x:v>
      </x:c>
      <x:c r="B2886" s="115" t="str">
        <x:v>EXT-MONDE-T058</x:v>
      </x:c>
      <x:c r="C2886" s="115" t="str">
        <x:v>Énergie</x:v>
      </x:c>
      <x:c r="D2886" s="115" t="str">
        <x:v>Centrale hydroélectrique</x:v>
      </x:c>
      <x:c r="E2886" s="115" t="n">
        <x:v>31</x:v>
      </x:c>
      <x:c r="F2886" s="115" t="str">
        <x:v>Inspection physique</x:v>
      </x:c>
      <x:c r="G2886" s="115" t="str">
        <x:v>1 niveaux ; 22 pièces ; 167 segments de mur ; 0 transitions. Inspection physique ; architecture complète encore ouverte.</x:v>
      </x:c>
      <x:c r="H2886" s="115" t="str">
        <x:v>L 484 ; l 500 ; hauteur 9,6 m ; choix de composition auteur ; dimensions réelles à documenter</x:v>
      </x:c>
      <x:c r="I2886" s="115" t="str">
        <x:v>À équilibrer</x:v>
      </x:c>
      <x:c r="J2886" s="115" t="str">
        <x:v>Non</x:v>
      </x:c>
      <x:c r="K2886" s="115" t="str">
        <x:v>Pièces décrites, murs, portes, niveaux et mobilier inspectables à l’échelle. Volumes réservés, raccord au seed, butin, rencontres et services de campagne restent à terminer.</x:v>
      </x:c>
    </x:row>
    <x:row r="2887" ht="96" customHeight="1">
      <x:c r="A2887" s="115" t="str">
        <x:v>EXT-MONDE-T058-V32</x:v>
      </x:c>
      <x:c r="B2887" s="115" t="str">
        <x:v>EXT-MONDE-T058</x:v>
      </x:c>
      <x:c r="C2887" s="115" t="str">
        <x:v>Énergie</x:v>
      </x:c>
      <x:c r="D2887" s="115" t="str">
        <x:v>Centrale hydroélectrique</x:v>
      </x:c>
      <x:c r="E2887" s="115" t="n">
        <x:v>32</x:v>
      </x:c>
      <x:c r="F2887" s="115" t="str">
        <x:v>Inspection physique</x:v>
      </x:c>
      <x:c r="G2887" s="115" t="str">
        <x:v>1 niveaux ; 22 pièces ; 167 segments de mur ; 0 transitions. Inspection physique ; architecture complète encore ouverte.</x:v>
      </x:c>
      <x:c r="H2887" s="115" t="str">
        <x:v>L 484 ; l 500 ; hauteur 9,6 m ; choix de composition auteur ; dimensions réelles à documenter</x:v>
      </x:c>
      <x:c r="I2887" s="115" t="str">
        <x:v>À équilibrer</x:v>
      </x:c>
      <x:c r="J2887" s="115" t="str">
        <x:v>Non</x:v>
      </x:c>
      <x:c r="K2887" s="115" t="str">
        <x:v>Pièces décrites, murs, portes, niveaux et mobilier inspectables à l’échelle. Volumes réservés, raccord au seed, butin, rencontres et services de campagne restent à terminer.</x:v>
      </x:c>
    </x:row>
    <x:row r="2888" ht="96" customHeight="1">
      <x:c r="A2888" s="115" t="str">
        <x:v>EXT-MONDE-T058-V33</x:v>
      </x:c>
      <x:c r="B2888" s="115" t="str">
        <x:v>EXT-MONDE-T058</x:v>
      </x:c>
      <x:c r="C2888" s="115" t="str">
        <x:v>Énergie</x:v>
      </x:c>
      <x:c r="D2888" s="115" t="str">
        <x:v>Centrale hydroélectrique</x:v>
      </x:c>
      <x:c r="E2888" s="115" t="n">
        <x:v>33</x:v>
      </x:c>
      <x:c r="F2888" s="115" t="str">
        <x:v>Inspection physique</x:v>
      </x:c>
      <x:c r="G2888" s="115" t="str">
        <x:v>1 niveaux ; 22 pièces ; 167 segments de mur ; 0 transitions. Inspection physique ; architecture complète encore ouverte.</x:v>
      </x:c>
      <x:c r="H2888" s="115" t="str">
        <x:v>L 484 ; l 500 ; hauteur 9,6 m ; choix de composition auteur ; dimensions réelles à documenter</x:v>
      </x:c>
      <x:c r="I2888" s="115" t="str">
        <x:v>À équilibrer</x:v>
      </x:c>
      <x:c r="J2888" s="115" t="str">
        <x:v>Non</x:v>
      </x:c>
      <x:c r="K2888" s="115" t="str">
        <x:v>Pièces décrites, murs, portes, niveaux et mobilier inspectables à l’échelle. Volumes réservés, raccord au seed, butin, rencontres et services de campagne restent à terminer.</x:v>
      </x:c>
    </x:row>
    <x:row r="2889" ht="96" customHeight="1">
      <x:c r="A2889" s="115" t="str">
        <x:v>EXT-MONDE-T058-V34</x:v>
      </x:c>
      <x:c r="B2889" s="115" t="str">
        <x:v>EXT-MONDE-T058</x:v>
      </x:c>
      <x:c r="C2889" s="115" t="str">
        <x:v>Énergie</x:v>
      </x:c>
      <x:c r="D2889" s="115" t="str">
        <x:v>Centrale hydroélectrique</x:v>
      </x:c>
      <x:c r="E2889" s="115" t="n">
        <x:v>34</x:v>
      </x:c>
      <x:c r="F2889" s="115" t="str">
        <x:v>Inspection physique</x:v>
      </x:c>
      <x:c r="G2889" s="115" t="str">
        <x:v>1 niveaux ; 22 pièces ; 167 segments de mur ; 0 transitions. Inspection physique ; architecture complète encore ouverte.</x:v>
      </x:c>
      <x:c r="H2889" s="115" t="str">
        <x:v>L 484 ; l 500 ; hauteur 9,6 m ; choix de composition auteur ; dimensions réelles à documenter</x:v>
      </x:c>
      <x:c r="I2889" s="115" t="str">
        <x:v>À équilibrer</x:v>
      </x:c>
      <x:c r="J2889" s="115" t="str">
        <x:v>Non</x:v>
      </x:c>
      <x:c r="K2889" s="115" t="str">
        <x:v>Pièces décrites, murs, portes, niveaux et mobilier inspectables à l’échelle. Volumes réservés, raccord au seed, butin, rencontres et services de campagne restent à terminer.</x:v>
      </x:c>
    </x:row>
    <x:row r="2890" ht="96" customHeight="1">
      <x:c r="A2890" s="115" t="str">
        <x:v>EXT-MONDE-T058-V35</x:v>
      </x:c>
      <x:c r="B2890" s="115" t="str">
        <x:v>EXT-MONDE-T058</x:v>
      </x:c>
      <x:c r="C2890" s="115" t="str">
        <x:v>Énergie</x:v>
      </x:c>
      <x:c r="D2890" s="115" t="str">
        <x:v>Centrale hydroélectrique</x:v>
      </x:c>
      <x:c r="E2890" s="115" t="n">
        <x:v>35</x:v>
      </x:c>
      <x:c r="F2890" s="115" t="str">
        <x:v>Inspection physique</x:v>
      </x:c>
      <x:c r="G2890" s="115" t="str">
        <x:v>1 niveaux ; 22 pièces ; 167 segments de mur ; 0 transitions. Inspection physique ; architecture complète encore ouverte.</x:v>
      </x:c>
      <x:c r="H2890" s="115" t="str">
        <x:v>L 484 ; l 500 ; hauteur 9,6 m ; choix de composition auteur ; dimensions réelles à documenter</x:v>
      </x:c>
      <x:c r="I2890" s="115" t="str">
        <x:v>À équilibrer</x:v>
      </x:c>
      <x:c r="J2890" s="115" t="str">
        <x:v>Non</x:v>
      </x:c>
      <x:c r="K2890" s="115" t="str">
        <x:v>Pièces décrites, murs, portes, niveaux et mobilier inspectables à l’échelle. Volumes réservés, raccord au seed, butin, rencontres et services de campagne restent à terminer.</x:v>
      </x:c>
    </x:row>
    <x:row r="2891" ht="96" customHeight="1">
      <x:c r="A2891" s="115" t="str">
        <x:v>EXT-MONDE-T058-V36</x:v>
      </x:c>
      <x:c r="B2891" s="115" t="str">
        <x:v>EXT-MONDE-T058</x:v>
      </x:c>
      <x:c r="C2891" s="115" t="str">
        <x:v>Énergie</x:v>
      </x:c>
      <x:c r="D2891" s="115" t="str">
        <x:v>Centrale hydroélectrique</x:v>
      </x:c>
      <x:c r="E2891" s="115" t="n">
        <x:v>36</x:v>
      </x:c>
      <x:c r="F2891" s="115" t="str">
        <x:v>Inspection physique</x:v>
      </x:c>
      <x:c r="G2891" s="115" t="str">
        <x:v>1 niveaux ; 22 pièces ; 167 segments de mur ; 0 transitions. Inspection physique ; architecture complète encore ouverte.</x:v>
      </x:c>
      <x:c r="H2891" s="115" t="str">
        <x:v>L 484 ; l 500 ; hauteur 9,6 m ; choix de composition auteur ; dimensions réelles à documenter</x:v>
      </x:c>
      <x:c r="I2891" s="115" t="str">
        <x:v>À équilibrer</x:v>
      </x:c>
      <x:c r="J2891" s="115" t="str">
        <x:v>Non</x:v>
      </x:c>
      <x:c r="K2891" s="115" t="str">
        <x:v>Pièces décrites, murs, portes, niveaux et mobilier inspectables à l’échelle. Volumes réservés, raccord au seed, butin, rencontres et services de campagne restent à terminer.</x:v>
      </x:c>
    </x:row>
    <x:row r="2892" ht="96" customHeight="1">
      <x:c r="A2892" s="115" t="str">
        <x:v>EXT-MONDE-T058-V37</x:v>
      </x:c>
      <x:c r="B2892" s="115" t="str">
        <x:v>EXT-MONDE-T058</x:v>
      </x:c>
      <x:c r="C2892" s="115" t="str">
        <x:v>Énergie</x:v>
      </x:c>
      <x:c r="D2892" s="115" t="str">
        <x:v>Centrale hydroélectrique</x:v>
      </x:c>
      <x:c r="E2892" s="115" t="n">
        <x:v>37</x:v>
      </x:c>
      <x:c r="F2892" s="115" t="str">
        <x:v>Inspection physique</x:v>
      </x:c>
      <x:c r="G2892" s="115" t="str">
        <x:v>1 niveaux ; 22 pièces ; 167 segments de mur ; 0 transitions. Inspection physique ; architecture complète encore ouverte.</x:v>
      </x:c>
      <x:c r="H2892" s="115" t="str">
        <x:v>L 484 ; l 500 ; hauteur 9,6 m ; choix de composition auteur ; dimensions réelles à documenter</x:v>
      </x:c>
      <x:c r="I2892" s="115" t="str">
        <x:v>À équilibrer</x:v>
      </x:c>
      <x:c r="J2892" s="115" t="str">
        <x:v>Non</x:v>
      </x:c>
      <x:c r="K2892" s="115" t="str">
        <x:v>Pièces décrites, murs, portes, niveaux et mobilier inspectables à l’échelle. Volumes réservés, raccord au seed, butin, rencontres et services de campagne restent à terminer.</x:v>
      </x:c>
    </x:row>
    <x:row r="2893" ht="96" customHeight="1">
      <x:c r="A2893" s="115" t="str">
        <x:v>EXT-MONDE-T058-V38</x:v>
      </x:c>
      <x:c r="B2893" s="115" t="str">
        <x:v>EXT-MONDE-T058</x:v>
      </x:c>
      <x:c r="C2893" s="115" t="str">
        <x:v>Énergie</x:v>
      </x:c>
      <x:c r="D2893" s="115" t="str">
        <x:v>Centrale hydroélectrique</x:v>
      </x:c>
      <x:c r="E2893" s="115" t="n">
        <x:v>38</x:v>
      </x:c>
      <x:c r="F2893" s="115" t="str">
        <x:v>Inspection physique</x:v>
      </x:c>
      <x:c r="G2893" s="115" t="str">
        <x:v>1 niveaux ; 22 pièces ; 167 segments de mur ; 0 transitions. Inspection physique ; architecture complète encore ouverte.</x:v>
      </x:c>
      <x:c r="H2893" s="115" t="str">
        <x:v>L 484 ; l 500 ; hauteur 9,6 m ; choix de composition auteur ; dimensions réelles à documenter</x:v>
      </x:c>
      <x:c r="I2893" s="115" t="str">
        <x:v>À équilibrer</x:v>
      </x:c>
      <x:c r="J2893" s="115" t="str">
        <x:v>Non</x:v>
      </x:c>
      <x:c r="K2893" s="115" t="str">
        <x:v>Pièces décrites, murs, portes, niveaux et mobilier inspectables à l’échelle. Volumes réservés, raccord au seed, butin, rencontres et services de campagne restent à terminer.</x:v>
      </x:c>
    </x:row>
    <x:row r="2894" ht="96" customHeight="1">
      <x:c r="A2894" s="115" t="str">
        <x:v>EXT-MONDE-T058-V39</x:v>
      </x:c>
      <x:c r="B2894" s="115" t="str">
        <x:v>EXT-MONDE-T058</x:v>
      </x:c>
      <x:c r="C2894" s="115" t="str">
        <x:v>Énergie</x:v>
      </x:c>
      <x:c r="D2894" s="115" t="str">
        <x:v>Centrale hydroélectrique</x:v>
      </x:c>
      <x:c r="E2894" s="115" t="n">
        <x:v>39</x:v>
      </x:c>
      <x:c r="F2894" s="115" t="str">
        <x:v>Inspection physique</x:v>
      </x:c>
      <x:c r="G2894" s="115" t="str">
        <x:v>1 niveaux ; 22 pièces ; 167 segments de mur ; 0 transitions. Inspection physique ; architecture complète encore ouverte.</x:v>
      </x:c>
      <x:c r="H2894" s="115" t="str">
        <x:v>L 484 ; l 500 ; hauteur 9,6 m ; choix de composition auteur ; dimensions réelles à documenter</x:v>
      </x:c>
      <x:c r="I2894" s="115" t="str">
        <x:v>À équilibrer</x:v>
      </x:c>
      <x:c r="J2894" s="115" t="str">
        <x:v>Non</x:v>
      </x:c>
      <x:c r="K2894" s="115" t="str">
        <x:v>Pièces décrites, murs, portes, niveaux et mobilier inspectables à l’échelle. Volumes réservés, raccord au seed, butin, rencontres et services de campagne restent à terminer.</x:v>
      </x:c>
    </x:row>
    <x:row r="2895" ht="96" customHeight="1">
      <x:c r="A2895" s="115" t="str">
        <x:v>EXT-MONDE-T058-V40</x:v>
      </x:c>
      <x:c r="B2895" s="115" t="str">
        <x:v>EXT-MONDE-T058</x:v>
      </x:c>
      <x:c r="C2895" s="115" t="str">
        <x:v>Énergie</x:v>
      </x:c>
      <x:c r="D2895" s="115" t="str">
        <x:v>Centrale hydroélectrique</x:v>
      </x:c>
      <x:c r="E2895" s="115" t="n">
        <x:v>40</x:v>
      </x:c>
      <x:c r="F2895" s="115" t="str">
        <x:v>Inspection physique</x:v>
      </x:c>
      <x:c r="G2895" s="115" t="str">
        <x:v>1 niveaux ; 22 pièces ; 167 segments de mur ; 0 transitions. Inspection physique ; architecture complète encore ouverte.</x:v>
      </x:c>
      <x:c r="H2895" s="115" t="str">
        <x:v>L 484 ; l 500 ; hauteur 9,6 m ; choix de composition auteur ; dimensions réelles à documenter</x:v>
      </x:c>
      <x:c r="I2895" s="115" t="str">
        <x:v>À équilibrer</x:v>
      </x:c>
      <x:c r="J2895" s="115" t="str">
        <x:v>Non</x:v>
      </x:c>
      <x:c r="K2895" s="115" t="str">
        <x:v>Pièces décrites, murs, portes, niveaux et mobilier inspectables à l’échelle. Volumes réservés, raccord au seed, butin, rencontres et services de campagne restent à terminer.</x:v>
      </x:c>
    </x:row>
    <x:row r="2896" ht="96" customHeight="1">
      <x:c r="A2896" s="115" t="str">
        <x:v>EXT-MONDE-T058-V41</x:v>
      </x:c>
      <x:c r="B2896" s="115" t="str">
        <x:v>EXT-MONDE-T058</x:v>
      </x:c>
      <x:c r="C2896" s="115" t="str">
        <x:v>Énergie</x:v>
      </x:c>
      <x:c r="D2896" s="115" t="str">
        <x:v>Centrale hydroélectrique</x:v>
      </x:c>
      <x:c r="E2896" s="115" t="n">
        <x:v>41</x:v>
      </x:c>
      <x:c r="F2896" s="115" t="str">
        <x:v>Inspection physique</x:v>
      </x:c>
      <x:c r="G2896" s="115" t="str">
        <x:v>1 niveaux ; 22 pièces ; 167 segments de mur ; 0 transitions. Inspection physique ; architecture complète encore ouverte.</x:v>
      </x:c>
      <x:c r="H2896" s="115" t="str">
        <x:v>L 502 ; l 520 ; hauteur 9,8 m ; choix de composition auteur ; dimensions réelles à documenter</x:v>
      </x:c>
      <x:c r="I2896" s="115" t="str">
        <x:v>À équilibrer</x:v>
      </x:c>
      <x:c r="J2896" s="115" t="str">
        <x:v>Non</x:v>
      </x:c>
      <x:c r="K2896" s="115" t="str">
        <x:v>Pièces décrites, murs, portes, niveaux et mobilier inspectables à l’échelle. Volumes réservés, raccord au seed, butin, rencontres et services de campagne restent à terminer.</x:v>
      </x:c>
    </x:row>
    <x:row r="2897" ht="96" customHeight="1">
      <x:c r="A2897" s="115" t="str">
        <x:v>EXT-MONDE-T058-V42</x:v>
      </x:c>
      <x:c r="B2897" s="115" t="str">
        <x:v>EXT-MONDE-T058</x:v>
      </x:c>
      <x:c r="C2897" s="115" t="str">
        <x:v>Énergie</x:v>
      </x:c>
      <x:c r="D2897" s="115" t="str">
        <x:v>Centrale hydroélectrique</x:v>
      </x:c>
      <x:c r="E2897" s="115" t="n">
        <x:v>42</x:v>
      </x:c>
      <x:c r="F2897" s="115" t="str">
        <x:v>Inspection physique</x:v>
      </x:c>
      <x:c r="G2897" s="115" t="str">
        <x:v>1 niveaux ; 22 pièces ; 167 segments de mur ; 0 transitions. Inspection physique ; architecture complète encore ouverte.</x:v>
      </x:c>
      <x:c r="H2897" s="115" t="str">
        <x:v>L 502 ; l 520 ; hauteur 9,8 m ; choix de composition auteur ; dimensions réelles à documenter</x:v>
      </x:c>
      <x:c r="I2897" s="115" t="str">
        <x:v>À équilibrer</x:v>
      </x:c>
      <x:c r="J2897" s="115" t="str">
        <x:v>Non</x:v>
      </x:c>
      <x:c r="K2897" s="115" t="str">
        <x:v>Pièces décrites, murs, portes, niveaux et mobilier inspectables à l’échelle. Volumes réservés, raccord au seed, butin, rencontres et services de campagne restent à terminer.</x:v>
      </x:c>
    </x:row>
    <x:row r="2898" ht="96" customHeight="1">
      <x:c r="A2898" s="115" t="str">
        <x:v>EXT-MONDE-T058-V43</x:v>
      </x:c>
      <x:c r="B2898" s="115" t="str">
        <x:v>EXT-MONDE-T058</x:v>
      </x:c>
      <x:c r="C2898" s="115" t="str">
        <x:v>Énergie</x:v>
      </x:c>
      <x:c r="D2898" s="115" t="str">
        <x:v>Centrale hydroélectrique</x:v>
      </x:c>
      <x:c r="E2898" s="115" t="n">
        <x:v>43</x:v>
      </x:c>
      <x:c r="F2898" s="115" t="str">
        <x:v>Inspection physique</x:v>
      </x:c>
      <x:c r="G2898" s="115" t="str">
        <x:v>1 niveaux ; 22 pièces ; 167 segments de mur ; 0 transitions. Inspection physique ; architecture complète encore ouverte.</x:v>
      </x:c>
      <x:c r="H2898" s="115" t="str">
        <x:v>L 502 ; l 520 ; hauteur 9,8 m ; choix de composition auteur ; dimensions réelles à documenter</x:v>
      </x:c>
      <x:c r="I2898" s="115" t="str">
        <x:v>À équilibrer</x:v>
      </x:c>
      <x:c r="J2898" s="115" t="str">
        <x:v>Non</x:v>
      </x:c>
      <x:c r="K2898" s="115" t="str">
        <x:v>Pièces décrites, murs, portes, niveaux et mobilier inspectables à l’échelle. Volumes réservés, raccord au seed, butin, rencontres et services de campagne restent à terminer.</x:v>
      </x:c>
    </x:row>
    <x:row r="2899" ht="96" customHeight="1">
      <x:c r="A2899" s="115" t="str">
        <x:v>EXT-MONDE-T058-V44</x:v>
      </x:c>
      <x:c r="B2899" s="115" t="str">
        <x:v>EXT-MONDE-T058</x:v>
      </x:c>
      <x:c r="C2899" s="115" t="str">
        <x:v>Énergie</x:v>
      </x:c>
      <x:c r="D2899" s="115" t="str">
        <x:v>Centrale hydroélectrique</x:v>
      </x:c>
      <x:c r="E2899" s="115" t="n">
        <x:v>44</x:v>
      </x:c>
      <x:c r="F2899" s="115" t="str">
        <x:v>Inspection physique</x:v>
      </x:c>
      <x:c r="G2899" s="115" t="str">
        <x:v>1 niveaux ; 22 pièces ; 167 segments de mur ; 0 transitions. Inspection physique ; architecture complète encore ouverte.</x:v>
      </x:c>
      <x:c r="H2899" s="115" t="str">
        <x:v>L 502 ; l 520 ; hauteur 9,8 m ; choix de composition auteur ; dimensions réelles à documenter</x:v>
      </x:c>
      <x:c r="I2899" s="115" t="str">
        <x:v>À équilibrer</x:v>
      </x:c>
      <x:c r="J2899" s="115" t="str">
        <x:v>Non</x:v>
      </x:c>
      <x:c r="K2899" s="115" t="str">
        <x:v>Pièces décrites, murs, portes, niveaux et mobilier inspectables à l’échelle. Volumes réservés, raccord au seed, butin, rencontres et services de campagne restent à terminer.</x:v>
      </x:c>
    </x:row>
    <x:row r="2900" ht="96" customHeight="1">
      <x:c r="A2900" s="115" t="str">
        <x:v>EXT-MONDE-T058-V45</x:v>
      </x:c>
      <x:c r="B2900" s="115" t="str">
        <x:v>EXT-MONDE-T058</x:v>
      </x:c>
      <x:c r="C2900" s="115" t="str">
        <x:v>Énergie</x:v>
      </x:c>
      <x:c r="D2900" s="115" t="str">
        <x:v>Centrale hydroélectrique</x:v>
      </x:c>
      <x:c r="E2900" s="115" t="n">
        <x:v>45</x:v>
      </x:c>
      <x:c r="F2900" s="115" t="str">
        <x:v>Inspection physique</x:v>
      </x:c>
      <x:c r="G2900" s="115" t="str">
        <x:v>1 niveaux ; 22 pièces ; 167 segments de mur ; 0 transitions. Inspection physique ; architecture complète encore ouverte.</x:v>
      </x:c>
      <x:c r="H2900" s="115" t="str">
        <x:v>L 502 ; l 520 ; hauteur 9,8 m ; choix de composition auteur ; dimensions réelles à documenter</x:v>
      </x:c>
      <x:c r="I2900" s="115" t="str">
        <x:v>À équilibrer</x:v>
      </x:c>
      <x:c r="J2900" s="115" t="str">
        <x:v>Non</x:v>
      </x:c>
      <x:c r="K2900" s="115" t="str">
        <x:v>Pièces décrites, murs, portes, niveaux et mobilier inspectables à l’échelle. Volumes réservés, raccord au seed, butin, rencontres et services de campagne restent à terminer.</x:v>
      </x:c>
    </x:row>
    <x:row r="2901" ht="96" customHeight="1">
      <x:c r="A2901" s="115" t="str">
        <x:v>EXT-MONDE-T058-V46</x:v>
      </x:c>
      <x:c r="B2901" s="115" t="str">
        <x:v>EXT-MONDE-T058</x:v>
      </x:c>
      <x:c r="C2901" s="115" t="str">
        <x:v>Énergie</x:v>
      </x:c>
      <x:c r="D2901" s="115" t="str">
        <x:v>Centrale hydroélectrique</x:v>
      </x:c>
      <x:c r="E2901" s="115" t="n">
        <x:v>46</x:v>
      </x:c>
      <x:c r="F2901" s="115" t="str">
        <x:v>Inspection physique</x:v>
      </x:c>
      <x:c r="G2901" s="115" t="str">
        <x:v>1 niveaux ; 22 pièces ; 167 segments de mur ; 0 transitions. Inspection physique ; architecture complète encore ouverte.</x:v>
      </x:c>
      <x:c r="H2901" s="115" t="str">
        <x:v>L 502 ; l 520 ; hauteur 9,8 m ; choix de composition auteur ; dimensions réelles à documenter</x:v>
      </x:c>
      <x:c r="I2901" s="115" t="str">
        <x:v>À équilibrer</x:v>
      </x:c>
      <x:c r="J2901" s="115" t="str">
        <x:v>Non</x:v>
      </x:c>
      <x:c r="K2901" s="115" t="str">
        <x:v>Pièces décrites, murs, portes, niveaux et mobilier inspectables à l’échelle. Volumes réservés, raccord au seed, butin, rencontres et services de campagne restent à terminer.</x:v>
      </x:c>
    </x:row>
    <x:row r="2902" ht="96" customHeight="1">
      <x:c r="A2902" s="115" t="str">
        <x:v>EXT-MONDE-T058-V47</x:v>
      </x:c>
      <x:c r="B2902" s="115" t="str">
        <x:v>EXT-MONDE-T058</x:v>
      </x:c>
      <x:c r="C2902" s="115" t="str">
        <x:v>Énergie</x:v>
      </x:c>
      <x:c r="D2902" s="115" t="str">
        <x:v>Centrale hydroélectrique</x:v>
      </x:c>
      <x:c r="E2902" s="115" t="n">
        <x:v>47</x:v>
      </x:c>
      <x:c r="F2902" s="115" t="str">
        <x:v>Inspection physique</x:v>
      </x:c>
      <x:c r="G2902" s="115" t="str">
        <x:v>1 niveaux ; 22 pièces ; 167 segments de mur ; 0 transitions. Inspection physique ; architecture complète encore ouverte.</x:v>
      </x:c>
      <x:c r="H2902" s="115" t="str">
        <x:v>L 502 ; l 520 ; hauteur 9,8 m ; choix de composition auteur ; dimensions réelles à documenter</x:v>
      </x:c>
      <x:c r="I2902" s="115" t="str">
        <x:v>À équilibrer</x:v>
      </x:c>
      <x:c r="J2902" s="115" t="str">
        <x:v>Non</x:v>
      </x:c>
      <x:c r="K2902" s="115" t="str">
        <x:v>Pièces décrites, murs, portes, niveaux et mobilier inspectables à l’échelle. Volumes réservés, raccord au seed, butin, rencontres et services de campagne restent à terminer.</x:v>
      </x:c>
    </x:row>
    <x:row r="2903" ht="96" customHeight="1">
      <x:c r="A2903" s="115" t="str">
        <x:v>EXT-MONDE-T058-V48</x:v>
      </x:c>
      <x:c r="B2903" s="115" t="str">
        <x:v>EXT-MONDE-T058</x:v>
      </x:c>
      <x:c r="C2903" s="115" t="str">
        <x:v>Énergie</x:v>
      </x:c>
      <x:c r="D2903" s="115" t="str">
        <x:v>Centrale hydroélectrique</x:v>
      </x:c>
      <x:c r="E2903" s="115" t="n">
        <x:v>48</x:v>
      </x:c>
      <x:c r="F2903" s="115" t="str">
        <x:v>Inspection physique</x:v>
      </x:c>
      <x:c r="G2903" s="115" t="str">
        <x:v>1 niveaux ; 22 pièces ; 167 segments de mur ; 0 transitions. Inspection physique ; architecture complète encore ouverte.</x:v>
      </x:c>
      <x:c r="H2903" s="115" t="str">
        <x:v>L 502 ; l 520 ; hauteur 9,8 m ; choix de composition auteur ; dimensions réelles à documenter</x:v>
      </x:c>
      <x:c r="I2903" s="115" t="str">
        <x:v>À équilibrer</x:v>
      </x:c>
      <x:c r="J2903" s="115" t="str">
        <x:v>Non</x:v>
      </x:c>
      <x:c r="K2903" s="115" t="str">
        <x:v>Pièces décrites, murs, portes, niveaux et mobilier inspectables à l’échelle. Volumes réservés, raccord au seed, butin, rencontres et services de campagne restent à terminer.</x:v>
      </x:c>
    </x:row>
    <x:row r="2904" ht="96" customHeight="1">
      <x:c r="A2904" s="115" t="str">
        <x:v>EXT-MONDE-T058-V49</x:v>
      </x:c>
      <x:c r="B2904" s="115" t="str">
        <x:v>EXT-MONDE-T058</x:v>
      </x:c>
      <x:c r="C2904" s="115" t="str">
        <x:v>Énergie</x:v>
      </x:c>
      <x:c r="D2904" s="115" t="str">
        <x:v>Centrale hydroélectrique</x:v>
      </x:c>
      <x:c r="E2904" s="115" t="n">
        <x:v>49</x:v>
      </x:c>
      <x:c r="F2904" s="115" t="str">
        <x:v>Inspection physique</x:v>
      </x:c>
      <x:c r="G2904" s="115" t="str">
        <x:v>1 niveaux ; 22 pièces ; 167 segments de mur ; 0 transitions. Inspection physique ; architecture complète encore ouverte.</x:v>
      </x:c>
      <x:c r="H2904" s="115" t="str">
        <x:v>L 502 ; l 520 ; hauteur 9,8 m ; choix de composition auteur ; dimensions réelles à documenter</x:v>
      </x:c>
      <x:c r="I2904" s="115" t="str">
        <x:v>À équilibrer</x:v>
      </x:c>
      <x:c r="J2904" s="115" t="str">
        <x:v>Non</x:v>
      </x:c>
      <x:c r="K2904" s="115" t="str">
        <x:v>Pièces décrites, murs, portes, niveaux et mobilier inspectables à l’échelle. Volumes réservés, raccord au seed, butin, rencontres et services de campagne restent à terminer.</x:v>
      </x:c>
    </x:row>
    <x:row r="2905" ht="96" customHeight="1">
      <x:c r="A2905" s="115" t="str">
        <x:v>EXT-MONDE-T058-V50</x:v>
      </x:c>
      <x:c r="B2905" s="115" t="str">
        <x:v>EXT-MONDE-T058</x:v>
      </x:c>
      <x:c r="C2905" s="115" t="str">
        <x:v>Énergie</x:v>
      </x:c>
      <x:c r="D2905" s="115" t="str">
        <x:v>Centrale hydroélectrique</x:v>
      </x:c>
      <x:c r="E2905" s="115" t="n">
        <x:v>50</x:v>
      </x:c>
      <x:c r="F2905" s="115" t="str">
        <x:v>Inspection physique</x:v>
      </x:c>
      <x:c r="G2905" s="115" t="str">
        <x:v>1 niveaux ; 22 pièces ; 167 segments de mur ; 0 transitions. Inspection physique ; architecture complète encore ouverte.</x:v>
      </x:c>
      <x:c r="H2905" s="115" t="str">
        <x:v>L 502 ; l 520 ; hauteur 9,8 m ; choix de composition auteur ; dimensions réelles à documenter</x:v>
      </x:c>
      <x:c r="I2905" s="115" t="str">
        <x:v>À équilibrer</x:v>
      </x:c>
      <x:c r="J2905" s="115" t="str">
        <x:v>Non</x:v>
      </x:c>
      <x:c r="K2905" s="115" t="str">
        <x:v>Pièces décrites, murs, portes, niveaux et mobilier inspectables à l’échelle. Volumes réservés, raccord au seed, butin, rencontres et services de campagne restent à terminer.</x:v>
      </x:c>
    </x:row>
    <x:row r="2906" ht="96" customHeight="1">
      <x:c r="A2906" s="115" t="str">
        <x:v>EXT-MONDE-T059-V01</x:v>
      </x:c>
      <x:c r="B2906" s="115" t="str">
        <x:v>EXT-MONDE-T059</x:v>
      </x:c>
      <x:c r="C2906" s="115" t="str">
        <x:v>Énergie</x:v>
      </x:c>
      <x:c r="D2906" s="115" t="str">
        <x:v>Poste électrique régional</x:v>
      </x:c>
      <x:c r="E2906" s="115" t="n">
        <x:v>1</x:v>
      </x:c>
      <x:c r="F2906" s="115" t="str">
        <x:v>Inspection physique</x:v>
      </x:c>
      <x:c r="G2906" s="115" t="str">
        <x:v>1 niveaux ; 22 pièces ; 167 segments de mur ; 0 transitions. Inspection physique ; architecture complète encore ouverte.</x:v>
      </x:c>
      <x:c r="H2906" s="115" t="str">
        <x:v>L 430 ; l 440 ; hauteur 6 m ; choix de composition auteur ; dimensions réelles à documenter</x:v>
      </x:c>
      <x:c r="I2906" s="115" t="str">
        <x:v>À équilibrer</x:v>
      </x:c>
      <x:c r="J2906" s="115" t="str">
        <x:v>Non</x:v>
      </x:c>
      <x:c r="K2906" s="115" t="str">
        <x:v>Pièces décrites, murs, portes, niveaux et mobilier inspectables à l’échelle. Volumes réservés, raccord au seed, butin, rencontres et services de campagne restent à terminer.</x:v>
      </x:c>
    </x:row>
    <x:row r="2907" ht="96" customHeight="1">
      <x:c r="A2907" s="115" t="str">
        <x:v>EXT-MONDE-T059-V02</x:v>
      </x:c>
      <x:c r="B2907" s="115" t="str">
        <x:v>EXT-MONDE-T059</x:v>
      </x:c>
      <x:c r="C2907" s="115" t="str">
        <x:v>Énergie</x:v>
      </x:c>
      <x:c r="D2907" s="115" t="str">
        <x:v>Poste électrique régional</x:v>
      </x:c>
      <x:c r="E2907" s="115" t="n">
        <x:v>2</x:v>
      </x:c>
      <x:c r="F2907" s="115" t="str">
        <x:v>Inspection physique</x:v>
      </x:c>
      <x:c r="G2907" s="115" t="str">
        <x:v>1 niveaux ; 22 pièces ; 167 segments de mur ; 0 transitions. Inspection physique ; architecture complète encore ouverte.</x:v>
      </x:c>
      <x:c r="H2907" s="115" t="str">
        <x:v>L 430 ; l 440 ; hauteur 6 m ; choix de composition auteur ; dimensions réelles à documenter</x:v>
      </x:c>
      <x:c r="I2907" s="115" t="str">
        <x:v>À équilibrer</x:v>
      </x:c>
      <x:c r="J2907" s="115" t="str">
        <x:v>Non</x:v>
      </x:c>
      <x:c r="K2907" s="115" t="str">
        <x:v>Pièces décrites, murs, portes, niveaux et mobilier inspectables à l’échelle. Volumes réservés, raccord au seed, butin, rencontres et services de campagne restent à terminer.</x:v>
      </x:c>
    </x:row>
    <x:row r="2908" ht="96" customHeight="1">
      <x:c r="A2908" s="115" t="str">
        <x:v>EXT-MONDE-T059-V03</x:v>
      </x:c>
      <x:c r="B2908" s="115" t="str">
        <x:v>EXT-MONDE-T059</x:v>
      </x:c>
      <x:c r="C2908" s="115" t="str">
        <x:v>Énergie</x:v>
      </x:c>
      <x:c r="D2908" s="115" t="str">
        <x:v>Poste électrique régional</x:v>
      </x:c>
      <x:c r="E2908" s="115" t="n">
        <x:v>3</x:v>
      </x:c>
      <x:c r="F2908" s="115" t="str">
        <x:v>Inspection physique</x:v>
      </x:c>
      <x:c r="G2908" s="115" t="str">
        <x:v>1 niveaux ; 22 pièces ; 167 segments de mur ; 0 transitions. Inspection physique ; architecture complète encore ouverte.</x:v>
      </x:c>
      <x:c r="H2908" s="115" t="str">
        <x:v>L 430 ; l 440 ; hauteur 6 m ; choix de composition auteur ; dimensions réelles à documenter</x:v>
      </x:c>
      <x:c r="I2908" s="115" t="str">
        <x:v>À équilibrer</x:v>
      </x:c>
      <x:c r="J2908" s="115" t="str">
        <x:v>Non</x:v>
      </x:c>
      <x:c r="K2908" s="115" t="str">
        <x:v>Pièces décrites, murs, portes, niveaux et mobilier inspectables à l’échelle. Volumes réservés, raccord au seed, butin, rencontres et services de campagne restent à terminer.</x:v>
      </x:c>
    </x:row>
    <x:row r="2909" ht="96" customHeight="1">
      <x:c r="A2909" s="115" t="str">
        <x:v>EXT-MONDE-T059-V04</x:v>
      </x:c>
      <x:c r="B2909" s="115" t="str">
        <x:v>EXT-MONDE-T059</x:v>
      </x:c>
      <x:c r="C2909" s="115" t="str">
        <x:v>Énergie</x:v>
      </x:c>
      <x:c r="D2909" s="115" t="str">
        <x:v>Poste électrique régional</x:v>
      </x:c>
      <x:c r="E2909" s="115" t="n">
        <x:v>4</x:v>
      </x:c>
      <x:c r="F2909" s="115" t="str">
        <x:v>Inspection physique</x:v>
      </x:c>
      <x:c r="G2909" s="115" t="str">
        <x:v>1 niveaux ; 22 pièces ; 167 segments de mur ; 0 transitions. Inspection physique ; architecture complète encore ouverte.</x:v>
      </x:c>
      <x:c r="H2909" s="115" t="str">
        <x:v>L 430 ; l 440 ; hauteur 6 m ; choix de composition auteur ; dimensions réelles à documenter</x:v>
      </x:c>
      <x:c r="I2909" s="115" t="str">
        <x:v>À équilibrer</x:v>
      </x:c>
      <x:c r="J2909" s="115" t="str">
        <x:v>Non</x:v>
      </x:c>
      <x:c r="K2909" s="115" t="str">
        <x:v>Pièces décrites, murs, portes, niveaux et mobilier inspectables à l’échelle. Volumes réservés, raccord au seed, butin, rencontres et services de campagne restent à terminer.</x:v>
      </x:c>
    </x:row>
    <x:row r="2910" ht="96" customHeight="1">
      <x:c r="A2910" s="115" t="str">
        <x:v>EXT-MONDE-T059-V05</x:v>
      </x:c>
      <x:c r="B2910" s="115" t="str">
        <x:v>EXT-MONDE-T059</x:v>
      </x:c>
      <x:c r="C2910" s="115" t="str">
        <x:v>Énergie</x:v>
      </x:c>
      <x:c r="D2910" s="115" t="str">
        <x:v>Poste électrique régional</x:v>
      </x:c>
      <x:c r="E2910" s="115" t="n">
        <x:v>5</x:v>
      </x:c>
      <x:c r="F2910" s="115" t="str">
        <x:v>Inspection physique</x:v>
      </x:c>
      <x:c r="G2910" s="115" t="str">
        <x:v>1 niveaux ; 22 pièces ; 167 segments de mur ; 0 transitions. Inspection physique ; architecture complète encore ouverte.</x:v>
      </x:c>
      <x:c r="H2910" s="115" t="str">
        <x:v>L 430 ; l 440 ; hauteur 6 m ; choix de composition auteur ; dimensions réelles à documenter</x:v>
      </x:c>
      <x:c r="I2910" s="115" t="str">
        <x:v>À équilibrer</x:v>
      </x:c>
      <x:c r="J2910" s="115" t="str">
        <x:v>Non</x:v>
      </x:c>
      <x:c r="K2910" s="115" t="str">
        <x:v>Pièces décrites, murs, portes, niveaux et mobilier inspectables à l’échelle. Volumes réservés, raccord au seed, butin, rencontres et services de campagne restent à terminer.</x:v>
      </x:c>
    </x:row>
    <x:row r="2911" ht="96" customHeight="1">
      <x:c r="A2911" s="115" t="str">
        <x:v>EXT-MONDE-T059-V06</x:v>
      </x:c>
      <x:c r="B2911" s="115" t="str">
        <x:v>EXT-MONDE-T059</x:v>
      </x:c>
      <x:c r="C2911" s="115" t="str">
        <x:v>Énergie</x:v>
      </x:c>
      <x:c r="D2911" s="115" t="str">
        <x:v>Poste électrique régional</x:v>
      </x:c>
      <x:c r="E2911" s="115" t="n">
        <x:v>6</x:v>
      </x:c>
      <x:c r="F2911" s="115" t="str">
        <x:v>Inspection physique</x:v>
      </x:c>
      <x:c r="G2911" s="115" t="str">
        <x:v>1 niveaux ; 22 pièces ; 167 segments de mur ; 0 transitions. Inspection physique ; architecture complète encore ouverte.</x:v>
      </x:c>
      <x:c r="H2911" s="115" t="str">
        <x:v>L 430 ; l 440 ; hauteur 6 m ; choix de composition auteur ; dimensions réelles à documenter</x:v>
      </x:c>
      <x:c r="I2911" s="115" t="str">
        <x:v>À équilibrer</x:v>
      </x:c>
      <x:c r="J2911" s="115" t="str">
        <x:v>Non</x:v>
      </x:c>
      <x:c r="K2911" s="115" t="str">
        <x:v>Pièces décrites, murs, portes, niveaux et mobilier inspectables à l’échelle. Volumes réservés, raccord au seed, butin, rencontres et services de campagne restent à terminer.</x:v>
      </x:c>
    </x:row>
    <x:row r="2912" ht="96" customHeight="1">
      <x:c r="A2912" s="115" t="str">
        <x:v>EXT-MONDE-T059-V07</x:v>
      </x:c>
      <x:c r="B2912" s="115" t="str">
        <x:v>EXT-MONDE-T059</x:v>
      </x:c>
      <x:c r="C2912" s="115" t="str">
        <x:v>Énergie</x:v>
      </x:c>
      <x:c r="D2912" s="115" t="str">
        <x:v>Poste électrique régional</x:v>
      </x:c>
      <x:c r="E2912" s="115" t="n">
        <x:v>7</x:v>
      </x:c>
      <x:c r="F2912" s="115" t="str">
        <x:v>Inspection physique</x:v>
      </x:c>
      <x:c r="G2912" s="115" t="str">
        <x:v>1 niveaux ; 22 pièces ; 167 segments de mur ; 0 transitions. Inspection physique ; architecture complète encore ouverte.</x:v>
      </x:c>
      <x:c r="H2912" s="115" t="str">
        <x:v>L 430 ; l 440 ; hauteur 6 m ; choix de composition auteur ; dimensions réelles à documenter</x:v>
      </x:c>
      <x:c r="I2912" s="115" t="str">
        <x:v>À équilibrer</x:v>
      </x:c>
      <x:c r="J2912" s="115" t="str">
        <x:v>Non</x:v>
      </x:c>
      <x:c r="K2912" s="115" t="str">
        <x:v>Pièces décrites, murs, portes, niveaux et mobilier inspectables à l’échelle. Volumes réservés, raccord au seed, butin, rencontres et services de campagne restent à terminer.</x:v>
      </x:c>
    </x:row>
    <x:row r="2913" ht="96" customHeight="1">
      <x:c r="A2913" s="115" t="str">
        <x:v>EXT-MONDE-T059-V08</x:v>
      </x:c>
      <x:c r="B2913" s="115" t="str">
        <x:v>EXT-MONDE-T059</x:v>
      </x:c>
      <x:c r="C2913" s="115" t="str">
        <x:v>Énergie</x:v>
      </x:c>
      <x:c r="D2913" s="115" t="str">
        <x:v>Poste électrique régional</x:v>
      </x:c>
      <x:c r="E2913" s="115" t="n">
        <x:v>8</x:v>
      </x:c>
      <x:c r="F2913" s="115" t="str">
        <x:v>Inspection physique</x:v>
      </x:c>
      <x:c r="G2913" s="115" t="str">
        <x:v>1 niveaux ; 22 pièces ; 167 segments de mur ; 0 transitions. Inspection physique ; architecture complète encore ouverte.</x:v>
      </x:c>
      <x:c r="H2913" s="115" t="str">
        <x:v>L 430 ; l 440 ; hauteur 6 m ; choix de composition auteur ; dimensions réelles à documenter</x:v>
      </x:c>
      <x:c r="I2913" s="115" t="str">
        <x:v>À équilibrer</x:v>
      </x:c>
      <x:c r="J2913" s="115" t="str">
        <x:v>Non</x:v>
      </x:c>
      <x:c r="K2913" s="115" t="str">
        <x:v>Pièces décrites, murs, portes, niveaux et mobilier inspectables à l’échelle. Volumes réservés, raccord au seed, butin, rencontres et services de campagne restent à terminer.</x:v>
      </x:c>
    </x:row>
    <x:row r="2914" ht="96" customHeight="1">
      <x:c r="A2914" s="115" t="str">
        <x:v>EXT-MONDE-T059-V09</x:v>
      </x:c>
      <x:c r="B2914" s="115" t="str">
        <x:v>EXT-MONDE-T059</x:v>
      </x:c>
      <x:c r="C2914" s="115" t="str">
        <x:v>Énergie</x:v>
      </x:c>
      <x:c r="D2914" s="115" t="str">
        <x:v>Poste électrique régional</x:v>
      </x:c>
      <x:c r="E2914" s="115" t="n">
        <x:v>9</x:v>
      </x:c>
      <x:c r="F2914" s="115" t="str">
        <x:v>Inspection physique</x:v>
      </x:c>
      <x:c r="G2914" s="115" t="str">
        <x:v>1 niveaux ; 22 pièces ; 167 segments de mur ; 0 transitions. Inspection physique ; architecture complète encore ouverte.</x:v>
      </x:c>
      <x:c r="H2914" s="115" t="str">
        <x:v>L 430 ; l 440 ; hauteur 6 m ; choix de composition auteur ; dimensions réelles à documenter</x:v>
      </x:c>
      <x:c r="I2914" s="115" t="str">
        <x:v>À équilibrer</x:v>
      </x:c>
      <x:c r="J2914" s="115" t="str">
        <x:v>Non</x:v>
      </x:c>
      <x:c r="K2914" s="115" t="str">
        <x:v>Pièces décrites, murs, portes, niveaux et mobilier inspectables à l’échelle. Volumes réservés, raccord au seed, butin, rencontres et services de campagne restent à terminer.</x:v>
      </x:c>
    </x:row>
    <x:row r="2915" ht="96" customHeight="1">
      <x:c r="A2915" s="115" t="str">
        <x:v>EXT-MONDE-T059-V10</x:v>
      </x:c>
      <x:c r="B2915" s="115" t="str">
        <x:v>EXT-MONDE-T059</x:v>
      </x:c>
      <x:c r="C2915" s="115" t="str">
        <x:v>Énergie</x:v>
      </x:c>
      <x:c r="D2915" s="115" t="str">
        <x:v>Poste électrique régional</x:v>
      </x:c>
      <x:c r="E2915" s="115" t="n">
        <x:v>10</x:v>
      </x:c>
      <x:c r="F2915" s="115" t="str">
        <x:v>Inspection physique</x:v>
      </x:c>
      <x:c r="G2915" s="115" t="str">
        <x:v>1 niveaux ; 22 pièces ; 167 segments de mur ; 0 transitions. Inspection physique ; architecture complète encore ouverte.</x:v>
      </x:c>
      <x:c r="H2915" s="115" t="str">
        <x:v>L 430 ; l 440 ; hauteur 6 m ; choix de composition auteur ; dimensions réelles à documenter</x:v>
      </x:c>
      <x:c r="I2915" s="115" t="str">
        <x:v>À équilibrer</x:v>
      </x:c>
      <x:c r="J2915" s="115" t="str">
        <x:v>Non</x:v>
      </x:c>
      <x:c r="K2915" s="115" t="str">
        <x:v>Pièces décrites, murs, portes, niveaux et mobilier inspectables à l’échelle. Volumes réservés, raccord au seed, butin, rencontres et services de campagne restent à terminer.</x:v>
      </x:c>
    </x:row>
    <x:row r="2916" ht="96" customHeight="1">
      <x:c r="A2916" s="115" t="str">
        <x:v>EXT-MONDE-T059-V11</x:v>
      </x:c>
      <x:c r="B2916" s="115" t="str">
        <x:v>EXT-MONDE-T059</x:v>
      </x:c>
      <x:c r="C2916" s="115" t="str">
        <x:v>Énergie</x:v>
      </x:c>
      <x:c r="D2916" s="115" t="str">
        <x:v>Poste électrique régional</x:v>
      </x:c>
      <x:c r="E2916" s="115" t="n">
        <x:v>11</x:v>
      </x:c>
      <x:c r="F2916" s="115" t="str">
        <x:v>Inspection physique</x:v>
      </x:c>
      <x:c r="G2916" s="115" t="str">
        <x:v>1 niveaux ; 22 pièces ; 167 segments de mur ; 0 transitions. Inspection physique ; architecture complète encore ouverte.</x:v>
      </x:c>
      <x:c r="H2916" s="115" t="str">
        <x:v>L 448 ; l 460 ; hauteur 6 m ; choix de composition auteur ; dimensions réelles à documenter</x:v>
      </x:c>
      <x:c r="I2916" s="115" t="str">
        <x:v>À équilibrer</x:v>
      </x:c>
      <x:c r="J2916" s="115" t="str">
        <x:v>Non</x:v>
      </x:c>
      <x:c r="K2916" s="115" t="str">
        <x:v>Pièces décrites, murs, portes, niveaux et mobilier inspectables à l’échelle. Volumes réservés, raccord au seed, butin, rencontres et services de campagne restent à terminer.</x:v>
      </x:c>
    </x:row>
    <x:row r="2917" ht="96" customHeight="1">
      <x:c r="A2917" s="115" t="str">
        <x:v>EXT-MONDE-T059-V12</x:v>
      </x:c>
      <x:c r="B2917" s="115" t="str">
        <x:v>EXT-MONDE-T059</x:v>
      </x:c>
      <x:c r="C2917" s="115" t="str">
        <x:v>Énergie</x:v>
      </x:c>
      <x:c r="D2917" s="115" t="str">
        <x:v>Poste électrique régional</x:v>
      </x:c>
      <x:c r="E2917" s="115" t="n">
        <x:v>12</x:v>
      </x:c>
      <x:c r="F2917" s="115" t="str">
        <x:v>Inspection physique</x:v>
      </x:c>
      <x:c r="G2917" s="115" t="str">
        <x:v>1 niveaux ; 22 pièces ; 167 segments de mur ; 0 transitions. Inspection physique ; architecture complète encore ouverte.</x:v>
      </x:c>
      <x:c r="H2917" s="115" t="str">
        <x:v>L 448 ; l 460 ; hauteur 6 m ; choix de composition auteur ; dimensions réelles à documenter</x:v>
      </x:c>
      <x:c r="I2917" s="115" t="str">
        <x:v>À équilibrer</x:v>
      </x:c>
      <x:c r="J2917" s="115" t="str">
        <x:v>Non</x:v>
      </x:c>
      <x:c r="K2917" s="115" t="str">
        <x:v>Pièces décrites, murs, portes, niveaux et mobilier inspectables à l’échelle. Volumes réservés, raccord au seed, butin, rencontres et services de campagne restent à terminer.</x:v>
      </x:c>
    </x:row>
    <x:row r="2918" ht="96" customHeight="1">
      <x:c r="A2918" s="115" t="str">
        <x:v>EXT-MONDE-T059-V13</x:v>
      </x:c>
      <x:c r="B2918" s="115" t="str">
        <x:v>EXT-MONDE-T059</x:v>
      </x:c>
      <x:c r="C2918" s="115" t="str">
        <x:v>Énergie</x:v>
      </x:c>
      <x:c r="D2918" s="115" t="str">
        <x:v>Poste électrique régional</x:v>
      </x:c>
      <x:c r="E2918" s="115" t="n">
        <x:v>13</x:v>
      </x:c>
      <x:c r="F2918" s="115" t="str">
        <x:v>Inspection physique</x:v>
      </x:c>
      <x:c r="G2918" s="115" t="str">
        <x:v>1 niveaux ; 22 pièces ; 167 segments de mur ; 0 transitions. Inspection physique ; architecture complète encore ouverte.</x:v>
      </x:c>
      <x:c r="H2918" s="115" t="str">
        <x:v>L 448 ; l 460 ; hauteur 6 m ; choix de composition auteur ; dimensions réelles à documenter</x:v>
      </x:c>
      <x:c r="I2918" s="115" t="str">
        <x:v>À équilibrer</x:v>
      </x:c>
      <x:c r="J2918" s="115" t="str">
        <x:v>Non</x:v>
      </x:c>
      <x:c r="K2918" s="115" t="str">
        <x:v>Pièces décrites, murs, portes, niveaux et mobilier inspectables à l’échelle. Volumes réservés, raccord au seed, butin, rencontres et services de campagne restent à terminer.</x:v>
      </x:c>
    </x:row>
    <x:row r="2919" ht="96" customHeight="1">
      <x:c r="A2919" s="115" t="str">
        <x:v>EXT-MONDE-T059-V14</x:v>
      </x:c>
      <x:c r="B2919" s="115" t="str">
        <x:v>EXT-MONDE-T059</x:v>
      </x:c>
      <x:c r="C2919" s="115" t="str">
        <x:v>Énergie</x:v>
      </x:c>
      <x:c r="D2919" s="115" t="str">
        <x:v>Poste électrique régional</x:v>
      </x:c>
      <x:c r="E2919" s="115" t="n">
        <x:v>14</x:v>
      </x:c>
      <x:c r="F2919" s="115" t="str">
        <x:v>Inspection physique</x:v>
      </x:c>
      <x:c r="G2919" s="115" t="str">
        <x:v>1 niveaux ; 22 pièces ; 167 segments de mur ; 0 transitions. Inspection physique ; architecture complète encore ouverte.</x:v>
      </x:c>
      <x:c r="H2919" s="115" t="str">
        <x:v>L 448 ; l 460 ; hauteur 6 m ; choix de composition auteur ; dimensions réelles à documenter</x:v>
      </x:c>
      <x:c r="I2919" s="115" t="str">
        <x:v>À équilibrer</x:v>
      </x:c>
      <x:c r="J2919" s="115" t="str">
        <x:v>Non</x:v>
      </x:c>
      <x:c r="K2919" s="115" t="str">
        <x:v>Pièces décrites, murs, portes, niveaux et mobilier inspectables à l’échelle. Volumes réservés, raccord au seed, butin, rencontres et services de campagne restent à terminer.</x:v>
      </x:c>
    </x:row>
    <x:row r="2920" ht="96" customHeight="1">
      <x:c r="A2920" s="115" t="str">
        <x:v>EXT-MONDE-T059-V15</x:v>
      </x:c>
      <x:c r="B2920" s="115" t="str">
        <x:v>EXT-MONDE-T059</x:v>
      </x:c>
      <x:c r="C2920" s="115" t="str">
        <x:v>Énergie</x:v>
      </x:c>
      <x:c r="D2920" s="115" t="str">
        <x:v>Poste électrique régional</x:v>
      </x:c>
      <x:c r="E2920" s="115" t="n">
        <x:v>15</x:v>
      </x:c>
      <x:c r="F2920" s="115" t="str">
        <x:v>Inspection physique</x:v>
      </x:c>
      <x:c r="G2920" s="115" t="str">
        <x:v>1 niveaux ; 22 pièces ; 167 segments de mur ; 0 transitions. Inspection physique ; architecture complète encore ouverte.</x:v>
      </x:c>
      <x:c r="H2920" s="115" t="str">
        <x:v>L 448 ; l 460 ; hauteur 6 m ; choix de composition auteur ; dimensions réelles à documenter</x:v>
      </x:c>
      <x:c r="I2920" s="115" t="str">
        <x:v>À équilibrer</x:v>
      </x:c>
      <x:c r="J2920" s="115" t="str">
        <x:v>Non</x:v>
      </x:c>
      <x:c r="K2920" s="115" t="str">
        <x:v>Pièces décrites, murs, portes, niveaux et mobilier inspectables à l’échelle. Volumes réservés, raccord au seed, butin, rencontres et services de campagne restent à terminer.</x:v>
      </x:c>
    </x:row>
    <x:row r="2921" ht="96" customHeight="1">
      <x:c r="A2921" s="115" t="str">
        <x:v>EXT-MONDE-T059-V16</x:v>
      </x:c>
      <x:c r="B2921" s="115" t="str">
        <x:v>EXT-MONDE-T059</x:v>
      </x:c>
      <x:c r="C2921" s="115" t="str">
        <x:v>Énergie</x:v>
      </x:c>
      <x:c r="D2921" s="115" t="str">
        <x:v>Poste électrique régional</x:v>
      </x:c>
      <x:c r="E2921" s="115" t="n">
        <x:v>16</x:v>
      </x:c>
      <x:c r="F2921" s="115" t="str">
        <x:v>Inspection physique</x:v>
      </x:c>
      <x:c r="G2921" s="115" t="str">
        <x:v>1 niveaux ; 22 pièces ; 167 segments de mur ; 0 transitions. Inspection physique ; architecture complète encore ouverte.</x:v>
      </x:c>
      <x:c r="H2921" s="115" t="str">
        <x:v>L 448 ; l 460 ; hauteur 6 m ; choix de composition auteur ; dimensions réelles à documenter</x:v>
      </x:c>
      <x:c r="I2921" s="115" t="str">
        <x:v>À équilibrer</x:v>
      </x:c>
      <x:c r="J2921" s="115" t="str">
        <x:v>Non</x:v>
      </x:c>
      <x:c r="K2921" s="115" t="str">
        <x:v>Pièces décrites, murs, portes, niveaux et mobilier inspectables à l’échelle. Volumes réservés, raccord au seed, butin, rencontres et services de campagne restent à terminer.</x:v>
      </x:c>
    </x:row>
    <x:row r="2922" ht="96" customHeight="1">
      <x:c r="A2922" s="115" t="str">
        <x:v>EXT-MONDE-T059-V17</x:v>
      </x:c>
      <x:c r="B2922" s="115" t="str">
        <x:v>EXT-MONDE-T059</x:v>
      </x:c>
      <x:c r="C2922" s="115" t="str">
        <x:v>Énergie</x:v>
      </x:c>
      <x:c r="D2922" s="115" t="str">
        <x:v>Poste électrique régional</x:v>
      </x:c>
      <x:c r="E2922" s="115" t="n">
        <x:v>17</x:v>
      </x:c>
      <x:c r="F2922" s="115" t="str">
        <x:v>Inspection physique</x:v>
      </x:c>
      <x:c r="G2922" s="115" t="str">
        <x:v>1 niveaux ; 22 pièces ; 167 segments de mur ; 0 transitions. Inspection physique ; architecture complète encore ouverte.</x:v>
      </x:c>
      <x:c r="H2922" s="115" t="str">
        <x:v>L 448 ; l 460 ; hauteur 6 m ; choix de composition auteur ; dimensions réelles à documenter</x:v>
      </x:c>
      <x:c r="I2922" s="115" t="str">
        <x:v>À équilibrer</x:v>
      </x:c>
      <x:c r="J2922" s="115" t="str">
        <x:v>Non</x:v>
      </x:c>
      <x:c r="K2922" s="115" t="str">
        <x:v>Pièces décrites, murs, portes, niveaux et mobilier inspectables à l’échelle. Volumes réservés, raccord au seed, butin, rencontres et services de campagne restent à terminer.</x:v>
      </x:c>
    </x:row>
    <x:row r="2923" ht="96" customHeight="1">
      <x:c r="A2923" s="115" t="str">
        <x:v>EXT-MONDE-T059-V18</x:v>
      </x:c>
      <x:c r="B2923" s="115" t="str">
        <x:v>EXT-MONDE-T059</x:v>
      </x:c>
      <x:c r="C2923" s="115" t="str">
        <x:v>Énergie</x:v>
      </x:c>
      <x:c r="D2923" s="115" t="str">
        <x:v>Poste électrique régional</x:v>
      </x:c>
      <x:c r="E2923" s="115" t="n">
        <x:v>18</x:v>
      </x:c>
      <x:c r="F2923" s="115" t="str">
        <x:v>Inspection physique</x:v>
      </x:c>
      <x:c r="G2923" s="115" t="str">
        <x:v>1 niveaux ; 22 pièces ; 167 segments de mur ; 0 transitions. Inspection physique ; architecture complète encore ouverte.</x:v>
      </x:c>
      <x:c r="H2923" s="115" t="str">
        <x:v>L 448 ; l 460 ; hauteur 6 m ; choix de composition auteur ; dimensions réelles à documenter</x:v>
      </x:c>
      <x:c r="I2923" s="115" t="str">
        <x:v>À équilibrer</x:v>
      </x:c>
      <x:c r="J2923" s="115" t="str">
        <x:v>Non</x:v>
      </x:c>
      <x:c r="K2923" s="115" t="str">
        <x:v>Pièces décrites, murs, portes, niveaux et mobilier inspectables à l’échelle. Volumes réservés, raccord au seed, butin, rencontres et services de campagne restent à terminer.</x:v>
      </x:c>
    </x:row>
    <x:row r="2924" ht="96" customHeight="1">
      <x:c r="A2924" s="115" t="str">
        <x:v>EXT-MONDE-T059-V19</x:v>
      </x:c>
      <x:c r="B2924" s="115" t="str">
        <x:v>EXT-MONDE-T059</x:v>
      </x:c>
      <x:c r="C2924" s="115" t="str">
        <x:v>Énergie</x:v>
      </x:c>
      <x:c r="D2924" s="115" t="str">
        <x:v>Poste électrique régional</x:v>
      </x:c>
      <x:c r="E2924" s="115" t="n">
        <x:v>19</x:v>
      </x:c>
      <x:c r="F2924" s="115" t="str">
        <x:v>Inspection physique</x:v>
      </x:c>
      <x:c r="G2924" s="115" t="str">
        <x:v>1 niveaux ; 22 pièces ; 167 segments de mur ; 0 transitions. Inspection physique ; architecture complète encore ouverte.</x:v>
      </x:c>
      <x:c r="H2924" s="115" t="str">
        <x:v>L 448 ; l 460 ; hauteur 6 m ; choix de composition auteur ; dimensions réelles à documenter</x:v>
      </x:c>
      <x:c r="I2924" s="115" t="str">
        <x:v>À équilibrer</x:v>
      </x:c>
      <x:c r="J2924" s="115" t="str">
        <x:v>Non</x:v>
      </x:c>
      <x:c r="K2924" s="115" t="str">
        <x:v>Pièces décrites, murs, portes, niveaux et mobilier inspectables à l’échelle. Volumes réservés, raccord au seed, butin, rencontres et services de campagne restent à terminer.</x:v>
      </x:c>
    </x:row>
    <x:row r="2925" ht="96" customHeight="1">
      <x:c r="A2925" s="115" t="str">
        <x:v>EXT-MONDE-T059-V20</x:v>
      </x:c>
      <x:c r="B2925" s="115" t="str">
        <x:v>EXT-MONDE-T059</x:v>
      </x:c>
      <x:c r="C2925" s="115" t="str">
        <x:v>Énergie</x:v>
      </x:c>
      <x:c r="D2925" s="115" t="str">
        <x:v>Poste électrique régional</x:v>
      </x:c>
      <x:c r="E2925" s="115" t="n">
        <x:v>20</x:v>
      </x:c>
      <x:c r="F2925" s="115" t="str">
        <x:v>Inspection physique</x:v>
      </x:c>
      <x:c r="G2925" s="115" t="str">
        <x:v>1 niveaux ; 22 pièces ; 167 segments de mur ; 0 transitions. Inspection physique ; architecture complète encore ouverte.</x:v>
      </x:c>
      <x:c r="H2925" s="115" t="str">
        <x:v>L 448 ; l 460 ; hauteur 6 m ; choix de composition auteur ; dimensions réelles à documenter</x:v>
      </x:c>
      <x:c r="I2925" s="115" t="str">
        <x:v>À équilibrer</x:v>
      </x:c>
      <x:c r="J2925" s="115" t="str">
        <x:v>Non</x:v>
      </x:c>
      <x:c r="K2925" s="115" t="str">
        <x:v>Pièces décrites, murs, portes, niveaux et mobilier inspectables à l’échelle. Volumes réservés, raccord au seed, butin, rencontres et services de campagne restent à terminer.</x:v>
      </x:c>
    </x:row>
    <x:row r="2926" ht="96" customHeight="1">
      <x:c r="A2926" s="115" t="str">
        <x:v>EXT-MONDE-T059-V21</x:v>
      </x:c>
      <x:c r="B2926" s="115" t="str">
        <x:v>EXT-MONDE-T059</x:v>
      </x:c>
      <x:c r="C2926" s="115" t="str">
        <x:v>Énergie</x:v>
      </x:c>
      <x:c r="D2926" s="115" t="str">
        <x:v>Poste électrique régional</x:v>
      </x:c>
      <x:c r="E2926" s="115" t="n">
        <x:v>21</x:v>
      </x:c>
      <x:c r="F2926" s="115" t="str">
        <x:v>Inspection physique</x:v>
      </x:c>
      <x:c r="G2926" s="115" t="str">
        <x:v>1 niveaux ; 22 pièces ; 167 segments de mur ; 0 transitions. Inspection physique ; architecture complète encore ouverte.</x:v>
      </x:c>
      <x:c r="H2926" s="115" t="str">
        <x:v>L 466 ; l 480 ; hauteur 6 m ; choix de composition auteur ; dimensions réelles à documenter</x:v>
      </x:c>
      <x:c r="I2926" s="115" t="str">
        <x:v>À équilibrer</x:v>
      </x:c>
      <x:c r="J2926" s="115" t="str">
        <x:v>Non</x:v>
      </x:c>
      <x:c r="K2926" s="115" t="str">
        <x:v>Pièces décrites, murs, portes, niveaux et mobilier inspectables à l’échelle. Volumes réservés, raccord au seed, butin, rencontres et services de campagne restent à terminer.</x:v>
      </x:c>
    </x:row>
    <x:row r="2927" ht="96" customHeight="1">
      <x:c r="A2927" s="115" t="str">
        <x:v>EXT-MONDE-T059-V22</x:v>
      </x:c>
      <x:c r="B2927" s="115" t="str">
        <x:v>EXT-MONDE-T059</x:v>
      </x:c>
      <x:c r="C2927" s="115" t="str">
        <x:v>Énergie</x:v>
      </x:c>
      <x:c r="D2927" s="115" t="str">
        <x:v>Poste électrique régional</x:v>
      </x:c>
      <x:c r="E2927" s="115" t="n">
        <x:v>22</x:v>
      </x:c>
      <x:c r="F2927" s="115" t="str">
        <x:v>Inspection physique</x:v>
      </x:c>
      <x:c r="G2927" s="115" t="str">
        <x:v>1 niveaux ; 22 pièces ; 167 segments de mur ; 0 transitions. Inspection physique ; architecture complète encore ouverte.</x:v>
      </x:c>
      <x:c r="H2927" s="115" t="str">
        <x:v>L 466 ; l 480 ; hauteur 6 m ; choix de composition auteur ; dimensions réelles à documenter</x:v>
      </x:c>
      <x:c r="I2927" s="115" t="str">
        <x:v>À équilibrer</x:v>
      </x:c>
      <x:c r="J2927" s="115" t="str">
        <x:v>Non</x:v>
      </x:c>
      <x:c r="K2927" s="115" t="str">
        <x:v>Pièces décrites, murs, portes, niveaux et mobilier inspectables à l’échelle. Volumes réservés, raccord au seed, butin, rencontres et services de campagne restent à terminer.</x:v>
      </x:c>
    </x:row>
    <x:row r="2928" ht="96" customHeight="1">
      <x:c r="A2928" s="115" t="str">
        <x:v>EXT-MONDE-T059-V23</x:v>
      </x:c>
      <x:c r="B2928" s="115" t="str">
        <x:v>EXT-MONDE-T059</x:v>
      </x:c>
      <x:c r="C2928" s="115" t="str">
        <x:v>Énergie</x:v>
      </x:c>
      <x:c r="D2928" s="115" t="str">
        <x:v>Poste électrique régional</x:v>
      </x:c>
      <x:c r="E2928" s="115" t="n">
        <x:v>23</x:v>
      </x:c>
      <x:c r="F2928" s="115" t="str">
        <x:v>Inspection physique</x:v>
      </x:c>
      <x:c r="G2928" s="115" t="str">
        <x:v>1 niveaux ; 22 pièces ; 167 segments de mur ; 0 transitions. Inspection physique ; architecture complète encore ouverte.</x:v>
      </x:c>
      <x:c r="H2928" s="115" t="str">
        <x:v>L 466 ; l 480 ; hauteur 6 m ; choix de composition auteur ; dimensions réelles à documenter</x:v>
      </x:c>
      <x:c r="I2928" s="115" t="str">
        <x:v>À équilibrer</x:v>
      </x:c>
      <x:c r="J2928" s="115" t="str">
        <x:v>Non</x:v>
      </x:c>
      <x:c r="K2928" s="115" t="str">
        <x:v>Pièces décrites, murs, portes, niveaux et mobilier inspectables à l’échelle. Volumes réservés, raccord au seed, butin, rencontres et services de campagne restent à terminer.</x:v>
      </x:c>
    </x:row>
    <x:row r="2929" ht="96" customHeight="1">
      <x:c r="A2929" s="115" t="str">
        <x:v>EXT-MONDE-T059-V24</x:v>
      </x:c>
      <x:c r="B2929" s="115" t="str">
        <x:v>EXT-MONDE-T059</x:v>
      </x:c>
      <x:c r="C2929" s="115" t="str">
        <x:v>Énergie</x:v>
      </x:c>
      <x:c r="D2929" s="115" t="str">
        <x:v>Poste électrique régional</x:v>
      </x:c>
      <x:c r="E2929" s="115" t="n">
        <x:v>24</x:v>
      </x:c>
      <x:c r="F2929" s="115" t="str">
        <x:v>Inspection physique</x:v>
      </x:c>
      <x:c r="G2929" s="115" t="str">
        <x:v>1 niveaux ; 22 pièces ; 167 segments de mur ; 0 transitions. Inspection physique ; architecture complète encore ouverte.</x:v>
      </x:c>
      <x:c r="H2929" s="115" t="str">
        <x:v>L 466 ; l 480 ; hauteur 6 m ; choix de composition auteur ; dimensions réelles à documenter</x:v>
      </x:c>
      <x:c r="I2929" s="115" t="str">
        <x:v>À équilibrer</x:v>
      </x:c>
      <x:c r="J2929" s="115" t="str">
        <x:v>Non</x:v>
      </x:c>
      <x:c r="K2929" s="115" t="str">
        <x:v>Pièces décrites, murs, portes, niveaux et mobilier inspectables à l’échelle. Volumes réservés, raccord au seed, butin, rencontres et services de campagne restent à terminer.</x:v>
      </x:c>
    </x:row>
    <x:row r="2930" ht="96" customHeight="1">
      <x:c r="A2930" s="115" t="str">
        <x:v>EXT-MONDE-T059-V25</x:v>
      </x:c>
      <x:c r="B2930" s="115" t="str">
        <x:v>EXT-MONDE-T059</x:v>
      </x:c>
      <x:c r="C2930" s="115" t="str">
        <x:v>Énergie</x:v>
      </x:c>
      <x:c r="D2930" s="115" t="str">
        <x:v>Poste électrique régional</x:v>
      </x:c>
      <x:c r="E2930" s="115" t="n">
        <x:v>25</x:v>
      </x:c>
      <x:c r="F2930" s="115" t="str">
        <x:v>Inspection physique</x:v>
      </x:c>
      <x:c r="G2930" s="115" t="str">
        <x:v>1 niveaux ; 22 pièces ; 167 segments de mur ; 0 transitions. Inspection physique ; architecture complète encore ouverte.</x:v>
      </x:c>
      <x:c r="H2930" s="115" t="str">
        <x:v>L 466 ; l 480 ; hauteur 6 m ; choix de composition auteur ; dimensions réelles à documenter</x:v>
      </x:c>
      <x:c r="I2930" s="115" t="str">
        <x:v>À équilibrer</x:v>
      </x:c>
      <x:c r="J2930" s="115" t="str">
        <x:v>Non</x:v>
      </x:c>
      <x:c r="K2930" s="115" t="str">
        <x:v>Pièces décrites, murs, portes, niveaux et mobilier inspectables à l’échelle. Volumes réservés, raccord au seed, butin, rencontres et services de campagne restent à terminer.</x:v>
      </x:c>
    </x:row>
    <x:row r="2931" ht="96" customHeight="1">
      <x:c r="A2931" s="115" t="str">
        <x:v>EXT-MONDE-T059-V26</x:v>
      </x:c>
      <x:c r="B2931" s="115" t="str">
        <x:v>EXT-MONDE-T059</x:v>
      </x:c>
      <x:c r="C2931" s="115" t="str">
        <x:v>Énergie</x:v>
      </x:c>
      <x:c r="D2931" s="115" t="str">
        <x:v>Poste électrique régional</x:v>
      </x:c>
      <x:c r="E2931" s="115" t="n">
        <x:v>26</x:v>
      </x:c>
      <x:c r="F2931" s="115" t="str">
        <x:v>Inspection physique</x:v>
      </x:c>
      <x:c r="G2931" s="115" t="str">
        <x:v>1 niveaux ; 22 pièces ; 167 segments de mur ; 0 transitions. Inspection physique ; architecture complète encore ouverte.</x:v>
      </x:c>
      <x:c r="H2931" s="115" t="str">
        <x:v>L 466 ; l 480 ; hauteur 6 m ; choix de composition auteur ; dimensions réelles à documenter</x:v>
      </x:c>
      <x:c r="I2931" s="115" t="str">
        <x:v>À équilibrer</x:v>
      </x:c>
      <x:c r="J2931" s="115" t="str">
        <x:v>Non</x:v>
      </x:c>
      <x:c r="K2931" s="115" t="str">
        <x:v>Pièces décrites, murs, portes, niveaux et mobilier inspectables à l’échelle. Volumes réservés, raccord au seed, butin, rencontres et services de campagne restent à terminer.</x:v>
      </x:c>
    </x:row>
    <x:row r="2932" ht="96" customHeight="1">
      <x:c r="A2932" s="115" t="str">
        <x:v>EXT-MONDE-T059-V27</x:v>
      </x:c>
      <x:c r="B2932" s="115" t="str">
        <x:v>EXT-MONDE-T059</x:v>
      </x:c>
      <x:c r="C2932" s="115" t="str">
        <x:v>Énergie</x:v>
      </x:c>
      <x:c r="D2932" s="115" t="str">
        <x:v>Poste électrique régional</x:v>
      </x:c>
      <x:c r="E2932" s="115" t="n">
        <x:v>27</x:v>
      </x:c>
      <x:c r="F2932" s="115" t="str">
        <x:v>Inspection physique</x:v>
      </x:c>
      <x:c r="G2932" s="115" t="str">
        <x:v>1 niveaux ; 22 pièces ; 167 segments de mur ; 0 transitions. Inspection physique ; architecture complète encore ouverte.</x:v>
      </x:c>
      <x:c r="H2932" s="115" t="str">
        <x:v>L 466 ; l 480 ; hauteur 6 m ; choix de composition auteur ; dimensions réelles à documenter</x:v>
      </x:c>
      <x:c r="I2932" s="115" t="str">
        <x:v>À équilibrer</x:v>
      </x:c>
      <x:c r="J2932" s="115" t="str">
        <x:v>Non</x:v>
      </x:c>
      <x:c r="K2932" s="115" t="str">
        <x:v>Pièces décrites, murs, portes, niveaux et mobilier inspectables à l’échelle. Volumes réservés, raccord au seed, butin, rencontres et services de campagne restent à terminer.</x:v>
      </x:c>
    </x:row>
    <x:row r="2933" ht="96" customHeight="1">
      <x:c r="A2933" s="115" t="str">
        <x:v>EXT-MONDE-T059-V28</x:v>
      </x:c>
      <x:c r="B2933" s="115" t="str">
        <x:v>EXT-MONDE-T059</x:v>
      </x:c>
      <x:c r="C2933" s="115" t="str">
        <x:v>Énergie</x:v>
      </x:c>
      <x:c r="D2933" s="115" t="str">
        <x:v>Poste électrique régional</x:v>
      </x:c>
      <x:c r="E2933" s="115" t="n">
        <x:v>28</x:v>
      </x:c>
      <x:c r="F2933" s="115" t="str">
        <x:v>Inspection physique</x:v>
      </x:c>
      <x:c r="G2933" s="115" t="str">
        <x:v>1 niveaux ; 22 pièces ; 167 segments de mur ; 0 transitions. Inspection physique ; architecture complète encore ouverte.</x:v>
      </x:c>
      <x:c r="H2933" s="115" t="str">
        <x:v>L 466 ; l 480 ; hauteur 6 m ; choix de composition auteur ; dimensions réelles à documenter</x:v>
      </x:c>
      <x:c r="I2933" s="115" t="str">
        <x:v>À équilibrer</x:v>
      </x:c>
      <x:c r="J2933" s="115" t="str">
        <x:v>Non</x:v>
      </x:c>
      <x:c r="K2933" s="115" t="str">
        <x:v>Pièces décrites, murs, portes, niveaux et mobilier inspectables à l’échelle. Volumes réservés, raccord au seed, butin, rencontres et services de campagne restent à terminer.</x:v>
      </x:c>
    </x:row>
    <x:row r="2934" ht="96" customHeight="1">
      <x:c r="A2934" s="115" t="str">
        <x:v>EXT-MONDE-T059-V29</x:v>
      </x:c>
      <x:c r="B2934" s="115" t="str">
        <x:v>EXT-MONDE-T059</x:v>
      </x:c>
      <x:c r="C2934" s="115" t="str">
        <x:v>Énergie</x:v>
      </x:c>
      <x:c r="D2934" s="115" t="str">
        <x:v>Poste électrique régional</x:v>
      </x:c>
      <x:c r="E2934" s="115" t="n">
        <x:v>29</x:v>
      </x:c>
      <x:c r="F2934" s="115" t="str">
        <x:v>Inspection physique</x:v>
      </x:c>
      <x:c r="G2934" s="115" t="str">
        <x:v>1 niveaux ; 22 pièces ; 167 segments de mur ; 0 transitions. Inspection physique ; architecture complète encore ouverte.</x:v>
      </x:c>
      <x:c r="H2934" s="115" t="str">
        <x:v>L 466 ; l 480 ; hauteur 6 m ; choix de composition auteur ; dimensions réelles à documenter</x:v>
      </x:c>
      <x:c r="I2934" s="115" t="str">
        <x:v>À équilibrer</x:v>
      </x:c>
      <x:c r="J2934" s="115" t="str">
        <x:v>Non</x:v>
      </x:c>
      <x:c r="K2934" s="115" t="str">
        <x:v>Pièces décrites, murs, portes, niveaux et mobilier inspectables à l’échelle. Volumes réservés, raccord au seed, butin, rencontres et services de campagne restent à terminer.</x:v>
      </x:c>
    </x:row>
    <x:row r="2935" ht="96" customHeight="1">
      <x:c r="A2935" s="115" t="str">
        <x:v>EXT-MONDE-T059-V30</x:v>
      </x:c>
      <x:c r="B2935" s="115" t="str">
        <x:v>EXT-MONDE-T059</x:v>
      </x:c>
      <x:c r="C2935" s="115" t="str">
        <x:v>Énergie</x:v>
      </x:c>
      <x:c r="D2935" s="115" t="str">
        <x:v>Poste électrique régional</x:v>
      </x:c>
      <x:c r="E2935" s="115" t="n">
        <x:v>30</x:v>
      </x:c>
      <x:c r="F2935" s="115" t="str">
        <x:v>Inspection physique</x:v>
      </x:c>
      <x:c r="G2935" s="115" t="str">
        <x:v>1 niveaux ; 22 pièces ; 167 segments de mur ; 0 transitions. Inspection physique ; architecture complète encore ouverte.</x:v>
      </x:c>
      <x:c r="H2935" s="115" t="str">
        <x:v>L 466 ; l 480 ; hauteur 6 m ; choix de composition auteur ; dimensions réelles à documenter</x:v>
      </x:c>
      <x:c r="I2935" s="115" t="str">
        <x:v>À équilibrer</x:v>
      </x:c>
      <x:c r="J2935" s="115" t="str">
        <x:v>Non</x:v>
      </x:c>
      <x:c r="K2935" s="115" t="str">
        <x:v>Pièces décrites, murs, portes, niveaux et mobilier inspectables à l’échelle. Volumes réservés, raccord au seed, butin, rencontres et services de campagne restent à terminer.</x:v>
      </x:c>
    </x:row>
    <x:row r="2936" ht="96" customHeight="1">
      <x:c r="A2936" s="115" t="str">
        <x:v>EXT-MONDE-T059-V31</x:v>
      </x:c>
      <x:c r="B2936" s="115" t="str">
        <x:v>EXT-MONDE-T059</x:v>
      </x:c>
      <x:c r="C2936" s="115" t="str">
        <x:v>Énergie</x:v>
      </x:c>
      <x:c r="D2936" s="115" t="str">
        <x:v>Poste électrique régional</x:v>
      </x:c>
      <x:c r="E2936" s="115" t="n">
        <x:v>31</x:v>
      </x:c>
      <x:c r="F2936" s="115" t="str">
        <x:v>Inspection physique</x:v>
      </x:c>
      <x:c r="G2936" s="115" t="str">
        <x:v>1 niveaux ; 22 pièces ; 167 segments de mur ; 0 transitions. Inspection physique ; architecture complète encore ouverte.</x:v>
      </x:c>
      <x:c r="H2936" s="115" t="str">
        <x:v>L 484 ; l 500 ; hauteur 6 m ; choix de composition auteur ; dimensions réelles à documenter</x:v>
      </x:c>
      <x:c r="I2936" s="115" t="str">
        <x:v>À équilibrer</x:v>
      </x:c>
      <x:c r="J2936" s="115" t="str">
        <x:v>Non</x:v>
      </x:c>
      <x:c r="K2936" s="115" t="str">
        <x:v>Pièces décrites, murs, portes, niveaux et mobilier inspectables à l’échelle. Volumes réservés, raccord au seed, butin, rencontres et services de campagne restent à terminer.</x:v>
      </x:c>
    </x:row>
    <x:row r="2937" ht="96" customHeight="1">
      <x:c r="A2937" s="115" t="str">
        <x:v>EXT-MONDE-T059-V32</x:v>
      </x:c>
      <x:c r="B2937" s="115" t="str">
        <x:v>EXT-MONDE-T059</x:v>
      </x:c>
      <x:c r="C2937" s="115" t="str">
        <x:v>Énergie</x:v>
      </x:c>
      <x:c r="D2937" s="115" t="str">
        <x:v>Poste électrique régional</x:v>
      </x:c>
      <x:c r="E2937" s="115" t="n">
        <x:v>32</x:v>
      </x:c>
      <x:c r="F2937" s="115" t="str">
        <x:v>Inspection physique</x:v>
      </x:c>
      <x:c r="G2937" s="115" t="str">
        <x:v>1 niveaux ; 22 pièces ; 167 segments de mur ; 0 transitions. Inspection physique ; architecture complète encore ouverte.</x:v>
      </x:c>
      <x:c r="H2937" s="115" t="str">
        <x:v>L 484 ; l 500 ; hauteur 6 m ; choix de composition auteur ; dimensions réelles à documenter</x:v>
      </x:c>
      <x:c r="I2937" s="115" t="str">
        <x:v>À équilibrer</x:v>
      </x:c>
      <x:c r="J2937" s="115" t="str">
        <x:v>Non</x:v>
      </x:c>
      <x:c r="K2937" s="115" t="str">
        <x:v>Pièces décrites, murs, portes, niveaux et mobilier inspectables à l’échelle. Volumes réservés, raccord au seed, butin, rencontres et services de campagne restent à terminer.</x:v>
      </x:c>
    </x:row>
    <x:row r="2938" ht="96" customHeight="1">
      <x:c r="A2938" s="115" t="str">
        <x:v>EXT-MONDE-T059-V33</x:v>
      </x:c>
      <x:c r="B2938" s="115" t="str">
        <x:v>EXT-MONDE-T059</x:v>
      </x:c>
      <x:c r="C2938" s="115" t="str">
        <x:v>Énergie</x:v>
      </x:c>
      <x:c r="D2938" s="115" t="str">
        <x:v>Poste électrique régional</x:v>
      </x:c>
      <x:c r="E2938" s="115" t="n">
        <x:v>33</x:v>
      </x:c>
      <x:c r="F2938" s="115" t="str">
        <x:v>Inspection physique</x:v>
      </x:c>
      <x:c r="G2938" s="115" t="str">
        <x:v>1 niveaux ; 22 pièces ; 167 segments de mur ; 0 transitions. Inspection physique ; architecture complète encore ouverte.</x:v>
      </x:c>
      <x:c r="H2938" s="115" t="str">
        <x:v>L 484 ; l 500 ; hauteur 6 m ; choix de composition auteur ; dimensions réelles à documenter</x:v>
      </x:c>
      <x:c r="I2938" s="115" t="str">
        <x:v>À équilibrer</x:v>
      </x:c>
      <x:c r="J2938" s="115" t="str">
        <x:v>Non</x:v>
      </x:c>
      <x:c r="K2938" s="115" t="str">
        <x:v>Pièces décrites, murs, portes, niveaux et mobilier inspectables à l’échelle. Volumes réservés, raccord au seed, butin, rencontres et services de campagne restent à terminer.</x:v>
      </x:c>
    </x:row>
    <x:row r="2939" ht="96" customHeight="1">
      <x:c r="A2939" s="115" t="str">
        <x:v>EXT-MONDE-T059-V34</x:v>
      </x:c>
      <x:c r="B2939" s="115" t="str">
        <x:v>EXT-MONDE-T059</x:v>
      </x:c>
      <x:c r="C2939" s="115" t="str">
        <x:v>Énergie</x:v>
      </x:c>
      <x:c r="D2939" s="115" t="str">
        <x:v>Poste électrique régional</x:v>
      </x:c>
      <x:c r="E2939" s="115" t="n">
        <x:v>34</x:v>
      </x:c>
      <x:c r="F2939" s="115" t="str">
        <x:v>Inspection physique</x:v>
      </x:c>
      <x:c r="G2939" s="115" t="str">
        <x:v>1 niveaux ; 22 pièces ; 167 segments de mur ; 0 transitions. Inspection physique ; architecture complète encore ouverte.</x:v>
      </x:c>
      <x:c r="H2939" s="115" t="str">
        <x:v>L 484 ; l 500 ; hauteur 6 m ; choix de composition auteur ; dimensions réelles à documenter</x:v>
      </x:c>
      <x:c r="I2939" s="115" t="str">
        <x:v>À équilibrer</x:v>
      </x:c>
      <x:c r="J2939" s="115" t="str">
        <x:v>Non</x:v>
      </x:c>
      <x:c r="K2939" s="115" t="str">
        <x:v>Pièces décrites, murs, portes, niveaux et mobilier inspectables à l’échelle. Volumes réservés, raccord au seed, butin, rencontres et services de campagne restent à terminer.</x:v>
      </x:c>
    </x:row>
    <x:row r="2940" ht="96" customHeight="1">
      <x:c r="A2940" s="115" t="str">
        <x:v>EXT-MONDE-T059-V35</x:v>
      </x:c>
      <x:c r="B2940" s="115" t="str">
        <x:v>EXT-MONDE-T059</x:v>
      </x:c>
      <x:c r="C2940" s="115" t="str">
        <x:v>Énergie</x:v>
      </x:c>
      <x:c r="D2940" s="115" t="str">
        <x:v>Poste électrique régional</x:v>
      </x:c>
      <x:c r="E2940" s="115" t="n">
        <x:v>35</x:v>
      </x:c>
      <x:c r="F2940" s="115" t="str">
        <x:v>Inspection physique</x:v>
      </x:c>
      <x:c r="G2940" s="115" t="str">
        <x:v>1 niveaux ; 22 pièces ; 167 segments de mur ; 0 transitions. Inspection physique ; architecture complète encore ouverte.</x:v>
      </x:c>
      <x:c r="H2940" s="115" t="str">
        <x:v>L 484 ; l 500 ; hauteur 6 m ; choix de composition auteur ; dimensions réelles à documenter</x:v>
      </x:c>
      <x:c r="I2940" s="115" t="str">
        <x:v>À équilibrer</x:v>
      </x:c>
      <x:c r="J2940" s="115" t="str">
        <x:v>Non</x:v>
      </x:c>
      <x:c r="K2940" s="115" t="str">
        <x:v>Pièces décrites, murs, portes, niveaux et mobilier inspectables à l’échelle. Volumes réservés, raccord au seed, butin, rencontres et services de campagne restent à terminer.</x:v>
      </x:c>
    </x:row>
    <x:row r="2941" ht="96" customHeight="1">
      <x:c r="A2941" s="115" t="str">
        <x:v>EXT-MONDE-T059-V36</x:v>
      </x:c>
      <x:c r="B2941" s="115" t="str">
        <x:v>EXT-MONDE-T059</x:v>
      </x:c>
      <x:c r="C2941" s="115" t="str">
        <x:v>Énergie</x:v>
      </x:c>
      <x:c r="D2941" s="115" t="str">
        <x:v>Poste électrique régional</x:v>
      </x:c>
      <x:c r="E2941" s="115" t="n">
        <x:v>36</x:v>
      </x:c>
      <x:c r="F2941" s="115" t="str">
        <x:v>Inspection physique</x:v>
      </x:c>
      <x:c r="G2941" s="115" t="str">
        <x:v>1 niveaux ; 22 pièces ; 167 segments de mur ; 0 transitions. Inspection physique ; architecture complète encore ouverte.</x:v>
      </x:c>
      <x:c r="H2941" s="115" t="str">
        <x:v>L 484 ; l 500 ; hauteur 6 m ; choix de composition auteur ; dimensions réelles à documenter</x:v>
      </x:c>
      <x:c r="I2941" s="115" t="str">
        <x:v>À équilibrer</x:v>
      </x:c>
      <x:c r="J2941" s="115" t="str">
        <x:v>Non</x:v>
      </x:c>
      <x:c r="K2941" s="115" t="str">
        <x:v>Pièces décrites, murs, portes, niveaux et mobilier inspectables à l’échelle. Volumes réservés, raccord au seed, butin, rencontres et services de campagne restent à terminer.</x:v>
      </x:c>
    </x:row>
    <x:row r="2942" ht="96" customHeight="1">
      <x:c r="A2942" s="115" t="str">
        <x:v>EXT-MONDE-T059-V37</x:v>
      </x:c>
      <x:c r="B2942" s="115" t="str">
        <x:v>EXT-MONDE-T059</x:v>
      </x:c>
      <x:c r="C2942" s="115" t="str">
        <x:v>Énergie</x:v>
      </x:c>
      <x:c r="D2942" s="115" t="str">
        <x:v>Poste électrique régional</x:v>
      </x:c>
      <x:c r="E2942" s="115" t="n">
        <x:v>37</x:v>
      </x:c>
      <x:c r="F2942" s="115" t="str">
        <x:v>Inspection physique</x:v>
      </x:c>
      <x:c r="G2942" s="115" t="str">
        <x:v>1 niveaux ; 22 pièces ; 167 segments de mur ; 0 transitions. Inspection physique ; architecture complète encore ouverte.</x:v>
      </x:c>
      <x:c r="H2942" s="115" t="str">
        <x:v>L 484 ; l 500 ; hauteur 6 m ; choix de composition auteur ; dimensions réelles à documenter</x:v>
      </x:c>
      <x:c r="I2942" s="115" t="str">
        <x:v>À équilibrer</x:v>
      </x:c>
      <x:c r="J2942" s="115" t="str">
        <x:v>Non</x:v>
      </x:c>
      <x:c r="K2942" s="115" t="str">
        <x:v>Pièces décrites, murs, portes, niveaux et mobilier inspectables à l’échelle. Volumes réservés, raccord au seed, butin, rencontres et services de campagne restent à terminer.</x:v>
      </x:c>
    </x:row>
    <x:row r="2943" ht="96" customHeight="1">
      <x:c r="A2943" s="115" t="str">
        <x:v>EXT-MONDE-T059-V38</x:v>
      </x:c>
      <x:c r="B2943" s="115" t="str">
        <x:v>EXT-MONDE-T059</x:v>
      </x:c>
      <x:c r="C2943" s="115" t="str">
        <x:v>Énergie</x:v>
      </x:c>
      <x:c r="D2943" s="115" t="str">
        <x:v>Poste électrique régional</x:v>
      </x:c>
      <x:c r="E2943" s="115" t="n">
        <x:v>38</x:v>
      </x:c>
      <x:c r="F2943" s="115" t="str">
        <x:v>Inspection physique</x:v>
      </x:c>
      <x:c r="G2943" s="115" t="str">
        <x:v>1 niveaux ; 22 pièces ; 167 segments de mur ; 0 transitions. Inspection physique ; architecture complète encore ouverte.</x:v>
      </x:c>
      <x:c r="H2943" s="115" t="str">
        <x:v>L 484 ; l 500 ; hauteur 6 m ; choix de composition auteur ; dimensions réelles à documenter</x:v>
      </x:c>
      <x:c r="I2943" s="115" t="str">
        <x:v>À équilibrer</x:v>
      </x:c>
      <x:c r="J2943" s="115" t="str">
        <x:v>Non</x:v>
      </x:c>
      <x:c r="K2943" s="115" t="str">
        <x:v>Pièces décrites, murs, portes, niveaux et mobilier inspectables à l’échelle. Volumes réservés, raccord au seed, butin, rencontres et services de campagne restent à terminer.</x:v>
      </x:c>
    </x:row>
    <x:row r="2944" ht="96" customHeight="1">
      <x:c r="A2944" s="115" t="str">
        <x:v>EXT-MONDE-T059-V39</x:v>
      </x:c>
      <x:c r="B2944" s="115" t="str">
        <x:v>EXT-MONDE-T059</x:v>
      </x:c>
      <x:c r="C2944" s="115" t="str">
        <x:v>Énergie</x:v>
      </x:c>
      <x:c r="D2944" s="115" t="str">
        <x:v>Poste électrique régional</x:v>
      </x:c>
      <x:c r="E2944" s="115" t="n">
        <x:v>39</x:v>
      </x:c>
      <x:c r="F2944" s="115" t="str">
        <x:v>Inspection physique</x:v>
      </x:c>
      <x:c r="G2944" s="115" t="str">
        <x:v>1 niveaux ; 22 pièces ; 167 segments de mur ; 0 transitions. Inspection physique ; architecture complète encore ouverte.</x:v>
      </x:c>
      <x:c r="H2944" s="115" t="str">
        <x:v>L 484 ; l 500 ; hauteur 6 m ; choix de composition auteur ; dimensions réelles à documenter</x:v>
      </x:c>
      <x:c r="I2944" s="115" t="str">
        <x:v>À équilibrer</x:v>
      </x:c>
      <x:c r="J2944" s="115" t="str">
        <x:v>Non</x:v>
      </x:c>
      <x:c r="K2944" s="115" t="str">
        <x:v>Pièces décrites, murs, portes, niveaux et mobilier inspectables à l’échelle. Volumes réservés, raccord au seed, butin, rencontres et services de campagne restent à terminer.</x:v>
      </x:c>
    </x:row>
    <x:row r="2945" ht="96" customHeight="1">
      <x:c r="A2945" s="115" t="str">
        <x:v>EXT-MONDE-T059-V40</x:v>
      </x:c>
      <x:c r="B2945" s="115" t="str">
        <x:v>EXT-MONDE-T059</x:v>
      </x:c>
      <x:c r="C2945" s="115" t="str">
        <x:v>Énergie</x:v>
      </x:c>
      <x:c r="D2945" s="115" t="str">
        <x:v>Poste électrique régional</x:v>
      </x:c>
      <x:c r="E2945" s="115" t="n">
        <x:v>40</x:v>
      </x:c>
      <x:c r="F2945" s="115" t="str">
        <x:v>Inspection physique</x:v>
      </x:c>
      <x:c r="G2945" s="115" t="str">
        <x:v>1 niveaux ; 22 pièces ; 167 segments de mur ; 0 transitions. Inspection physique ; architecture complète encore ouverte.</x:v>
      </x:c>
      <x:c r="H2945" s="115" t="str">
        <x:v>L 484 ; l 500 ; hauteur 6 m ; choix de composition auteur ; dimensions réelles à documenter</x:v>
      </x:c>
      <x:c r="I2945" s="115" t="str">
        <x:v>À équilibrer</x:v>
      </x:c>
      <x:c r="J2945" s="115" t="str">
        <x:v>Non</x:v>
      </x:c>
      <x:c r="K2945" s="115" t="str">
        <x:v>Pièces décrites, murs, portes, niveaux et mobilier inspectables à l’échelle. Volumes réservés, raccord au seed, butin, rencontres et services de campagne restent à terminer.</x:v>
      </x:c>
    </x:row>
    <x:row r="2946" ht="96" customHeight="1">
      <x:c r="A2946" s="115" t="str">
        <x:v>EXT-MONDE-T059-V41</x:v>
      </x:c>
      <x:c r="B2946" s="115" t="str">
        <x:v>EXT-MONDE-T059</x:v>
      </x:c>
      <x:c r="C2946" s="115" t="str">
        <x:v>Énergie</x:v>
      </x:c>
      <x:c r="D2946" s="115" t="str">
        <x:v>Poste électrique régional</x:v>
      </x:c>
      <x:c r="E2946" s="115" t="n">
        <x:v>41</x:v>
      </x:c>
      <x:c r="F2946" s="115" t="str">
        <x:v>Inspection physique</x:v>
      </x:c>
      <x:c r="G2946" s="115" t="str">
        <x:v>1 niveaux ; 22 pièces ; 167 segments de mur ; 0 transitions. Inspection physique ; architecture complète encore ouverte.</x:v>
      </x:c>
      <x:c r="H2946" s="115" t="str">
        <x:v>L 502 ; l 520 ; hauteur 6 m ; choix de composition auteur ; dimensions réelles à documenter</x:v>
      </x:c>
      <x:c r="I2946" s="115" t="str">
        <x:v>À équilibrer</x:v>
      </x:c>
      <x:c r="J2946" s="115" t="str">
        <x:v>Non</x:v>
      </x:c>
      <x:c r="K2946" s="115" t="str">
        <x:v>Pièces décrites, murs, portes, niveaux et mobilier inspectables à l’échelle. Volumes réservés, raccord au seed, butin, rencontres et services de campagne restent à terminer.</x:v>
      </x:c>
    </x:row>
    <x:row r="2947" ht="96" customHeight="1">
      <x:c r="A2947" s="115" t="str">
        <x:v>EXT-MONDE-T059-V42</x:v>
      </x:c>
      <x:c r="B2947" s="115" t="str">
        <x:v>EXT-MONDE-T059</x:v>
      </x:c>
      <x:c r="C2947" s="115" t="str">
        <x:v>Énergie</x:v>
      </x:c>
      <x:c r="D2947" s="115" t="str">
        <x:v>Poste électrique régional</x:v>
      </x:c>
      <x:c r="E2947" s="115" t="n">
        <x:v>42</x:v>
      </x:c>
      <x:c r="F2947" s="115" t="str">
        <x:v>Inspection physique</x:v>
      </x:c>
      <x:c r="G2947" s="115" t="str">
        <x:v>1 niveaux ; 22 pièces ; 167 segments de mur ; 0 transitions. Inspection physique ; architecture complète encore ouverte.</x:v>
      </x:c>
      <x:c r="H2947" s="115" t="str">
        <x:v>L 502 ; l 520 ; hauteur 6 m ; choix de composition auteur ; dimensions réelles à documenter</x:v>
      </x:c>
      <x:c r="I2947" s="115" t="str">
        <x:v>À équilibrer</x:v>
      </x:c>
      <x:c r="J2947" s="115" t="str">
        <x:v>Non</x:v>
      </x:c>
      <x:c r="K2947" s="115" t="str">
        <x:v>Pièces décrites, murs, portes, niveaux et mobilier inspectables à l’échelle. Volumes réservés, raccord au seed, butin, rencontres et services de campagne restent à terminer.</x:v>
      </x:c>
    </x:row>
    <x:row r="2948" ht="96" customHeight="1">
      <x:c r="A2948" s="115" t="str">
        <x:v>EXT-MONDE-T059-V43</x:v>
      </x:c>
      <x:c r="B2948" s="115" t="str">
        <x:v>EXT-MONDE-T059</x:v>
      </x:c>
      <x:c r="C2948" s="115" t="str">
        <x:v>Énergie</x:v>
      </x:c>
      <x:c r="D2948" s="115" t="str">
        <x:v>Poste électrique régional</x:v>
      </x:c>
      <x:c r="E2948" s="115" t="n">
        <x:v>43</x:v>
      </x:c>
      <x:c r="F2948" s="115" t="str">
        <x:v>Inspection physique</x:v>
      </x:c>
      <x:c r="G2948" s="115" t="str">
        <x:v>1 niveaux ; 22 pièces ; 167 segments de mur ; 0 transitions. Inspection physique ; architecture complète encore ouverte.</x:v>
      </x:c>
      <x:c r="H2948" s="115" t="str">
        <x:v>L 502 ; l 520 ; hauteur 6 m ; choix de composition auteur ; dimensions réelles à documenter</x:v>
      </x:c>
      <x:c r="I2948" s="115" t="str">
        <x:v>À équilibrer</x:v>
      </x:c>
      <x:c r="J2948" s="115" t="str">
        <x:v>Non</x:v>
      </x:c>
      <x:c r="K2948" s="115" t="str">
        <x:v>Pièces décrites, murs, portes, niveaux et mobilier inspectables à l’échelle. Volumes réservés, raccord au seed, butin, rencontres et services de campagne restent à terminer.</x:v>
      </x:c>
    </x:row>
    <x:row r="2949" ht="96" customHeight="1">
      <x:c r="A2949" s="115" t="str">
        <x:v>EXT-MONDE-T059-V44</x:v>
      </x:c>
      <x:c r="B2949" s="115" t="str">
        <x:v>EXT-MONDE-T059</x:v>
      </x:c>
      <x:c r="C2949" s="115" t="str">
        <x:v>Énergie</x:v>
      </x:c>
      <x:c r="D2949" s="115" t="str">
        <x:v>Poste électrique régional</x:v>
      </x:c>
      <x:c r="E2949" s="115" t="n">
        <x:v>44</x:v>
      </x:c>
      <x:c r="F2949" s="115" t="str">
        <x:v>Inspection physique</x:v>
      </x:c>
      <x:c r="G2949" s="115" t="str">
        <x:v>1 niveaux ; 22 pièces ; 167 segments de mur ; 0 transitions. Inspection physique ; architecture complète encore ouverte.</x:v>
      </x:c>
      <x:c r="H2949" s="115" t="str">
        <x:v>L 502 ; l 520 ; hauteur 6 m ; choix de composition auteur ; dimensions réelles à documenter</x:v>
      </x:c>
      <x:c r="I2949" s="115" t="str">
        <x:v>À équilibrer</x:v>
      </x:c>
      <x:c r="J2949" s="115" t="str">
        <x:v>Non</x:v>
      </x:c>
      <x:c r="K2949" s="115" t="str">
        <x:v>Pièces décrites, murs, portes, niveaux et mobilier inspectables à l’échelle. Volumes réservés, raccord au seed, butin, rencontres et services de campagne restent à terminer.</x:v>
      </x:c>
    </x:row>
    <x:row r="2950" ht="96" customHeight="1">
      <x:c r="A2950" s="115" t="str">
        <x:v>EXT-MONDE-T059-V45</x:v>
      </x:c>
      <x:c r="B2950" s="115" t="str">
        <x:v>EXT-MONDE-T059</x:v>
      </x:c>
      <x:c r="C2950" s="115" t="str">
        <x:v>Énergie</x:v>
      </x:c>
      <x:c r="D2950" s="115" t="str">
        <x:v>Poste électrique régional</x:v>
      </x:c>
      <x:c r="E2950" s="115" t="n">
        <x:v>45</x:v>
      </x:c>
      <x:c r="F2950" s="115" t="str">
        <x:v>Inspection physique</x:v>
      </x:c>
      <x:c r="G2950" s="115" t="str">
        <x:v>1 niveaux ; 22 pièces ; 167 segments de mur ; 0 transitions. Inspection physique ; architecture complète encore ouverte.</x:v>
      </x:c>
      <x:c r="H2950" s="115" t="str">
        <x:v>L 502 ; l 520 ; hauteur 6 m ; choix de composition auteur ; dimensions réelles à documenter</x:v>
      </x:c>
      <x:c r="I2950" s="115" t="str">
        <x:v>À équilibrer</x:v>
      </x:c>
      <x:c r="J2950" s="115" t="str">
        <x:v>Non</x:v>
      </x:c>
      <x:c r="K2950" s="115" t="str">
        <x:v>Pièces décrites, murs, portes, niveaux et mobilier inspectables à l’échelle. Volumes réservés, raccord au seed, butin, rencontres et services de campagne restent à terminer.</x:v>
      </x:c>
    </x:row>
    <x:row r="2951" ht="96" customHeight="1">
      <x:c r="A2951" s="115" t="str">
        <x:v>EXT-MONDE-T059-V46</x:v>
      </x:c>
      <x:c r="B2951" s="115" t="str">
        <x:v>EXT-MONDE-T059</x:v>
      </x:c>
      <x:c r="C2951" s="115" t="str">
        <x:v>Énergie</x:v>
      </x:c>
      <x:c r="D2951" s="115" t="str">
        <x:v>Poste électrique régional</x:v>
      </x:c>
      <x:c r="E2951" s="115" t="n">
        <x:v>46</x:v>
      </x:c>
      <x:c r="F2951" s="115" t="str">
        <x:v>Inspection physique</x:v>
      </x:c>
      <x:c r="G2951" s="115" t="str">
        <x:v>1 niveaux ; 22 pièces ; 167 segments de mur ; 0 transitions. Inspection physique ; architecture complète encore ouverte.</x:v>
      </x:c>
      <x:c r="H2951" s="115" t="str">
        <x:v>L 502 ; l 520 ; hauteur 6 m ; choix de composition auteur ; dimensions réelles à documenter</x:v>
      </x:c>
      <x:c r="I2951" s="115" t="str">
        <x:v>À équilibrer</x:v>
      </x:c>
      <x:c r="J2951" s="115" t="str">
        <x:v>Non</x:v>
      </x:c>
      <x:c r="K2951" s="115" t="str">
        <x:v>Pièces décrites, murs, portes, niveaux et mobilier inspectables à l’échelle. Volumes réservés, raccord au seed, butin, rencontres et services de campagne restent à terminer.</x:v>
      </x:c>
    </x:row>
    <x:row r="2952" ht="96" customHeight="1">
      <x:c r="A2952" s="115" t="str">
        <x:v>EXT-MONDE-T059-V47</x:v>
      </x:c>
      <x:c r="B2952" s="115" t="str">
        <x:v>EXT-MONDE-T059</x:v>
      </x:c>
      <x:c r="C2952" s="115" t="str">
        <x:v>Énergie</x:v>
      </x:c>
      <x:c r="D2952" s="115" t="str">
        <x:v>Poste électrique régional</x:v>
      </x:c>
      <x:c r="E2952" s="115" t="n">
        <x:v>47</x:v>
      </x:c>
      <x:c r="F2952" s="115" t="str">
        <x:v>Inspection physique</x:v>
      </x:c>
      <x:c r="G2952" s="115" t="str">
        <x:v>1 niveaux ; 22 pièces ; 167 segments de mur ; 0 transitions. Inspection physique ; architecture complète encore ouverte.</x:v>
      </x:c>
      <x:c r="H2952" s="115" t="str">
        <x:v>L 502 ; l 520 ; hauteur 6 m ; choix de composition auteur ; dimensions réelles à documenter</x:v>
      </x:c>
      <x:c r="I2952" s="115" t="str">
        <x:v>À équilibrer</x:v>
      </x:c>
      <x:c r="J2952" s="115" t="str">
        <x:v>Non</x:v>
      </x:c>
      <x:c r="K2952" s="115" t="str">
        <x:v>Pièces décrites, murs, portes, niveaux et mobilier inspectables à l’échelle. Volumes réservés, raccord au seed, butin, rencontres et services de campagne restent à terminer.</x:v>
      </x:c>
    </x:row>
    <x:row r="2953" ht="96" customHeight="1">
      <x:c r="A2953" s="115" t="str">
        <x:v>EXT-MONDE-T059-V48</x:v>
      </x:c>
      <x:c r="B2953" s="115" t="str">
        <x:v>EXT-MONDE-T059</x:v>
      </x:c>
      <x:c r="C2953" s="115" t="str">
        <x:v>Énergie</x:v>
      </x:c>
      <x:c r="D2953" s="115" t="str">
        <x:v>Poste électrique régional</x:v>
      </x:c>
      <x:c r="E2953" s="115" t="n">
        <x:v>48</x:v>
      </x:c>
      <x:c r="F2953" s="115" t="str">
        <x:v>Inspection physique</x:v>
      </x:c>
      <x:c r="G2953" s="115" t="str">
        <x:v>1 niveaux ; 22 pièces ; 167 segments de mur ; 0 transitions. Inspection physique ; architecture complète encore ouverte.</x:v>
      </x:c>
      <x:c r="H2953" s="115" t="str">
        <x:v>L 502 ; l 520 ; hauteur 6 m ; choix de composition auteur ; dimensions réelles à documenter</x:v>
      </x:c>
      <x:c r="I2953" s="115" t="str">
        <x:v>À équilibrer</x:v>
      </x:c>
      <x:c r="J2953" s="115" t="str">
        <x:v>Non</x:v>
      </x:c>
      <x:c r="K2953" s="115" t="str">
        <x:v>Pièces décrites, murs, portes, niveaux et mobilier inspectables à l’échelle. Volumes réservés, raccord au seed, butin, rencontres et services de campagne restent à terminer.</x:v>
      </x:c>
    </x:row>
    <x:row r="2954" ht="96" customHeight="1">
      <x:c r="A2954" s="115" t="str">
        <x:v>EXT-MONDE-T059-V49</x:v>
      </x:c>
      <x:c r="B2954" s="115" t="str">
        <x:v>EXT-MONDE-T059</x:v>
      </x:c>
      <x:c r="C2954" s="115" t="str">
        <x:v>Énergie</x:v>
      </x:c>
      <x:c r="D2954" s="115" t="str">
        <x:v>Poste électrique régional</x:v>
      </x:c>
      <x:c r="E2954" s="115" t="n">
        <x:v>49</x:v>
      </x:c>
      <x:c r="F2954" s="115" t="str">
        <x:v>Inspection physique</x:v>
      </x:c>
      <x:c r="G2954" s="115" t="str">
        <x:v>1 niveaux ; 22 pièces ; 167 segments de mur ; 0 transitions. Inspection physique ; architecture complète encore ouverte.</x:v>
      </x:c>
      <x:c r="H2954" s="115" t="str">
        <x:v>L 502 ; l 520 ; hauteur 6 m ; choix de composition auteur ; dimensions réelles à documenter</x:v>
      </x:c>
      <x:c r="I2954" s="115" t="str">
        <x:v>À équilibrer</x:v>
      </x:c>
      <x:c r="J2954" s="115" t="str">
        <x:v>Non</x:v>
      </x:c>
      <x:c r="K2954" s="115" t="str">
        <x:v>Pièces décrites, murs, portes, niveaux et mobilier inspectables à l’échelle. Volumes réservés, raccord au seed, butin, rencontres et services de campagne restent à terminer.</x:v>
      </x:c>
    </x:row>
    <x:row r="2955" ht="96" customHeight="1">
      <x:c r="A2955" s="115" t="str">
        <x:v>EXT-MONDE-T059-V50</x:v>
      </x:c>
      <x:c r="B2955" s="115" t="str">
        <x:v>EXT-MONDE-T059</x:v>
      </x:c>
      <x:c r="C2955" s="115" t="str">
        <x:v>Énergie</x:v>
      </x:c>
      <x:c r="D2955" s="115" t="str">
        <x:v>Poste électrique régional</x:v>
      </x:c>
      <x:c r="E2955" s="115" t="n">
        <x:v>50</x:v>
      </x:c>
      <x:c r="F2955" s="115" t="str">
        <x:v>Inspection physique</x:v>
      </x:c>
      <x:c r="G2955" s="115" t="str">
        <x:v>1 niveaux ; 22 pièces ; 167 segments de mur ; 0 transitions. Inspection physique ; architecture complète encore ouverte.</x:v>
      </x:c>
      <x:c r="H2955" s="115" t="str">
        <x:v>L 502 ; l 520 ; hauteur 6 m ; choix de composition auteur ; dimensions réelles à documenter</x:v>
      </x:c>
      <x:c r="I2955" s="115" t="str">
        <x:v>À équilibrer</x:v>
      </x:c>
      <x:c r="J2955" s="115" t="str">
        <x:v>Non</x:v>
      </x:c>
      <x:c r="K2955" s="115" t="str">
        <x:v>Pièces décrites, murs, portes, niveaux et mobilier inspectables à l’échelle. Volumes réservés, raccord au seed, butin, rencontres et services de campagne restent à terminer.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 ht="96" customHeight="1">
      <x:c r="A3006" s="115" t="str">
        <x:v>EXT-MONDE-T061-V01</x:v>
      </x:c>
      <x:c r="B3006" s="115" t="str">
        <x:v>EXT-MONDE-T061</x:v>
      </x:c>
      <x:c r="C3006" s="115" t="str">
        <x:v>Épuration</x:v>
      </x:c>
      <x:c r="D3006" s="115" t="str">
        <x:v>Station d’épuration urbaine</x:v>
      </x:c>
      <x:c r="E3006" s="115" t="n">
        <x:v>1</x:v>
      </x:c>
      <x:c r="F3006" s="115" t="str">
        <x:v>Inspection physique</x:v>
      </x:c>
      <x:c r="G3006" s="115" t="str">
        <x:v>1 niveaux ; 22 pièces ; 167 segments de mur ; 0 transitions. Inspection physique ; architecture complète encore ouverte.</x:v>
      </x:c>
      <x:c r="H3006" s="115" t="str">
        <x:v>L 430 ; l 440 ; hauteur 12 m ; choix de composition auteur ; dimensions réelles à documenter</x:v>
      </x:c>
      <x:c r="I3006" s="115" t="str">
        <x:v>À équilibrer</x:v>
      </x:c>
      <x:c r="J3006" s="115" t="str">
        <x:v>Non</x:v>
      </x:c>
      <x:c r="K3006" s="115" t="str">
        <x:v>Pièces décrites, murs, portes, niveaux et mobilier inspectables à l’échelle. Volumes réservés, raccord au seed, butin, rencontres et services de campagne restent à terminer.</x:v>
      </x:c>
    </x:row>
    <x:row r="3007" ht="96" customHeight="1">
      <x:c r="A3007" s="115" t="str">
        <x:v>EXT-MONDE-T061-V02</x:v>
      </x:c>
      <x:c r="B3007" s="115" t="str">
        <x:v>EXT-MONDE-T061</x:v>
      </x:c>
      <x:c r="C3007" s="115" t="str">
        <x:v>Épuration</x:v>
      </x:c>
      <x:c r="D3007" s="115" t="str">
        <x:v>Station d’épuration urbaine</x:v>
      </x:c>
      <x:c r="E3007" s="115" t="n">
        <x:v>2</x:v>
      </x:c>
      <x:c r="F3007" s="115" t="str">
        <x:v>Inspection physique</x:v>
      </x:c>
      <x:c r="G3007" s="115" t="str">
        <x:v>1 niveaux ; 22 pièces ; 167 segments de mur ; 0 transitions. Inspection physique ; architecture complète encore ouverte.</x:v>
      </x:c>
      <x:c r="H3007" s="115" t="str">
        <x:v>L 430 ; l 440 ; hauteur 12 m ; choix de composition auteur ; dimensions réelles à documenter</x:v>
      </x:c>
      <x:c r="I3007" s="115" t="str">
        <x:v>À équilibrer</x:v>
      </x:c>
      <x:c r="J3007" s="115" t="str">
        <x:v>Non</x:v>
      </x:c>
      <x:c r="K3007" s="115" t="str">
        <x:v>Pièces décrites, murs, portes, niveaux et mobilier inspectables à l’échelle. Volumes réservés, raccord au seed, butin, rencontres et services de campagne restent à terminer.</x:v>
      </x:c>
    </x:row>
    <x:row r="3008" ht="96" customHeight="1">
      <x:c r="A3008" s="115" t="str">
        <x:v>EXT-MONDE-T061-V03</x:v>
      </x:c>
      <x:c r="B3008" s="115" t="str">
        <x:v>EXT-MONDE-T061</x:v>
      </x:c>
      <x:c r="C3008" s="115" t="str">
        <x:v>Épuration</x:v>
      </x:c>
      <x:c r="D3008" s="115" t="str">
        <x:v>Station d’épuration urbaine</x:v>
      </x:c>
      <x:c r="E3008" s="115" t="n">
        <x:v>3</x:v>
      </x:c>
      <x:c r="F3008" s="115" t="str">
        <x:v>Inspection physique</x:v>
      </x:c>
      <x:c r="G3008" s="115" t="str">
        <x:v>1 niveaux ; 22 pièces ; 167 segments de mur ; 0 transitions. Inspection physique ; architecture complète encore ouverte.</x:v>
      </x:c>
      <x:c r="H3008" s="115" t="str">
        <x:v>L 430 ; l 440 ; hauteur 12 m ; choix de composition auteur ; dimensions réelles à documenter</x:v>
      </x:c>
      <x:c r="I3008" s="115" t="str">
        <x:v>À équilibrer</x:v>
      </x:c>
      <x:c r="J3008" s="115" t="str">
        <x:v>Non</x:v>
      </x:c>
      <x:c r="K3008" s="115" t="str">
        <x:v>Pièces décrites, murs, portes, niveaux et mobilier inspectables à l’échelle. Volumes réservés, raccord au seed, butin, rencontres et services de campagne restent à terminer.</x:v>
      </x:c>
    </x:row>
    <x:row r="3009" ht="96" customHeight="1">
      <x:c r="A3009" s="115" t="str">
        <x:v>EXT-MONDE-T061-V04</x:v>
      </x:c>
      <x:c r="B3009" s="115" t="str">
        <x:v>EXT-MONDE-T061</x:v>
      </x:c>
      <x:c r="C3009" s="115" t="str">
        <x:v>Épuration</x:v>
      </x:c>
      <x:c r="D3009" s="115" t="str">
        <x:v>Station d’épuration urbaine</x:v>
      </x:c>
      <x:c r="E3009" s="115" t="n">
        <x:v>4</x:v>
      </x:c>
      <x:c r="F3009" s="115" t="str">
        <x:v>Inspection physique</x:v>
      </x:c>
      <x:c r="G3009" s="115" t="str">
        <x:v>1 niveaux ; 22 pièces ; 167 segments de mur ; 0 transitions. Inspection physique ; architecture complète encore ouverte.</x:v>
      </x:c>
      <x:c r="H3009" s="115" t="str">
        <x:v>L 430 ; l 440 ; hauteur 12 m ; choix de composition auteur ; dimensions réelles à documenter</x:v>
      </x:c>
      <x:c r="I3009" s="115" t="str">
        <x:v>À équilibrer</x:v>
      </x:c>
      <x:c r="J3009" s="115" t="str">
        <x:v>Non</x:v>
      </x:c>
      <x:c r="K3009" s="115" t="str">
        <x:v>Pièces décrites, murs, portes, niveaux et mobilier inspectables à l’échelle. Volumes réservés, raccord au seed, butin, rencontres et services de campagne restent à terminer.</x:v>
      </x:c>
    </x:row>
    <x:row r="3010" ht="96" customHeight="1">
      <x:c r="A3010" s="115" t="str">
        <x:v>EXT-MONDE-T061-V05</x:v>
      </x:c>
      <x:c r="B3010" s="115" t="str">
        <x:v>EXT-MONDE-T061</x:v>
      </x:c>
      <x:c r="C3010" s="115" t="str">
        <x:v>Épuration</x:v>
      </x:c>
      <x:c r="D3010" s="115" t="str">
        <x:v>Station d’épuration urbaine</x:v>
      </x:c>
      <x:c r="E3010" s="115" t="n">
        <x:v>5</x:v>
      </x:c>
      <x:c r="F3010" s="115" t="str">
        <x:v>Inspection physique</x:v>
      </x:c>
      <x:c r="G3010" s="115" t="str">
        <x:v>1 niveaux ; 22 pièces ; 167 segments de mur ; 0 transitions. Inspection physique ; architecture complète encore ouverte.</x:v>
      </x:c>
      <x:c r="H3010" s="115" t="str">
        <x:v>L 430 ; l 440 ; hauteur 12 m ; choix de composition auteur ; dimensions réelles à documenter</x:v>
      </x:c>
      <x:c r="I3010" s="115" t="str">
        <x:v>À équilibrer</x:v>
      </x:c>
      <x:c r="J3010" s="115" t="str">
        <x:v>Non</x:v>
      </x:c>
      <x:c r="K3010" s="115" t="str">
        <x:v>Pièces décrites, murs, portes, niveaux et mobilier inspectables à l’échelle. Volumes réservés, raccord au seed, butin, rencontres et services de campagne restent à terminer.</x:v>
      </x:c>
    </x:row>
    <x:row r="3011" ht="96" customHeight="1">
      <x:c r="A3011" s="115" t="str">
        <x:v>EXT-MONDE-T061-V06</x:v>
      </x:c>
      <x:c r="B3011" s="115" t="str">
        <x:v>EXT-MONDE-T061</x:v>
      </x:c>
      <x:c r="C3011" s="115" t="str">
        <x:v>Épuration</x:v>
      </x:c>
      <x:c r="D3011" s="115" t="str">
        <x:v>Station d’épuration urbaine</x:v>
      </x:c>
      <x:c r="E3011" s="115" t="n">
        <x:v>6</x:v>
      </x:c>
      <x:c r="F3011" s="115" t="str">
        <x:v>Inspection physique</x:v>
      </x:c>
      <x:c r="G3011" s="115" t="str">
        <x:v>1 niveaux ; 22 pièces ; 167 segments de mur ; 0 transitions. Inspection physique ; architecture complète encore ouverte.</x:v>
      </x:c>
      <x:c r="H3011" s="115" t="str">
        <x:v>L 430 ; l 440 ; hauteur 12 m ; choix de composition auteur ; dimensions réelles à documenter</x:v>
      </x:c>
      <x:c r="I3011" s="115" t="str">
        <x:v>À équilibrer</x:v>
      </x:c>
      <x:c r="J3011" s="115" t="str">
        <x:v>Non</x:v>
      </x:c>
      <x:c r="K3011" s="115" t="str">
        <x:v>Pièces décrites, murs, portes, niveaux et mobilier inspectables à l’échelle. Volumes réservés, raccord au seed, butin, rencontres et services de campagne restent à terminer.</x:v>
      </x:c>
    </x:row>
    <x:row r="3012" ht="96" customHeight="1">
      <x:c r="A3012" s="115" t="str">
        <x:v>EXT-MONDE-T061-V07</x:v>
      </x:c>
      <x:c r="B3012" s="115" t="str">
        <x:v>EXT-MONDE-T061</x:v>
      </x:c>
      <x:c r="C3012" s="115" t="str">
        <x:v>Épuration</x:v>
      </x:c>
      <x:c r="D3012" s="115" t="str">
        <x:v>Station d’épuration urbaine</x:v>
      </x:c>
      <x:c r="E3012" s="115" t="n">
        <x:v>7</x:v>
      </x:c>
      <x:c r="F3012" s="115" t="str">
        <x:v>Inspection physique</x:v>
      </x:c>
      <x:c r="G3012" s="115" t="str">
        <x:v>1 niveaux ; 22 pièces ; 167 segments de mur ; 0 transitions. Inspection physique ; architecture complète encore ouverte.</x:v>
      </x:c>
      <x:c r="H3012" s="115" t="str">
        <x:v>L 430 ; l 440 ; hauteur 12 m ; choix de composition auteur ; dimensions réelles à documenter</x:v>
      </x:c>
      <x:c r="I3012" s="115" t="str">
        <x:v>À équilibrer</x:v>
      </x:c>
      <x:c r="J3012" s="115" t="str">
        <x:v>Non</x:v>
      </x:c>
      <x:c r="K3012" s="115" t="str">
        <x:v>Pièces décrites, murs, portes, niveaux et mobilier inspectables à l’échelle. Volumes réservés, raccord au seed, butin, rencontres et services de campagne restent à terminer.</x:v>
      </x:c>
    </x:row>
    <x:row r="3013" ht="96" customHeight="1">
      <x:c r="A3013" s="115" t="str">
        <x:v>EXT-MONDE-T061-V08</x:v>
      </x:c>
      <x:c r="B3013" s="115" t="str">
        <x:v>EXT-MONDE-T061</x:v>
      </x:c>
      <x:c r="C3013" s="115" t="str">
        <x:v>Épuration</x:v>
      </x:c>
      <x:c r="D3013" s="115" t="str">
        <x:v>Station d’épuration urbaine</x:v>
      </x:c>
      <x:c r="E3013" s="115" t="n">
        <x:v>8</x:v>
      </x:c>
      <x:c r="F3013" s="115" t="str">
        <x:v>Inspection physique</x:v>
      </x:c>
      <x:c r="G3013" s="115" t="str">
        <x:v>1 niveaux ; 22 pièces ; 167 segments de mur ; 0 transitions. Inspection physique ; architecture complète encore ouverte.</x:v>
      </x:c>
      <x:c r="H3013" s="115" t="str">
        <x:v>L 430 ; l 440 ; hauteur 12 m ; choix de composition auteur ; dimensions réelles à documenter</x:v>
      </x:c>
      <x:c r="I3013" s="115" t="str">
        <x:v>À équilibrer</x:v>
      </x:c>
      <x:c r="J3013" s="115" t="str">
        <x:v>Non</x:v>
      </x:c>
      <x:c r="K3013" s="115" t="str">
        <x:v>Pièces décrites, murs, portes, niveaux et mobilier inspectables à l’échelle. Volumes réservés, raccord au seed, butin, rencontres et services de campagne restent à terminer.</x:v>
      </x:c>
    </x:row>
    <x:row r="3014" ht="96" customHeight="1">
      <x:c r="A3014" s="115" t="str">
        <x:v>EXT-MONDE-T061-V09</x:v>
      </x:c>
      <x:c r="B3014" s="115" t="str">
        <x:v>EXT-MONDE-T061</x:v>
      </x:c>
      <x:c r="C3014" s="115" t="str">
        <x:v>Épuration</x:v>
      </x:c>
      <x:c r="D3014" s="115" t="str">
        <x:v>Station d’épuration urbaine</x:v>
      </x:c>
      <x:c r="E3014" s="115" t="n">
        <x:v>9</x:v>
      </x:c>
      <x:c r="F3014" s="115" t="str">
        <x:v>Inspection physique</x:v>
      </x:c>
      <x:c r="G3014" s="115" t="str">
        <x:v>1 niveaux ; 22 pièces ; 167 segments de mur ; 0 transitions. Inspection physique ; architecture complète encore ouverte.</x:v>
      </x:c>
      <x:c r="H3014" s="115" t="str">
        <x:v>L 430 ; l 440 ; hauteur 12 m ; choix de composition auteur ; dimensions réelles à documenter</x:v>
      </x:c>
      <x:c r="I3014" s="115" t="str">
        <x:v>À équilibrer</x:v>
      </x:c>
      <x:c r="J3014" s="115" t="str">
        <x:v>Non</x:v>
      </x:c>
      <x:c r="K3014" s="115" t="str">
        <x:v>Pièces décrites, murs, portes, niveaux et mobilier inspectables à l’échelle. Volumes réservés, raccord au seed, butin, rencontres et services de campagne restent à terminer.</x:v>
      </x:c>
    </x:row>
    <x:row r="3015" ht="96" customHeight="1">
      <x:c r="A3015" s="115" t="str">
        <x:v>EXT-MONDE-T061-V10</x:v>
      </x:c>
      <x:c r="B3015" s="115" t="str">
        <x:v>EXT-MONDE-T061</x:v>
      </x:c>
      <x:c r="C3015" s="115" t="str">
        <x:v>Épuration</x:v>
      </x:c>
      <x:c r="D3015" s="115" t="str">
        <x:v>Station d’épuration urbaine</x:v>
      </x:c>
      <x:c r="E3015" s="115" t="n">
        <x:v>10</x:v>
      </x:c>
      <x:c r="F3015" s="115" t="str">
        <x:v>Inspection physique</x:v>
      </x:c>
      <x:c r="G3015" s="115" t="str">
        <x:v>1 niveaux ; 22 pièces ; 167 segments de mur ; 0 transitions. Inspection physique ; architecture complète encore ouverte.</x:v>
      </x:c>
      <x:c r="H3015" s="115" t="str">
        <x:v>L 430 ; l 440 ; hauteur 12 m ; choix de composition auteur ; dimensions réelles à documenter</x:v>
      </x:c>
      <x:c r="I3015" s="115" t="str">
        <x:v>À équilibrer</x:v>
      </x:c>
      <x:c r="J3015" s="115" t="str">
        <x:v>Non</x:v>
      </x:c>
      <x:c r="K3015" s="115" t="str">
        <x:v>Pièces décrites, murs, portes, niveaux et mobilier inspectables à l’échelle. Volumes réservés, raccord au seed, butin, rencontres et services de campagne restent à terminer.</x:v>
      </x:c>
    </x:row>
    <x:row r="3016" ht="96" customHeight="1">
      <x:c r="A3016" s="115" t="str">
        <x:v>EXT-MONDE-T061-V11</x:v>
      </x:c>
      <x:c r="B3016" s="115" t="str">
        <x:v>EXT-MONDE-T061</x:v>
      </x:c>
      <x:c r="C3016" s="115" t="str">
        <x:v>Épuration</x:v>
      </x:c>
      <x:c r="D3016" s="115" t="str">
        <x:v>Station d’épuration urbaine</x:v>
      </x:c>
      <x:c r="E3016" s="115" t="n">
        <x:v>11</x:v>
      </x:c>
      <x:c r="F3016" s="115" t="str">
        <x:v>Inspection physique</x:v>
      </x:c>
      <x:c r="G3016" s="115" t="str">
        <x:v>1 niveaux ; 22 pièces ; 167 segments de mur ; 0 transitions. Inspection physique ; architecture complète encore ouverte.</x:v>
      </x:c>
      <x:c r="H3016" s="115" t="str">
        <x:v>L 448 ; l 460 ; hauteur 12 m ; choix de composition auteur ; dimensions réelles à documenter</x:v>
      </x:c>
      <x:c r="I3016" s="115" t="str">
        <x:v>À équilibrer</x:v>
      </x:c>
      <x:c r="J3016" s="115" t="str">
        <x:v>Non</x:v>
      </x:c>
      <x:c r="K3016" s="115" t="str">
        <x:v>Pièces décrites, murs, portes, niveaux et mobilier inspectables à l’échelle. Volumes réservés, raccord au seed, butin, rencontres et services de campagne restent à terminer.</x:v>
      </x:c>
    </x:row>
    <x:row r="3017" ht="96" customHeight="1">
      <x:c r="A3017" s="115" t="str">
        <x:v>EXT-MONDE-T061-V12</x:v>
      </x:c>
      <x:c r="B3017" s="115" t="str">
        <x:v>EXT-MONDE-T061</x:v>
      </x:c>
      <x:c r="C3017" s="115" t="str">
        <x:v>Épuration</x:v>
      </x:c>
      <x:c r="D3017" s="115" t="str">
        <x:v>Station d’épuration urbaine</x:v>
      </x:c>
      <x:c r="E3017" s="115" t="n">
        <x:v>12</x:v>
      </x:c>
      <x:c r="F3017" s="115" t="str">
        <x:v>Inspection physique</x:v>
      </x:c>
      <x:c r="G3017" s="115" t="str">
        <x:v>1 niveaux ; 22 pièces ; 167 segments de mur ; 0 transitions. Inspection physique ; architecture complète encore ouverte.</x:v>
      </x:c>
      <x:c r="H3017" s="115" t="str">
        <x:v>L 448 ; l 460 ; hauteur 12 m ; choix de composition auteur ; dimensions réelles à documenter</x:v>
      </x:c>
      <x:c r="I3017" s="115" t="str">
        <x:v>À équilibrer</x:v>
      </x:c>
      <x:c r="J3017" s="115" t="str">
        <x:v>Non</x:v>
      </x:c>
      <x:c r="K3017" s="115" t="str">
        <x:v>Pièces décrites, murs, portes, niveaux et mobilier inspectables à l’échelle. Volumes réservés, raccord au seed, butin, rencontres et services de campagne restent à terminer.</x:v>
      </x:c>
    </x:row>
    <x:row r="3018" ht="96" customHeight="1">
      <x:c r="A3018" s="115" t="str">
        <x:v>EXT-MONDE-T061-V13</x:v>
      </x:c>
      <x:c r="B3018" s="115" t="str">
        <x:v>EXT-MONDE-T061</x:v>
      </x:c>
      <x:c r="C3018" s="115" t="str">
        <x:v>Épuration</x:v>
      </x:c>
      <x:c r="D3018" s="115" t="str">
        <x:v>Station d’épuration urbaine</x:v>
      </x:c>
      <x:c r="E3018" s="115" t="n">
        <x:v>13</x:v>
      </x:c>
      <x:c r="F3018" s="115" t="str">
        <x:v>Inspection physique</x:v>
      </x:c>
      <x:c r="G3018" s="115" t="str">
        <x:v>1 niveaux ; 22 pièces ; 167 segments de mur ; 0 transitions. Inspection physique ; architecture complète encore ouverte.</x:v>
      </x:c>
      <x:c r="H3018" s="115" t="str">
        <x:v>L 448 ; l 460 ; hauteur 12 m ; choix de composition auteur ; dimensions réelles à documenter</x:v>
      </x:c>
      <x:c r="I3018" s="115" t="str">
        <x:v>À équilibrer</x:v>
      </x:c>
      <x:c r="J3018" s="115" t="str">
        <x:v>Non</x:v>
      </x:c>
      <x:c r="K3018" s="115" t="str">
        <x:v>Pièces décrites, murs, portes, niveaux et mobilier inspectables à l’échelle. Volumes réservés, raccord au seed, butin, rencontres et services de campagne restent à terminer.</x:v>
      </x:c>
    </x:row>
    <x:row r="3019" ht="96" customHeight="1">
      <x:c r="A3019" s="115" t="str">
        <x:v>EXT-MONDE-T061-V14</x:v>
      </x:c>
      <x:c r="B3019" s="115" t="str">
        <x:v>EXT-MONDE-T061</x:v>
      </x:c>
      <x:c r="C3019" s="115" t="str">
        <x:v>Épuration</x:v>
      </x:c>
      <x:c r="D3019" s="115" t="str">
        <x:v>Station d’épuration urbaine</x:v>
      </x:c>
      <x:c r="E3019" s="115" t="n">
        <x:v>14</x:v>
      </x:c>
      <x:c r="F3019" s="115" t="str">
        <x:v>Inspection physique</x:v>
      </x:c>
      <x:c r="G3019" s="115" t="str">
        <x:v>1 niveaux ; 22 pièces ; 167 segments de mur ; 0 transitions. Inspection physique ; architecture complète encore ouverte.</x:v>
      </x:c>
      <x:c r="H3019" s="115" t="str">
        <x:v>L 448 ; l 460 ; hauteur 12 m ; choix de composition auteur ; dimensions réelles à documenter</x:v>
      </x:c>
      <x:c r="I3019" s="115" t="str">
        <x:v>À équilibrer</x:v>
      </x:c>
      <x:c r="J3019" s="115" t="str">
        <x:v>Non</x:v>
      </x:c>
      <x:c r="K3019" s="115" t="str">
        <x:v>Pièces décrites, murs, portes, niveaux et mobilier inspectables à l’échelle. Volumes réservés, raccord au seed, butin, rencontres et services de campagne restent à terminer.</x:v>
      </x:c>
    </x:row>
    <x:row r="3020" ht="96" customHeight="1">
      <x:c r="A3020" s="115" t="str">
        <x:v>EXT-MONDE-T061-V15</x:v>
      </x:c>
      <x:c r="B3020" s="115" t="str">
        <x:v>EXT-MONDE-T061</x:v>
      </x:c>
      <x:c r="C3020" s="115" t="str">
        <x:v>Épuration</x:v>
      </x:c>
      <x:c r="D3020" s="115" t="str">
        <x:v>Station d’épuration urbaine</x:v>
      </x:c>
      <x:c r="E3020" s="115" t="n">
        <x:v>15</x:v>
      </x:c>
      <x:c r="F3020" s="115" t="str">
        <x:v>Inspection physique</x:v>
      </x:c>
      <x:c r="G3020" s="115" t="str">
        <x:v>1 niveaux ; 22 pièces ; 167 segments de mur ; 0 transitions. Inspection physique ; architecture complète encore ouverte.</x:v>
      </x:c>
      <x:c r="H3020" s="115" t="str">
        <x:v>L 448 ; l 460 ; hauteur 12 m ; choix de composition auteur ; dimensions réelles à documenter</x:v>
      </x:c>
      <x:c r="I3020" s="115" t="str">
        <x:v>À équilibrer</x:v>
      </x:c>
      <x:c r="J3020" s="115" t="str">
        <x:v>Non</x:v>
      </x:c>
      <x:c r="K3020" s="115" t="str">
        <x:v>Pièces décrites, murs, portes, niveaux et mobilier inspectables à l’échelle. Volumes réservés, raccord au seed, butin, rencontres et services de campagne restent à terminer.</x:v>
      </x:c>
    </x:row>
    <x:row r="3021" ht="96" customHeight="1">
      <x:c r="A3021" s="115" t="str">
        <x:v>EXT-MONDE-T061-V16</x:v>
      </x:c>
      <x:c r="B3021" s="115" t="str">
        <x:v>EXT-MONDE-T061</x:v>
      </x:c>
      <x:c r="C3021" s="115" t="str">
        <x:v>Épuration</x:v>
      </x:c>
      <x:c r="D3021" s="115" t="str">
        <x:v>Station d’épuration urbaine</x:v>
      </x:c>
      <x:c r="E3021" s="115" t="n">
        <x:v>16</x:v>
      </x:c>
      <x:c r="F3021" s="115" t="str">
        <x:v>Inspection physique</x:v>
      </x:c>
      <x:c r="G3021" s="115" t="str">
        <x:v>1 niveaux ; 22 pièces ; 167 segments de mur ; 0 transitions. Inspection physique ; architecture complète encore ouverte.</x:v>
      </x:c>
      <x:c r="H3021" s="115" t="str">
        <x:v>L 448 ; l 460 ; hauteur 12 m ; choix de composition auteur ; dimensions réelles à documenter</x:v>
      </x:c>
      <x:c r="I3021" s="115" t="str">
        <x:v>À équilibrer</x:v>
      </x:c>
      <x:c r="J3021" s="115" t="str">
        <x:v>Non</x:v>
      </x:c>
      <x:c r="K3021" s="115" t="str">
        <x:v>Pièces décrites, murs, portes, niveaux et mobilier inspectables à l’échelle. Volumes réservés, raccord au seed, butin, rencontres et services de campagne restent à terminer.</x:v>
      </x:c>
    </x:row>
    <x:row r="3022" ht="96" customHeight="1">
      <x:c r="A3022" s="115" t="str">
        <x:v>EXT-MONDE-T061-V17</x:v>
      </x:c>
      <x:c r="B3022" s="115" t="str">
        <x:v>EXT-MONDE-T061</x:v>
      </x:c>
      <x:c r="C3022" s="115" t="str">
        <x:v>Épuration</x:v>
      </x:c>
      <x:c r="D3022" s="115" t="str">
        <x:v>Station d’épuration urbaine</x:v>
      </x:c>
      <x:c r="E3022" s="115" t="n">
        <x:v>17</x:v>
      </x:c>
      <x:c r="F3022" s="115" t="str">
        <x:v>Inspection physique</x:v>
      </x:c>
      <x:c r="G3022" s="115" t="str">
        <x:v>1 niveaux ; 22 pièces ; 167 segments de mur ; 0 transitions. Inspection physique ; architecture complète encore ouverte.</x:v>
      </x:c>
      <x:c r="H3022" s="115" t="str">
        <x:v>L 448 ; l 460 ; hauteur 12 m ; choix de composition auteur ; dimensions réelles à documenter</x:v>
      </x:c>
      <x:c r="I3022" s="115" t="str">
        <x:v>À équilibrer</x:v>
      </x:c>
      <x:c r="J3022" s="115" t="str">
        <x:v>Non</x:v>
      </x:c>
      <x:c r="K3022" s="115" t="str">
        <x:v>Pièces décrites, murs, portes, niveaux et mobilier inspectables à l’échelle. Volumes réservés, raccord au seed, butin, rencontres et services de campagne restent à terminer.</x:v>
      </x:c>
    </x:row>
    <x:row r="3023" ht="96" customHeight="1">
      <x:c r="A3023" s="115" t="str">
        <x:v>EXT-MONDE-T061-V18</x:v>
      </x:c>
      <x:c r="B3023" s="115" t="str">
        <x:v>EXT-MONDE-T061</x:v>
      </x:c>
      <x:c r="C3023" s="115" t="str">
        <x:v>Épuration</x:v>
      </x:c>
      <x:c r="D3023" s="115" t="str">
        <x:v>Station d’épuration urbaine</x:v>
      </x:c>
      <x:c r="E3023" s="115" t="n">
        <x:v>18</x:v>
      </x:c>
      <x:c r="F3023" s="115" t="str">
        <x:v>Inspection physique</x:v>
      </x:c>
      <x:c r="G3023" s="115" t="str">
        <x:v>1 niveaux ; 22 pièces ; 167 segments de mur ; 0 transitions. Inspection physique ; architecture complète encore ouverte.</x:v>
      </x:c>
      <x:c r="H3023" s="115" t="str">
        <x:v>L 448 ; l 460 ; hauteur 12 m ; choix de composition auteur ; dimensions réelles à documenter</x:v>
      </x:c>
      <x:c r="I3023" s="115" t="str">
        <x:v>À équilibrer</x:v>
      </x:c>
      <x:c r="J3023" s="115" t="str">
        <x:v>Non</x:v>
      </x:c>
      <x:c r="K3023" s="115" t="str">
        <x:v>Pièces décrites, murs, portes, niveaux et mobilier inspectables à l’échelle. Volumes réservés, raccord au seed, butin, rencontres et services de campagne restent à terminer.</x:v>
      </x:c>
    </x:row>
    <x:row r="3024" ht="96" customHeight="1">
      <x:c r="A3024" s="115" t="str">
        <x:v>EXT-MONDE-T061-V19</x:v>
      </x:c>
      <x:c r="B3024" s="115" t="str">
        <x:v>EXT-MONDE-T061</x:v>
      </x:c>
      <x:c r="C3024" s="115" t="str">
        <x:v>Épuration</x:v>
      </x:c>
      <x:c r="D3024" s="115" t="str">
        <x:v>Station d’épuration urbaine</x:v>
      </x:c>
      <x:c r="E3024" s="115" t="n">
        <x:v>19</x:v>
      </x:c>
      <x:c r="F3024" s="115" t="str">
        <x:v>Inspection physique</x:v>
      </x:c>
      <x:c r="G3024" s="115" t="str">
        <x:v>1 niveaux ; 22 pièces ; 167 segments de mur ; 0 transitions. Inspection physique ; architecture complète encore ouverte.</x:v>
      </x:c>
      <x:c r="H3024" s="115" t="str">
        <x:v>L 448 ; l 460 ; hauteur 12 m ; choix de composition auteur ; dimensions réelles à documenter</x:v>
      </x:c>
      <x:c r="I3024" s="115" t="str">
        <x:v>À équilibrer</x:v>
      </x:c>
      <x:c r="J3024" s="115" t="str">
        <x:v>Non</x:v>
      </x:c>
      <x:c r="K3024" s="115" t="str">
        <x:v>Pièces décrites, murs, portes, niveaux et mobilier inspectables à l’échelle. Volumes réservés, raccord au seed, butin, rencontres et services de campagne restent à terminer.</x:v>
      </x:c>
    </x:row>
    <x:row r="3025" ht="96" customHeight="1">
      <x:c r="A3025" s="115" t="str">
        <x:v>EXT-MONDE-T061-V20</x:v>
      </x:c>
      <x:c r="B3025" s="115" t="str">
        <x:v>EXT-MONDE-T061</x:v>
      </x:c>
      <x:c r="C3025" s="115" t="str">
        <x:v>Épuration</x:v>
      </x:c>
      <x:c r="D3025" s="115" t="str">
        <x:v>Station d’épuration urbaine</x:v>
      </x:c>
      <x:c r="E3025" s="115" t="n">
        <x:v>20</x:v>
      </x:c>
      <x:c r="F3025" s="115" t="str">
        <x:v>Inspection physique</x:v>
      </x:c>
      <x:c r="G3025" s="115" t="str">
        <x:v>1 niveaux ; 22 pièces ; 167 segments de mur ; 0 transitions. Inspection physique ; architecture complète encore ouverte.</x:v>
      </x:c>
      <x:c r="H3025" s="115" t="str">
        <x:v>L 448 ; l 460 ; hauteur 12 m ; choix de composition auteur ; dimensions réelles à documenter</x:v>
      </x:c>
      <x:c r="I3025" s="115" t="str">
        <x:v>À équilibrer</x:v>
      </x:c>
      <x:c r="J3025" s="115" t="str">
        <x:v>Non</x:v>
      </x:c>
      <x:c r="K3025" s="115" t="str">
        <x:v>Pièces décrites, murs, portes, niveaux et mobilier inspectables à l’échelle. Volumes réservés, raccord au seed, butin, rencontres et services de campagne restent à terminer.</x:v>
      </x:c>
    </x:row>
    <x:row r="3026" ht="96" customHeight="1">
      <x:c r="A3026" s="115" t="str">
        <x:v>EXT-MONDE-T061-V21</x:v>
      </x:c>
      <x:c r="B3026" s="115" t="str">
        <x:v>EXT-MONDE-T061</x:v>
      </x:c>
      <x:c r="C3026" s="115" t="str">
        <x:v>Épuration</x:v>
      </x:c>
      <x:c r="D3026" s="115" t="str">
        <x:v>Station d’épuration urbaine</x:v>
      </x:c>
      <x:c r="E3026" s="115" t="n">
        <x:v>21</x:v>
      </x:c>
      <x:c r="F3026" s="115" t="str">
        <x:v>Inspection physique</x:v>
      </x:c>
      <x:c r="G3026" s="115" t="str">
        <x:v>1 niveaux ; 22 pièces ; 167 segments de mur ; 0 transitions. Inspection physique ; architecture complète encore ouverte.</x:v>
      </x:c>
      <x:c r="H3026" s="115" t="str">
        <x:v>L 466 ; l 480 ; hauteur 12 m ; choix de composition auteur ; dimensions réelles à documenter</x:v>
      </x:c>
      <x:c r="I3026" s="115" t="str">
        <x:v>À équilibrer</x:v>
      </x:c>
      <x:c r="J3026" s="115" t="str">
        <x:v>Non</x:v>
      </x:c>
      <x:c r="K3026" s="115" t="str">
        <x:v>Pièces décrites, murs, portes, niveaux et mobilier inspectables à l’échelle. Volumes réservés, raccord au seed, butin, rencontres et services de campagne restent à terminer.</x:v>
      </x:c>
    </x:row>
    <x:row r="3027" ht="96" customHeight="1">
      <x:c r="A3027" s="115" t="str">
        <x:v>EXT-MONDE-T061-V22</x:v>
      </x:c>
      <x:c r="B3027" s="115" t="str">
        <x:v>EXT-MONDE-T061</x:v>
      </x:c>
      <x:c r="C3027" s="115" t="str">
        <x:v>Épuration</x:v>
      </x:c>
      <x:c r="D3027" s="115" t="str">
        <x:v>Station d’épuration urbaine</x:v>
      </x:c>
      <x:c r="E3027" s="115" t="n">
        <x:v>22</x:v>
      </x:c>
      <x:c r="F3027" s="115" t="str">
        <x:v>Inspection physique</x:v>
      </x:c>
      <x:c r="G3027" s="115" t="str">
        <x:v>1 niveaux ; 22 pièces ; 167 segments de mur ; 0 transitions. Inspection physique ; architecture complète encore ouverte.</x:v>
      </x:c>
      <x:c r="H3027" s="115" t="str">
        <x:v>L 466 ; l 480 ; hauteur 12 m ; choix de composition auteur ; dimensions réelles à documenter</x:v>
      </x:c>
      <x:c r="I3027" s="115" t="str">
        <x:v>À équilibrer</x:v>
      </x:c>
      <x:c r="J3027" s="115" t="str">
        <x:v>Non</x:v>
      </x:c>
      <x:c r="K3027" s="115" t="str">
        <x:v>Pièces décrites, murs, portes, niveaux et mobilier inspectables à l’échelle. Volumes réservés, raccord au seed, butin, rencontres et services de campagne restent à terminer.</x:v>
      </x:c>
    </x:row>
    <x:row r="3028" ht="96" customHeight="1">
      <x:c r="A3028" s="115" t="str">
        <x:v>EXT-MONDE-T061-V23</x:v>
      </x:c>
      <x:c r="B3028" s="115" t="str">
        <x:v>EXT-MONDE-T061</x:v>
      </x:c>
      <x:c r="C3028" s="115" t="str">
        <x:v>Épuration</x:v>
      </x:c>
      <x:c r="D3028" s="115" t="str">
        <x:v>Station d’épuration urbaine</x:v>
      </x:c>
      <x:c r="E3028" s="115" t="n">
        <x:v>23</x:v>
      </x:c>
      <x:c r="F3028" s="115" t="str">
        <x:v>Inspection physique</x:v>
      </x:c>
      <x:c r="G3028" s="115" t="str">
        <x:v>1 niveaux ; 22 pièces ; 167 segments de mur ; 0 transitions. Inspection physique ; architecture complète encore ouverte.</x:v>
      </x:c>
      <x:c r="H3028" s="115" t="str">
        <x:v>L 466 ; l 480 ; hauteur 12 m ; choix de composition auteur ; dimensions réelles à documenter</x:v>
      </x:c>
      <x:c r="I3028" s="115" t="str">
        <x:v>À équilibrer</x:v>
      </x:c>
      <x:c r="J3028" s="115" t="str">
        <x:v>Non</x:v>
      </x:c>
      <x:c r="K3028" s="115" t="str">
        <x:v>Pièces décrites, murs, portes, niveaux et mobilier inspectables à l’échelle. Volumes réservés, raccord au seed, butin, rencontres et services de campagne restent à terminer.</x:v>
      </x:c>
    </x:row>
    <x:row r="3029" ht="96" customHeight="1">
      <x:c r="A3029" s="115" t="str">
        <x:v>EXT-MONDE-T061-V24</x:v>
      </x:c>
      <x:c r="B3029" s="115" t="str">
        <x:v>EXT-MONDE-T061</x:v>
      </x:c>
      <x:c r="C3029" s="115" t="str">
        <x:v>Épuration</x:v>
      </x:c>
      <x:c r="D3029" s="115" t="str">
        <x:v>Station d’épuration urbaine</x:v>
      </x:c>
      <x:c r="E3029" s="115" t="n">
        <x:v>24</x:v>
      </x:c>
      <x:c r="F3029" s="115" t="str">
        <x:v>Inspection physique</x:v>
      </x:c>
      <x:c r="G3029" s="115" t="str">
        <x:v>1 niveaux ; 22 pièces ; 167 segments de mur ; 0 transitions. Inspection physique ; architecture complète encore ouverte.</x:v>
      </x:c>
      <x:c r="H3029" s="115" t="str">
        <x:v>L 466 ; l 480 ; hauteur 12 m ; choix de composition auteur ; dimensions réelles à documenter</x:v>
      </x:c>
      <x:c r="I3029" s="115" t="str">
        <x:v>À équilibrer</x:v>
      </x:c>
      <x:c r="J3029" s="115" t="str">
        <x:v>Non</x:v>
      </x:c>
      <x:c r="K3029" s="115" t="str">
        <x:v>Pièces décrites, murs, portes, niveaux et mobilier inspectables à l’échelle. Volumes réservés, raccord au seed, butin, rencontres et services de campagne restent à terminer.</x:v>
      </x:c>
    </x:row>
    <x:row r="3030" ht="96" customHeight="1">
      <x:c r="A3030" s="115" t="str">
        <x:v>EXT-MONDE-T061-V25</x:v>
      </x:c>
      <x:c r="B3030" s="115" t="str">
        <x:v>EXT-MONDE-T061</x:v>
      </x:c>
      <x:c r="C3030" s="115" t="str">
        <x:v>Épuration</x:v>
      </x:c>
      <x:c r="D3030" s="115" t="str">
        <x:v>Station d’épuration urbaine</x:v>
      </x:c>
      <x:c r="E3030" s="115" t="n">
        <x:v>25</x:v>
      </x:c>
      <x:c r="F3030" s="115" t="str">
        <x:v>Inspection physique</x:v>
      </x:c>
      <x:c r="G3030" s="115" t="str">
        <x:v>1 niveaux ; 22 pièces ; 167 segments de mur ; 0 transitions. Inspection physique ; architecture complète encore ouverte.</x:v>
      </x:c>
      <x:c r="H3030" s="115" t="str">
        <x:v>L 466 ; l 480 ; hauteur 12 m ; choix de composition auteur ; dimensions réelles à documenter</x:v>
      </x:c>
      <x:c r="I3030" s="115" t="str">
        <x:v>À équilibrer</x:v>
      </x:c>
      <x:c r="J3030" s="115" t="str">
        <x:v>Non</x:v>
      </x:c>
      <x:c r="K3030" s="115" t="str">
        <x:v>Pièces décrites, murs, portes, niveaux et mobilier inspectables à l’échelle. Volumes réservés, raccord au seed, butin, rencontres et services de campagne restent à terminer.</x:v>
      </x:c>
    </x:row>
    <x:row r="3031" ht="96" customHeight="1">
      <x:c r="A3031" s="115" t="str">
        <x:v>EXT-MONDE-T061-V26</x:v>
      </x:c>
      <x:c r="B3031" s="115" t="str">
        <x:v>EXT-MONDE-T061</x:v>
      </x:c>
      <x:c r="C3031" s="115" t="str">
        <x:v>Épuration</x:v>
      </x:c>
      <x:c r="D3031" s="115" t="str">
        <x:v>Station d’épuration urbaine</x:v>
      </x:c>
      <x:c r="E3031" s="115" t="n">
        <x:v>26</x:v>
      </x:c>
      <x:c r="F3031" s="115" t="str">
        <x:v>Inspection physique</x:v>
      </x:c>
      <x:c r="G3031" s="115" t="str">
        <x:v>1 niveaux ; 22 pièces ; 167 segments de mur ; 0 transitions. Inspection physique ; architecture complète encore ouverte.</x:v>
      </x:c>
      <x:c r="H3031" s="115" t="str">
        <x:v>L 466 ; l 480 ; hauteur 12 m ; choix de composition auteur ; dimensions réelles à documenter</x:v>
      </x:c>
      <x:c r="I3031" s="115" t="str">
        <x:v>À équilibrer</x:v>
      </x:c>
      <x:c r="J3031" s="115" t="str">
        <x:v>Non</x:v>
      </x:c>
      <x:c r="K3031" s="115" t="str">
        <x:v>Pièces décrites, murs, portes, niveaux et mobilier inspectables à l’échelle. Volumes réservés, raccord au seed, butin, rencontres et services de campagne restent à terminer.</x:v>
      </x:c>
    </x:row>
    <x:row r="3032" ht="96" customHeight="1">
      <x:c r="A3032" s="115" t="str">
        <x:v>EXT-MONDE-T061-V27</x:v>
      </x:c>
      <x:c r="B3032" s="115" t="str">
        <x:v>EXT-MONDE-T061</x:v>
      </x:c>
      <x:c r="C3032" s="115" t="str">
        <x:v>Épuration</x:v>
      </x:c>
      <x:c r="D3032" s="115" t="str">
        <x:v>Station d’épuration urbaine</x:v>
      </x:c>
      <x:c r="E3032" s="115" t="n">
        <x:v>27</x:v>
      </x:c>
      <x:c r="F3032" s="115" t="str">
        <x:v>Inspection physique</x:v>
      </x:c>
      <x:c r="G3032" s="115" t="str">
        <x:v>1 niveaux ; 22 pièces ; 167 segments de mur ; 0 transitions. Inspection physique ; architecture complète encore ouverte.</x:v>
      </x:c>
      <x:c r="H3032" s="115" t="str">
        <x:v>L 466 ; l 480 ; hauteur 12 m ; choix de composition auteur ; dimensions réelles à documenter</x:v>
      </x:c>
      <x:c r="I3032" s="115" t="str">
        <x:v>À équilibrer</x:v>
      </x:c>
      <x:c r="J3032" s="115" t="str">
        <x:v>Non</x:v>
      </x:c>
      <x:c r="K3032" s="115" t="str">
        <x:v>Pièces décrites, murs, portes, niveaux et mobilier inspectables à l’échelle. Volumes réservés, raccord au seed, butin, rencontres et services de campagne restent à terminer.</x:v>
      </x:c>
    </x:row>
    <x:row r="3033" ht="96" customHeight="1">
      <x:c r="A3033" s="115" t="str">
        <x:v>EXT-MONDE-T061-V28</x:v>
      </x:c>
      <x:c r="B3033" s="115" t="str">
        <x:v>EXT-MONDE-T061</x:v>
      </x:c>
      <x:c r="C3033" s="115" t="str">
        <x:v>Épuration</x:v>
      </x:c>
      <x:c r="D3033" s="115" t="str">
        <x:v>Station d’épuration urbaine</x:v>
      </x:c>
      <x:c r="E3033" s="115" t="n">
        <x:v>28</x:v>
      </x:c>
      <x:c r="F3033" s="115" t="str">
        <x:v>Inspection physique</x:v>
      </x:c>
      <x:c r="G3033" s="115" t="str">
        <x:v>1 niveaux ; 22 pièces ; 167 segments de mur ; 0 transitions. Inspection physique ; architecture complète encore ouverte.</x:v>
      </x:c>
      <x:c r="H3033" s="115" t="str">
        <x:v>L 466 ; l 480 ; hauteur 12 m ; choix de composition auteur ; dimensions réelles à documenter</x:v>
      </x:c>
      <x:c r="I3033" s="115" t="str">
        <x:v>À équilibrer</x:v>
      </x:c>
      <x:c r="J3033" s="115" t="str">
        <x:v>Non</x:v>
      </x:c>
      <x:c r="K3033" s="115" t="str">
        <x:v>Pièces décrites, murs, portes, niveaux et mobilier inspectables à l’échelle. Volumes réservés, raccord au seed, butin, rencontres et services de campagne restent à terminer.</x:v>
      </x:c>
    </x:row>
    <x:row r="3034" ht="96" customHeight="1">
      <x:c r="A3034" s="115" t="str">
        <x:v>EXT-MONDE-T061-V29</x:v>
      </x:c>
      <x:c r="B3034" s="115" t="str">
        <x:v>EXT-MONDE-T061</x:v>
      </x:c>
      <x:c r="C3034" s="115" t="str">
        <x:v>Épuration</x:v>
      </x:c>
      <x:c r="D3034" s="115" t="str">
        <x:v>Station d’épuration urbaine</x:v>
      </x:c>
      <x:c r="E3034" s="115" t="n">
        <x:v>29</x:v>
      </x:c>
      <x:c r="F3034" s="115" t="str">
        <x:v>Inspection physique</x:v>
      </x:c>
      <x:c r="G3034" s="115" t="str">
        <x:v>1 niveaux ; 22 pièces ; 167 segments de mur ; 0 transitions. Inspection physique ; architecture complète encore ouverte.</x:v>
      </x:c>
      <x:c r="H3034" s="115" t="str">
        <x:v>L 466 ; l 480 ; hauteur 12 m ; choix de composition auteur ; dimensions réelles à documenter</x:v>
      </x:c>
      <x:c r="I3034" s="115" t="str">
        <x:v>À équilibrer</x:v>
      </x:c>
      <x:c r="J3034" s="115" t="str">
        <x:v>Non</x:v>
      </x:c>
      <x:c r="K3034" s="115" t="str">
        <x:v>Pièces décrites, murs, portes, niveaux et mobilier inspectables à l’échelle. Volumes réservés, raccord au seed, butin, rencontres et services de campagne restent à terminer.</x:v>
      </x:c>
    </x:row>
    <x:row r="3035" ht="96" customHeight="1">
      <x:c r="A3035" s="115" t="str">
        <x:v>EXT-MONDE-T061-V30</x:v>
      </x:c>
      <x:c r="B3035" s="115" t="str">
        <x:v>EXT-MONDE-T061</x:v>
      </x:c>
      <x:c r="C3035" s="115" t="str">
        <x:v>Épuration</x:v>
      </x:c>
      <x:c r="D3035" s="115" t="str">
        <x:v>Station d’épuration urbaine</x:v>
      </x:c>
      <x:c r="E3035" s="115" t="n">
        <x:v>30</x:v>
      </x:c>
      <x:c r="F3035" s="115" t="str">
        <x:v>Inspection physique</x:v>
      </x:c>
      <x:c r="G3035" s="115" t="str">
        <x:v>1 niveaux ; 22 pièces ; 167 segments de mur ; 0 transitions. Inspection physique ; architecture complète encore ouverte.</x:v>
      </x:c>
      <x:c r="H3035" s="115" t="str">
        <x:v>L 466 ; l 480 ; hauteur 12 m ; choix de composition auteur ; dimensions réelles à documenter</x:v>
      </x:c>
      <x:c r="I3035" s="115" t="str">
        <x:v>À équilibrer</x:v>
      </x:c>
      <x:c r="J3035" s="115" t="str">
        <x:v>Non</x:v>
      </x:c>
      <x:c r="K3035" s="115" t="str">
        <x:v>Pièces décrites, murs, portes, niveaux et mobilier inspectables à l’échelle. Volumes réservés, raccord au seed, butin, rencontres et services de campagne restent à terminer.</x:v>
      </x:c>
    </x:row>
    <x:row r="3036" ht="96" customHeight="1">
      <x:c r="A3036" s="115" t="str">
        <x:v>EXT-MONDE-T061-V31</x:v>
      </x:c>
      <x:c r="B3036" s="115" t="str">
        <x:v>EXT-MONDE-T061</x:v>
      </x:c>
      <x:c r="C3036" s="115" t="str">
        <x:v>Épuration</x:v>
      </x:c>
      <x:c r="D3036" s="115" t="str">
        <x:v>Station d’épuration urbaine</x:v>
      </x:c>
      <x:c r="E3036" s="115" t="n">
        <x:v>31</x:v>
      </x:c>
      <x:c r="F3036" s="115" t="str">
        <x:v>Inspection physique</x:v>
      </x:c>
      <x:c r="G3036" s="115" t="str">
        <x:v>1 niveaux ; 22 pièces ; 167 segments de mur ; 0 transitions. Inspection physique ; architecture complète encore ouverte.</x:v>
      </x:c>
      <x:c r="H3036" s="115" t="str">
        <x:v>L 484 ; l 500 ; hauteur 12 m ; choix de composition auteur ; dimensions réelles à documenter</x:v>
      </x:c>
      <x:c r="I3036" s="115" t="str">
        <x:v>À équilibrer</x:v>
      </x:c>
      <x:c r="J3036" s="115" t="str">
        <x:v>Non</x:v>
      </x:c>
      <x:c r="K3036" s="115" t="str">
        <x:v>Pièces décrites, murs, portes, niveaux et mobilier inspectables à l’échelle. Volumes réservés, raccord au seed, butin, rencontres et services de campagne restent à terminer.</x:v>
      </x:c>
    </x:row>
    <x:row r="3037" ht="96" customHeight="1">
      <x:c r="A3037" s="115" t="str">
        <x:v>EXT-MONDE-T061-V32</x:v>
      </x:c>
      <x:c r="B3037" s="115" t="str">
        <x:v>EXT-MONDE-T061</x:v>
      </x:c>
      <x:c r="C3037" s="115" t="str">
        <x:v>Épuration</x:v>
      </x:c>
      <x:c r="D3037" s="115" t="str">
        <x:v>Station d’épuration urbaine</x:v>
      </x:c>
      <x:c r="E3037" s="115" t="n">
        <x:v>32</x:v>
      </x:c>
      <x:c r="F3037" s="115" t="str">
        <x:v>Inspection physique</x:v>
      </x:c>
      <x:c r="G3037" s="115" t="str">
        <x:v>1 niveaux ; 22 pièces ; 167 segments de mur ; 0 transitions. Inspection physique ; architecture complète encore ouverte.</x:v>
      </x:c>
      <x:c r="H3037" s="115" t="str">
        <x:v>L 484 ; l 500 ; hauteur 12 m ; choix de composition auteur ; dimensions réelles à documenter</x:v>
      </x:c>
      <x:c r="I3037" s="115" t="str">
        <x:v>À équilibrer</x:v>
      </x:c>
      <x:c r="J3037" s="115" t="str">
        <x:v>Non</x:v>
      </x:c>
      <x:c r="K3037" s="115" t="str">
        <x:v>Pièces décrites, murs, portes, niveaux et mobilier inspectables à l’échelle. Volumes réservés, raccord au seed, butin, rencontres et services de campagne restent à terminer.</x:v>
      </x:c>
    </x:row>
    <x:row r="3038" ht="96" customHeight="1">
      <x:c r="A3038" s="115" t="str">
        <x:v>EXT-MONDE-T061-V33</x:v>
      </x:c>
      <x:c r="B3038" s="115" t="str">
        <x:v>EXT-MONDE-T061</x:v>
      </x:c>
      <x:c r="C3038" s="115" t="str">
        <x:v>Épuration</x:v>
      </x:c>
      <x:c r="D3038" s="115" t="str">
        <x:v>Station d’épuration urbaine</x:v>
      </x:c>
      <x:c r="E3038" s="115" t="n">
        <x:v>33</x:v>
      </x:c>
      <x:c r="F3038" s="115" t="str">
        <x:v>Inspection physique</x:v>
      </x:c>
      <x:c r="G3038" s="115" t="str">
        <x:v>1 niveaux ; 22 pièces ; 167 segments de mur ; 0 transitions. Inspection physique ; architecture complète encore ouverte.</x:v>
      </x:c>
      <x:c r="H3038" s="115" t="str">
        <x:v>L 484 ; l 500 ; hauteur 12 m ; choix de composition auteur ; dimensions réelles à documenter</x:v>
      </x:c>
      <x:c r="I3038" s="115" t="str">
        <x:v>À équilibrer</x:v>
      </x:c>
      <x:c r="J3038" s="115" t="str">
        <x:v>Non</x:v>
      </x:c>
      <x:c r="K3038" s="115" t="str">
        <x:v>Pièces décrites, murs, portes, niveaux et mobilier inspectables à l’échelle. Volumes réservés, raccord au seed, butin, rencontres et services de campagne restent à terminer.</x:v>
      </x:c>
    </x:row>
    <x:row r="3039" ht="96" customHeight="1">
      <x:c r="A3039" s="115" t="str">
        <x:v>EXT-MONDE-T061-V34</x:v>
      </x:c>
      <x:c r="B3039" s="115" t="str">
        <x:v>EXT-MONDE-T061</x:v>
      </x:c>
      <x:c r="C3039" s="115" t="str">
        <x:v>Épuration</x:v>
      </x:c>
      <x:c r="D3039" s="115" t="str">
        <x:v>Station d’épuration urbaine</x:v>
      </x:c>
      <x:c r="E3039" s="115" t="n">
        <x:v>34</x:v>
      </x:c>
      <x:c r="F3039" s="115" t="str">
        <x:v>Inspection physique</x:v>
      </x:c>
      <x:c r="G3039" s="115" t="str">
        <x:v>1 niveaux ; 22 pièces ; 167 segments de mur ; 0 transitions. Inspection physique ; architecture complète encore ouverte.</x:v>
      </x:c>
      <x:c r="H3039" s="115" t="str">
        <x:v>L 484 ; l 500 ; hauteur 12 m ; choix de composition auteur ; dimensions réelles à documenter</x:v>
      </x:c>
      <x:c r="I3039" s="115" t="str">
        <x:v>À équilibrer</x:v>
      </x:c>
      <x:c r="J3039" s="115" t="str">
        <x:v>Non</x:v>
      </x:c>
      <x:c r="K3039" s="115" t="str">
        <x:v>Pièces décrites, murs, portes, niveaux et mobilier inspectables à l’échelle. Volumes réservés, raccord au seed, butin, rencontres et services de campagne restent à terminer.</x:v>
      </x:c>
    </x:row>
    <x:row r="3040" ht="96" customHeight="1">
      <x:c r="A3040" s="115" t="str">
        <x:v>EXT-MONDE-T061-V35</x:v>
      </x:c>
      <x:c r="B3040" s="115" t="str">
        <x:v>EXT-MONDE-T061</x:v>
      </x:c>
      <x:c r="C3040" s="115" t="str">
        <x:v>Épuration</x:v>
      </x:c>
      <x:c r="D3040" s="115" t="str">
        <x:v>Station d’épuration urbaine</x:v>
      </x:c>
      <x:c r="E3040" s="115" t="n">
        <x:v>35</x:v>
      </x:c>
      <x:c r="F3040" s="115" t="str">
        <x:v>Inspection physique</x:v>
      </x:c>
      <x:c r="G3040" s="115" t="str">
        <x:v>1 niveaux ; 22 pièces ; 167 segments de mur ; 0 transitions. Inspection physique ; architecture complète encore ouverte.</x:v>
      </x:c>
      <x:c r="H3040" s="115" t="str">
        <x:v>L 484 ; l 500 ; hauteur 12 m ; choix de composition auteur ; dimensions réelles à documenter</x:v>
      </x:c>
      <x:c r="I3040" s="115" t="str">
        <x:v>À équilibrer</x:v>
      </x:c>
      <x:c r="J3040" s="115" t="str">
        <x:v>Non</x:v>
      </x:c>
      <x:c r="K3040" s="115" t="str">
        <x:v>Pièces décrites, murs, portes, niveaux et mobilier inspectables à l’échelle. Volumes réservés, raccord au seed, butin, rencontres et services de campagne restent à terminer.</x:v>
      </x:c>
    </x:row>
    <x:row r="3041" ht="96" customHeight="1">
      <x:c r="A3041" s="115" t="str">
        <x:v>EXT-MONDE-T061-V36</x:v>
      </x:c>
      <x:c r="B3041" s="115" t="str">
        <x:v>EXT-MONDE-T061</x:v>
      </x:c>
      <x:c r="C3041" s="115" t="str">
        <x:v>Épuration</x:v>
      </x:c>
      <x:c r="D3041" s="115" t="str">
        <x:v>Station d’épuration urbaine</x:v>
      </x:c>
      <x:c r="E3041" s="115" t="n">
        <x:v>36</x:v>
      </x:c>
      <x:c r="F3041" s="115" t="str">
        <x:v>Inspection physique</x:v>
      </x:c>
      <x:c r="G3041" s="115" t="str">
        <x:v>1 niveaux ; 22 pièces ; 167 segments de mur ; 0 transitions. Inspection physique ; architecture complète encore ouverte.</x:v>
      </x:c>
      <x:c r="H3041" s="115" t="str">
        <x:v>L 484 ; l 500 ; hauteur 12 m ; choix de composition auteur ; dimensions réelles à documenter</x:v>
      </x:c>
      <x:c r="I3041" s="115" t="str">
        <x:v>À équilibrer</x:v>
      </x:c>
      <x:c r="J3041" s="115" t="str">
        <x:v>Non</x:v>
      </x:c>
      <x:c r="K3041" s="115" t="str">
        <x:v>Pièces décrites, murs, portes, niveaux et mobilier inspectables à l’échelle. Volumes réservés, raccord au seed, butin, rencontres et services de campagne restent à terminer.</x:v>
      </x:c>
    </x:row>
    <x:row r="3042" ht="96" customHeight="1">
      <x:c r="A3042" s="115" t="str">
        <x:v>EXT-MONDE-T061-V37</x:v>
      </x:c>
      <x:c r="B3042" s="115" t="str">
        <x:v>EXT-MONDE-T061</x:v>
      </x:c>
      <x:c r="C3042" s="115" t="str">
        <x:v>Épuration</x:v>
      </x:c>
      <x:c r="D3042" s="115" t="str">
        <x:v>Station d’épuration urbaine</x:v>
      </x:c>
      <x:c r="E3042" s="115" t="n">
        <x:v>37</x:v>
      </x:c>
      <x:c r="F3042" s="115" t="str">
        <x:v>Inspection physique</x:v>
      </x:c>
      <x:c r="G3042" s="115" t="str">
        <x:v>1 niveaux ; 22 pièces ; 167 segments de mur ; 0 transitions. Inspection physique ; architecture complète encore ouverte.</x:v>
      </x:c>
      <x:c r="H3042" s="115" t="str">
        <x:v>L 484 ; l 500 ; hauteur 12 m ; choix de composition auteur ; dimensions réelles à documenter</x:v>
      </x:c>
      <x:c r="I3042" s="115" t="str">
        <x:v>À équilibrer</x:v>
      </x:c>
      <x:c r="J3042" s="115" t="str">
        <x:v>Non</x:v>
      </x:c>
      <x:c r="K3042" s="115" t="str">
        <x:v>Pièces décrites, murs, portes, niveaux et mobilier inspectables à l’échelle. Volumes réservés, raccord au seed, butin, rencontres et services de campagne restent à terminer.</x:v>
      </x:c>
    </x:row>
    <x:row r="3043" ht="96" customHeight="1">
      <x:c r="A3043" s="115" t="str">
        <x:v>EXT-MONDE-T061-V38</x:v>
      </x:c>
      <x:c r="B3043" s="115" t="str">
        <x:v>EXT-MONDE-T061</x:v>
      </x:c>
      <x:c r="C3043" s="115" t="str">
        <x:v>Épuration</x:v>
      </x:c>
      <x:c r="D3043" s="115" t="str">
        <x:v>Station d’épuration urbaine</x:v>
      </x:c>
      <x:c r="E3043" s="115" t="n">
        <x:v>38</x:v>
      </x:c>
      <x:c r="F3043" s="115" t="str">
        <x:v>Inspection physique</x:v>
      </x:c>
      <x:c r="G3043" s="115" t="str">
        <x:v>1 niveaux ; 22 pièces ; 167 segments de mur ; 0 transitions. Inspection physique ; architecture complète encore ouverte.</x:v>
      </x:c>
      <x:c r="H3043" s="115" t="str">
        <x:v>L 484 ; l 500 ; hauteur 12 m ; choix de composition auteur ; dimensions réelles à documenter</x:v>
      </x:c>
      <x:c r="I3043" s="115" t="str">
        <x:v>À équilibrer</x:v>
      </x:c>
      <x:c r="J3043" s="115" t="str">
        <x:v>Non</x:v>
      </x:c>
      <x:c r="K3043" s="115" t="str">
        <x:v>Pièces décrites, murs, portes, niveaux et mobilier inspectables à l’échelle. Volumes réservés, raccord au seed, butin, rencontres et services de campagne restent à terminer.</x:v>
      </x:c>
    </x:row>
    <x:row r="3044" ht="96" customHeight="1">
      <x:c r="A3044" s="115" t="str">
        <x:v>EXT-MONDE-T061-V39</x:v>
      </x:c>
      <x:c r="B3044" s="115" t="str">
        <x:v>EXT-MONDE-T061</x:v>
      </x:c>
      <x:c r="C3044" s="115" t="str">
        <x:v>Épuration</x:v>
      </x:c>
      <x:c r="D3044" s="115" t="str">
        <x:v>Station d’épuration urbaine</x:v>
      </x:c>
      <x:c r="E3044" s="115" t="n">
        <x:v>39</x:v>
      </x:c>
      <x:c r="F3044" s="115" t="str">
        <x:v>Inspection physique</x:v>
      </x:c>
      <x:c r="G3044" s="115" t="str">
        <x:v>1 niveaux ; 22 pièces ; 167 segments de mur ; 0 transitions. Inspection physique ; architecture complète encore ouverte.</x:v>
      </x:c>
      <x:c r="H3044" s="115" t="str">
        <x:v>L 484 ; l 500 ; hauteur 12 m ; choix de composition auteur ; dimensions réelles à documenter</x:v>
      </x:c>
      <x:c r="I3044" s="115" t="str">
        <x:v>À équilibrer</x:v>
      </x:c>
      <x:c r="J3044" s="115" t="str">
        <x:v>Non</x:v>
      </x:c>
      <x:c r="K3044" s="115" t="str">
        <x:v>Pièces décrites, murs, portes, niveaux et mobilier inspectables à l’échelle. Volumes réservés, raccord au seed, butin, rencontres et services de campagne restent à terminer.</x:v>
      </x:c>
    </x:row>
    <x:row r="3045" ht="96" customHeight="1">
      <x:c r="A3045" s="115" t="str">
        <x:v>EXT-MONDE-T061-V40</x:v>
      </x:c>
      <x:c r="B3045" s="115" t="str">
        <x:v>EXT-MONDE-T061</x:v>
      </x:c>
      <x:c r="C3045" s="115" t="str">
        <x:v>Épuration</x:v>
      </x:c>
      <x:c r="D3045" s="115" t="str">
        <x:v>Station d’épuration urbaine</x:v>
      </x:c>
      <x:c r="E3045" s="115" t="n">
        <x:v>40</x:v>
      </x:c>
      <x:c r="F3045" s="115" t="str">
        <x:v>Inspection physique</x:v>
      </x:c>
      <x:c r="G3045" s="115" t="str">
        <x:v>1 niveaux ; 22 pièces ; 167 segments de mur ; 0 transitions. Inspection physique ; architecture complète encore ouverte.</x:v>
      </x:c>
      <x:c r="H3045" s="115" t="str">
        <x:v>L 484 ; l 500 ; hauteur 12 m ; choix de composition auteur ; dimensions réelles à documenter</x:v>
      </x:c>
      <x:c r="I3045" s="115" t="str">
        <x:v>À équilibrer</x:v>
      </x:c>
      <x:c r="J3045" s="115" t="str">
        <x:v>Non</x:v>
      </x:c>
      <x:c r="K3045" s="115" t="str">
        <x:v>Pièces décrites, murs, portes, niveaux et mobilier inspectables à l’échelle. Volumes réservés, raccord au seed, butin, rencontres et services de campagne restent à terminer.</x:v>
      </x:c>
    </x:row>
    <x:row r="3046" ht="96" customHeight="1">
      <x:c r="A3046" s="115" t="str">
        <x:v>EXT-MONDE-T061-V41</x:v>
      </x:c>
      <x:c r="B3046" s="115" t="str">
        <x:v>EXT-MONDE-T061</x:v>
      </x:c>
      <x:c r="C3046" s="115" t="str">
        <x:v>Épuration</x:v>
      </x:c>
      <x:c r="D3046" s="115" t="str">
        <x:v>Station d’épuration urbaine</x:v>
      </x:c>
      <x:c r="E3046" s="115" t="n">
        <x:v>41</x:v>
      </x:c>
      <x:c r="F3046" s="115" t="str">
        <x:v>Inspection physique</x:v>
      </x:c>
      <x:c r="G3046" s="115" t="str">
        <x:v>1 niveaux ; 22 pièces ; 167 segments de mur ; 0 transitions. Inspection physique ; architecture complète encore ouverte.</x:v>
      </x:c>
      <x:c r="H3046" s="115" t="str">
        <x:v>L 502 ; l 520 ; hauteur 12 m ; choix de composition auteur ; dimensions réelles à documenter</x:v>
      </x:c>
      <x:c r="I3046" s="115" t="str">
        <x:v>À équilibrer</x:v>
      </x:c>
      <x:c r="J3046" s="115" t="str">
        <x:v>Non</x:v>
      </x:c>
      <x:c r="K3046" s="115" t="str">
        <x:v>Pièces décrites, murs, portes, niveaux et mobilier inspectables à l’échelle. Volumes réservés, raccord au seed, butin, rencontres et services de campagne restent à terminer.</x:v>
      </x:c>
    </x:row>
    <x:row r="3047" ht="96" customHeight="1">
      <x:c r="A3047" s="115" t="str">
        <x:v>EXT-MONDE-T061-V42</x:v>
      </x:c>
      <x:c r="B3047" s="115" t="str">
        <x:v>EXT-MONDE-T061</x:v>
      </x:c>
      <x:c r="C3047" s="115" t="str">
        <x:v>Épuration</x:v>
      </x:c>
      <x:c r="D3047" s="115" t="str">
        <x:v>Station d’épuration urbaine</x:v>
      </x:c>
      <x:c r="E3047" s="115" t="n">
        <x:v>42</x:v>
      </x:c>
      <x:c r="F3047" s="115" t="str">
        <x:v>Inspection physique</x:v>
      </x:c>
      <x:c r="G3047" s="115" t="str">
        <x:v>1 niveaux ; 22 pièces ; 167 segments de mur ; 0 transitions. Inspection physique ; architecture complète encore ouverte.</x:v>
      </x:c>
      <x:c r="H3047" s="115" t="str">
        <x:v>L 502 ; l 520 ; hauteur 12 m ; choix de composition auteur ; dimensions réelles à documenter</x:v>
      </x:c>
      <x:c r="I3047" s="115" t="str">
        <x:v>À équilibrer</x:v>
      </x:c>
      <x:c r="J3047" s="115" t="str">
        <x:v>Non</x:v>
      </x:c>
      <x:c r="K3047" s="115" t="str">
        <x:v>Pièces décrites, murs, portes, niveaux et mobilier inspectables à l’échelle. Volumes réservés, raccord au seed, butin, rencontres et services de campagne restent à terminer.</x:v>
      </x:c>
    </x:row>
    <x:row r="3048" ht="96" customHeight="1">
      <x:c r="A3048" s="115" t="str">
        <x:v>EXT-MONDE-T061-V43</x:v>
      </x:c>
      <x:c r="B3048" s="115" t="str">
        <x:v>EXT-MONDE-T061</x:v>
      </x:c>
      <x:c r="C3048" s="115" t="str">
        <x:v>Épuration</x:v>
      </x:c>
      <x:c r="D3048" s="115" t="str">
        <x:v>Station d’épuration urbaine</x:v>
      </x:c>
      <x:c r="E3048" s="115" t="n">
        <x:v>43</x:v>
      </x:c>
      <x:c r="F3048" s="115" t="str">
        <x:v>Inspection physique</x:v>
      </x:c>
      <x:c r="G3048" s="115" t="str">
        <x:v>1 niveaux ; 22 pièces ; 167 segments de mur ; 0 transitions. Inspection physique ; architecture complète encore ouverte.</x:v>
      </x:c>
      <x:c r="H3048" s="115" t="str">
        <x:v>L 502 ; l 520 ; hauteur 12 m ; choix de composition auteur ; dimensions réelles à documenter</x:v>
      </x:c>
      <x:c r="I3048" s="115" t="str">
        <x:v>À équilibrer</x:v>
      </x:c>
      <x:c r="J3048" s="115" t="str">
        <x:v>Non</x:v>
      </x:c>
      <x:c r="K3048" s="115" t="str">
        <x:v>Pièces décrites, murs, portes, niveaux et mobilier inspectables à l’échelle. Volumes réservés, raccord au seed, butin, rencontres et services de campagne restent à terminer.</x:v>
      </x:c>
    </x:row>
    <x:row r="3049" ht="96" customHeight="1">
      <x:c r="A3049" s="115" t="str">
        <x:v>EXT-MONDE-T061-V44</x:v>
      </x:c>
      <x:c r="B3049" s="115" t="str">
        <x:v>EXT-MONDE-T061</x:v>
      </x:c>
      <x:c r="C3049" s="115" t="str">
        <x:v>Épuration</x:v>
      </x:c>
      <x:c r="D3049" s="115" t="str">
        <x:v>Station d’épuration urbaine</x:v>
      </x:c>
      <x:c r="E3049" s="115" t="n">
        <x:v>44</x:v>
      </x:c>
      <x:c r="F3049" s="115" t="str">
        <x:v>Inspection physique</x:v>
      </x:c>
      <x:c r="G3049" s="115" t="str">
        <x:v>1 niveaux ; 22 pièces ; 167 segments de mur ; 0 transitions. Inspection physique ; architecture complète encore ouverte.</x:v>
      </x:c>
      <x:c r="H3049" s="115" t="str">
        <x:v>L 502 ; l 520 ; hauteur 12 m ; choix de composition auteur ; dimensions réelles à documenter</x:v>
      </x:c>
      <x:c r="I3049" s="115" t="str">
        <x:v>À équilibrer</x:v>
      </x:c>
      <x:c r="J3049" s="115" t="str">
        <x:v>Non</x:v>
      </x:c>
      <x:c r="K3049" s="115" t="str">
        <x:v>Pièces décrites, murs, portes, niveaux et mobilier inspectables à l’échelle. Volumes réservés, raccord au seed, butin, rencontres et services de campagne restent à terminer.</x:v>
      </x:c>
    </x:row>
    <x:row r="3050" ht="96" customHeight="1">
      <x:c r="A3050" s="115" t="str">
        <x:v>EXT-MONDE-T061-V45</x:v>
      </x:c>
      <x:c r="B3050" s="115" t="str">
        <x:v>EXT-MONDE-T061</x:v>
      </x:c>
      <x:c r="C3050" s="115" t="str">
        <x:v>Épuration</x:v>
      </x:c>
      <x:c r="D3050" s="115" t="str">
        <x:v>Station d’épuration urbaine</x:v>
      </x:c>
      <x:c r="E3050" s="115" t="n">
        <x:v>45</x:v>
      </x:c>
      <x:c r="F3050" s="115" t="str">
        <x:v>Inspection physique</x:v>
      </x:c>
      <x:c r="G3050" s="115" t="str">
        <x:v>1 niveaux ; 22 pièces ; 167 segments de mur ; 0 transitions. Inspection physique ; architecture complète encore ouverte.</x:v>
      </x:c>
      <x:c r="H3050" s="115" t="str">
        <x:v>L 502 ; l 520 ; hauteur 12 m ; choix de composition auteur ; dimensions réelles à documenter</x:v>
      </x:c>
      <x:c r="I3050" s="115" t="str">
        <x:v>À équilibrer</x:v>
      </x:c>
      <x:c r="J3050" s="115" t="str">
        <x:v>Non</x:v>
      </x:c>
      <x:c r="K3050" s="115" t="str">
        <x:v>Pièces décrites, murs, portes, niveaux et mobilier inspectables à l’échelle. Volumes réservés, raccord au seed, butin, rencontres et services de campagne restent à terminer.</x:v>
      </x:c>
    </x:row>
    <x:row r="3051" ht="96" customHeight="1">
      <x:c r="A3051" s="115" t="str">
        <x:v>EXT-MONDE-T061-V46</x:v>
      </x:c>
      <x:c r="B3051" s="115" t="str">
        <x:v>EXT-MONDE-T061</x:v>
      </x:c>
      <x:c r="C3051" s="115" t="str">
        <x:v>Épuration</x:v>
      </x:c>
      <x:c r="D3051" s="115" t="str">
        <x:v>Station d’épuration urbaine</x:v>
      </x:c>
      <x:c r="E3051" s="115" t="n">
        <x:v>46</x:v>
      </x:c>
      <x:c r="F3051" s="115" t="str">
        <x:v>Inspection physique</x:v>
      </x:c>
      <x:c r="G3051" s="115" t="str">
        <x:v>1 niveaux ; 22 pièces ; 167 segments de mur ; 0 transitions. Inspection physique ; architecture complète encore ouverte.</x:v>
      </x:c>
      <x:c r="H3051" s="115" t="str">
        <x:v>L 502 ; l 520 ; hauteur 12 m ; choix de composition auteur ; dimensions réelles à documenter</x:v>
      </x:c>
      <x:c r="I3051" s="115" t="str">
        <x:v>À équilibrer</x:v>
      </x:c>
      <x:c r="J3051" s="115" t="str">
        <x:v>Non</x:v>
      </x:c>
      <x:c r="K3051" s="115" t="str">
        <x:v>Pièces décrites, murs, portes, niveaux et mobilier inspectables à l’échelle. Volumes réservés, raccord au seed, butin, rencontres et services de campagne restent à terminer.</x:v>
      </x:c>
    </x:row>
    <x:row r="3052" ht="96" customHeight="1">
      <x:c r="A3052" s="115" t="str">
        <x:v>EXT-MONDE-T061-V47</x:v>
      </x:c>
      <x:c r="B3052" s="115" t="str">
        <x:v>EXT-MONDE-T061</x:v>
      </x:c>
      <x:c r="C3052" s="115" t="str">
        <x:v>Épuration</x:v>
      </x:c>
      <x:c r="D3052" s="115" t="str">
        <x:v>Station d’épuration urbaine</x:v>
      </x:c>
      <x:c r="E3052" s="115" t="n">
        <x:v>47</x:v>
      </x:c>
      <x:c r="F3052" s="115" t="str">
        <x:v>Inspection physique</x:v>
      </x:c>
      <x:c r="G3052" s="115" t="str">
        <x:v>1 niveaux ; 22 pièces ; 167 segments de mur ; 0 transitions. Inspection physique ; architecture complète encore ouverte.</x:v>
      </x:c>
      <x:c r="H3052" s="115" t="str">
        <x:v>L 502 ; l 520 ; hauteur 12 m ; choix de composition auteur ; dimensions réelles à documenter</x:v>
      </x:c>
      <x:c r="I3052" s="115" t="str">
        <x:v>À équilibrer</x:v>
      </x:c>
      <x:c r="J3052" s="115" t="str">
        <x:v>Non</x:v>
      </x:c>
      <x:c r="K3052" s="115" t="str">
        <x:v>Pièces décrites, murs, portes, niveaux et mobilier inspectables à l’échelle. Volumes réservés, raccord au seed, butin, rencontres et services de campagne restent à terminer.</x:v>
      </x:c>
    </x:row>
    <x:row r="3053" ht="96" customHeight="1">
      <x:c r="A3053" s="115" t="str">
        <x:v>EXT-MONDE-T061-V48</x:v>
      </x:c>
      <x:c r="B3053" s="115" t="str">
        <x:v>EXT-MONDE-T061</x:v>
      </x:c>
      <x:c r="C3053" s="115" t="str">
        <x:v>Épuration</x:v>
      </x:c>
      <x:c r="D3053" s="115" t="str">
        <x:v>Station d’épuration urbaine</x:v>
      </x:c>
      <x:c r="E3053" s="115" t="n">
        <x:v>48</x:v>
      </x:c>
      <x:c r="F3053" s="115" t="str">
        <x:v>Inspection physique</x:v>
      </x:c>
      <x:c r="G3053" s="115" t="str">
        <x:v>1 niveaux ; 22 pièces ; 167 segments de mur ; 0 transitions. Inspection physique ; architecture complète encore ouverte.</x:v>
      </x:c>
      <x:c r="H3053" s="115" t="str">
        <x:v>L 502 ; l 520 ; hauteur 12 m ; choix de composition auteur ; dimensions réelles à documenter</x:v>
      </x:c>
      <x:c r="I3053" s="115" t="str">
        <x:v>À équilibrer</x:v>
      </x:c>
      <x:c r="J3053" s="115" t="str">
        <x:v>Non</x:v>
      </x:c>
      <x:c r="K3053" s="115" t="str">
        <x:v>Pièces décrites, murs, portes, niveaux et mobilier inspectables à l’échelle. Volumes réservés, raccord au seed, butin, rencontres et services de campagne restent à terminer.</x:v>
      </x:c>
    </x:row>
    <x:row r="3054" ht="96" customHeight="1">
      <x:c r="A3054" s="115" t="str">
        <x:v>EXT-MONDE-T061-V49</x:v>
      </x:c>
      <x:c r="B3054" s="115" t="str">
        <x:v>EXT-MONDE-T061</x:v>
      </x:c>
      <x:c r="C3054" s="115" t="str">
        <x:v>Épuration</x:v>
      </x:c>
      <x:c r="D3054" s="115" t="str">
        <x:v>Station d’épuration urbaine</x:v>
      </x:c>
      <x:c r="E3054" s="115" t="n">
        <x:v>49</x:v>
      </x:c>
      <x:c r="F3054" s="115" t="str">
        <x:v>Inspection physique</x:v>
      </x:c>
      <x:c r="G3054" s="115" t="str">
        <x:v>1 niveaux ; 22 pièces ; 167 segments de mur ; 0 transitions. Inspection physique ; architecture complète encore ouverte.</x:v>
      </x:c>
      <x:c r="H3054" s="115" t="str">
        <x:v>L 502 ; l 520 ; hauteur 12 m ; choix de composition auteur ; dimensions réelles à documenter</x:v>
      </x:c>
      <x:c r="I3054" s="115" t="str">
        <x:v>À équilibrer</x:v>
      </x:c>
      <x:c r="J3054" s="115" t="str">
        <x:v>Non</x:v>
      </x:c>
      <x:c r="K3054" s="115" t="str">
        <x:v>Pièces décrites, murs, portes, niveaux et mobilier inspectables à l’échelle. Volumes réservés, raccord au seed, butin, rencontres et services de campagne restent à terminer.</x:v>
      </x:c>
    </x:row>
    <x:row r="3055" ht="96" customHeight="1">
      <x:c r="A3055" s="115" t="str">
        <x:v>EXT-MONDE-T061-V50</x:v>
      </x:c>
      <x:c r="B3055" s="115" t="str">
        <x:v>EXT-MONDE-T061</x:v>
      </x:c>
      <x:c r="C3055" s="115" t="str">
        <x:v>Épuration</x:v>
      </x:c>
      <x:c r="D3055" s="115" t="str">
        <x:v>Station d’épuration urbaine</x:v>
      </x:c>
      <x:c r="E3055" s="115" t="n">
        <x:v>50</x:v>
      </x:c>
      <x:c r="F3055" s="115" t="str">
        <x:v>Inspection physique</x:v>
      </x:c>
      <x:c r="G3055" s="115" t="str">
        <x:v>1 niveaux ; 22 pièces ; 167 segments de mur ; 0 transitions. Inspection physique ; architecture complète encore ouverte.</x:v>
      </x:c>
      <x:c r="H3055" s="115" t="str">
        <x:v>L 502 ; l 520 ; hauteur 12 m ; choix de composition auteur ; dimensions réelles à documenter</x:v>
      </x:c>
      <x:c r="I3055" s="115" t="str">
        <x:v>À équilibrer</x:v>
      </x:c>
      <x:c r="J3055" s="115" t="str">
        <x:v>Non</x:v>
      </x:c>
      <x:c r="K3055" s="115" t="str">
        <x:v>Pièces décrites, murs, portes, niveaux et mobilier inspectables à l’échelle. Volumes réservés, raccord au seed, butin, rencontres et services de campagne restent à terminer.</x:v>
      </x:c>
    </x:row>
    <x:row r="3056" ht="96" customHeight="1">
      <x:c r="A3056" s="115" t="str">
        <x:v>EXT-MONDE-T062-V01</x:v>
      </x:c>
      <x:c r="B3056" s="115" t="str">
        <x:v>EXT-MONDE-T062</x:v>
      </x:c>
      <x:c r="C3056" s="115" t="str">
        <x:v>Épuration</x:v>
      </x:c>
      <x:c r="D3056" s="115" t="str">
        <x:v>Station de lagunage</x:v>
      </x:c>
      <x:c r="E3056" s="115" t="n">
        <x:v>1</x:v>
      </x:c>
      <x:c r="F3056" s="115" t="str">
        <x:v>Inspection physique</x:v>
      </x:c>
      <x:c r="G3056" s="115" t="str">
        <x:v>1 niveaux ; 22 pièces ; 167 segments de mur ; 0 transitions. Inspection physique ; architecture complète encore ouverte.</x:v>
      </x:c>
      <x:c r="H3056" s="115" t="str">
        <x:v>L 430 ; l 440 ; hauteur 5 m ; choix de composition auteur ; dimensions réelles à documenter</x:v>
      </x:c>
      <x:c r="I3056" s="115" t="str">
        <x:v>À équilibrer</x:v>
      </x:c>
      <x:c r="J3056" s="115" t="str">
        <x:v>Non</x:v>
      </x:c>
      <x:c r="K3056" s="115" t="str">
        <x:v>Pièces décrites, murs, portes, niveaux et mobilier inspectables à l’échelle. Volumes réservés, raccord au seed, butin, rencontres et services de campagne restent à terminer.</x:v>
      </x:c>
    </x:row>
    <x:row r="3057" ht="96" customHeight="1">
      <x:c r="A3057" s="115" t="str">
        <x:v>EXT-MONDE-T062-V02</x:v>
      </x:c>
      <x:c r="B3057" s="115" t="str">
        <x:v>EXT-MONDE-T062</x:v>
      </x:c>
      <x:c r="C3057" s="115" t="str">
        <x:v>Épuration</x:v>
      </x:c>
      <x:c r="D3057" s="115" t="str">
        <x:v>Station de lagunage</x:v>
      </x:c>
      <x:c r="E3057" s="115" t="n">
        <x:v>2</x:v>
      </x:c>
      <x:c r="F3057" s="115" t="str">
        <x:v>Inspection physique</x:v>
      </x:c>
      <x:c r="G3057" s="115" t="str">
        <x:v>1 niveaux ; 22 pièces ; 167 segments de mur ; 0 transitions. Inspection physique ; architecture complète encore ouverte.</x:v>
      </x:c>
      <x:c r="H3057" s="115" t="str">
        <x:v>L 430 ; l 440 ; hauteur 5 m ; choix de composition auteur ; dimensions réelles à documenter</x:v>
      </x:c>
      <x:c r="I3057" s="115" t="str">
        <x:v>À équilibrer</x:v>
      </x:c>
      <x:c r="J3057" s="115" t="str">
        <x:v>Non</x:v>
      </x:c>
      <x:c r="K3057" s="115" t="str">
        <x:v>Pièces décrites, murs, portes, niveaux et mobilier inspectables à l’échelle. Volumes réservés, raccord au seed, butin, rencontres et services de campagne restent à terminer.</x:v>
      </x:c>
    </x:row>
    <x:row r="3058" ht="96" customHeight="1">
      <x:c r="A3058" s="115" t="str">
        <x:v>EXT-MONDE-T062-V03</x:v>
      </x:c>
      <x:c r="B3058" s="115" t="str">
        <x:v>EXT-MONDE-T062</x:v>
      </x:c>
      <x:c r="C3058" s="115" t="str">
        <x:v>Épuration</x:v>
      </x:c>
      <x:c r="D3058" s="115" t="str">
        <x:v>Station de lagunage</x:v>
      </x:c>
      <x:c r="E3058" s="115" t="n">
        <x:v>3</x:v>
      </x:c>
      <x:c r="F3058" s="115" t="str">
        <x:v>Inspection physique</x:v>
      </x:c>
      <x:c r="G3058" s="115" t="str">
        <x:v>1 niveaux ; 22 pièces ; 167 segments de mur ; 0 transitions. Inspection physique ; architecture complète encore ouverte.</x:v>
      </x:c>
      <x:c r="H3058" s="115" t="str">
        <x:v>L 430 ; l 440 ; hauteur 5 m ; choix de composition auteur ; dimensions réelles à documenter</x:v>
      </x:c>
      <x:c r="I3058" s="115" t="str">
        <x:v>À équilibrer</x:v>
      </x:c>
      <x:c r="J3058" s="115" t="str">
        <x:v>Non</x:v>
      </x:c>
      <x:c r="K3058" s="115" t="str">
        <x:v>Pièces décrites, murs, portes, niveaux et mobilier inspectables à l’échelle. Volumes réservés, raccord au seed, butin, rencontres et services de campagne restent à terminer.</x:v>
      </x:c>
    </x:row>
    <x:row r="3059" ht="96" customHeight="1">
      <x:c r="A3059" s="115" t="str">
        <x:v>EXT-MONDE-T062-V04</x:v>
      </x:c>
      <x:c r="B3059" s="115" t="str">
        <x:v>EXT-MONDE-T062</x:v>
      </x:c>
      <x:c r="C3059" s="115" t="str">
        <x:v>Épuration</x:v>
      </x:c>
      <x:c r="D3059" s="115" t="str">
        <x:v>Station de lagunage</x:v>
      </x:c>
      <x:c r="E3059" s="115" t="n">
        <x:v>4</x:v>
      </x:c>
      <x:c r="F3059" s="115" t="str">
        <x:v>Inspection physique</x:v>
      </x:c>
      <x:c r="G3059" s="115" t="str">
        <x:v>1 niveaux ; 22 pièces ; 167 segments de mur ; 0 transitions. Inspection physique ; architecture complète encore ouverte.</x:v>
      </x:c>
      <x:c r="H3059" s="115" t="str">
        <x:v>L 430 ; l 440 ; hauteur 5 m ; choix de composition auteur ; dimensions réelles à documenter</x:v>
      </x:c>
      <x:c r="I3059" s="115" t="str">
        <x:v>À équilibrer</x:v>
      </x:c>
      <x:c r="J3059" s="115" t="str">
        <x:v>Non</x:v>
      </x:c>
      <x:c r="K3059" s="115" t="str">
        <x:v>Pièces décrites, murs, portes, niveaux et mobilier inspectables à l’échelle. Volumes réservés, raccord au seed, butin, rencontres et services de campagne restent à terminer.</x:v>
      </x:c>
    </x:row>
    <x:row r="3060" ht="96" customHeight="1">
      <x:c r="A3060" s="115" t="str">
        <x:v>EXT-MONDE-T062-V05</x:v>
      </x:c>
      <x:c r="B3060" s="115" t="str">
        <x:v>EXT-MONDE-T062</x:v>
      </x:c>
      <x:c r="C3060" s="115" t="str">
        <x:v>Épuration</x:v>
      </x:c>
      <x:c r="D3060" s="115" t="str">
        <x:v>Station de lagunage</x:v>
      </x:c>
      <x:c r="E3060" s="115" t="n">
        <x:v>5</x:v>
      </x:c>
      <x:c r="F3060" s="115" t="str">
        <x:v>Inspection physique</x:v>
      </x:c>
      <x:c r="G3060" s="115" t="str">
        <x:v>1 niveaux ; 22 pièces ; 167 segments de mur ; 0 transitions. Inspection physique ; architecture complète encore ouverte.</x:v>
      </x:c>
      <x:c r="H3060" s="115" t="str">
        <x:v>L 430 ; l 440 ; hauteur 5 m ; choix de composition auteur ; dimensions réelles à documenter</x:v>
      </x:c>
      <x:c r="I3060" s="115" t="str">
        <x:v>À équilibrer</x:v>
      </x:c>
      <x:c r="J3060" s="115" t="str">
        <x:v>Non</x:v>
      </x:c>
      <x:c r="K3060" s="115" t="str">
        <x:v>Pièces décrites, murs, portes, niveaux et mobilier inspectables à l’échelle. Volumes réservés, raccord au seed, butin, rencontres et services de campagne restent à terminer.</x:v>
      </x:c>
    </x:row>
    <x:row r="3061" ht="96" customHeight="1">
      <x:c r="A3061" s="115" t="str">
        <x:v>EXT-MONDE-T062-V06</x:v>
      </x:c>
      <x:c r="B3061" s="115" t="str">
        <x:v>EXT-MONDE-T062</x:v>
      </x:c>
      <x:c r="C3061" s="115" t="str">
        <x:v>Épuration</x:v>
      </x:c>
      <x:c r="D3061" s="115" t="str">
        <x:v>Station de lagunage</x:v>
      </x:c>
      <x:c r="E3061" s="115" t="n">
        <x:v>6</x:v>
      </x:c>
      <x:c r="F3061" s="115" t="str">
        <x:v>Inspection physique</x:v>
      </x:c>
      <x:c r="G3061" s="115" t="str">
        <x:v>1 niveaux ; 22 pièces ; 167 segments de mur ; 0 transitions. Inspection physique ; architecture complète encore ouverte.</x:v>
      </x:c>
      <x:c r="H3061" s="115" t="str">
        <x:v>L 430 ; l 440 ; hauteur 5 m ; choix de composition auteur ; dimensions réelles à documenter</x:v>
      </x:c>
      <x:c r="I3061" s="115" t="str">
        <x:v>À équilibrer</x:v>
      </x:c>
      <x:c r="J3061" s="115" t="str">
        <x:v>Non</x:v>
      </x:c>
      <x:c r="K3061" s="115" t="str">
        <x:v>Pièces décrites, murs, portes, niveaux et mobilier inspectables à l’échelle. Volumes réservés, raccord au seed, butin, rencontres et services de campagne restent à terminer.</x:v>
      </x:c>
    </x:row>
    <x:row r="3062" ht="96" customHeight="1">
      <x:c r="A3062" s="115" t="str">
        <x:v>EXT-MONDE-T062-V07</x:v>
      </x:c>
      <x:c r="B3062" s="115" t="str">
        <x:v>EXT-MONDE-T062</x:v>
      </x:c>
      <x:c r="C3062" s="115" t="str">
        <x:v>Épuration</x:v>
      </x:c>
      <x:c r="D3062" s="115" t="str">
        <x:v>Station de lagunage</x:v>
      </x:c>
      <x:c r="E3062" s="115" t="n">
        <x:v>7</x:v>
      </x:c>
      <x:c r="F3062" s="115" t="str">
        <x:v>Inspection physique</x:v>
      </x:c>
      <x:c r="G3062" s="115" t="str">
        <x:v>1 niveaux ; 22 pièces ; 167 segments de mur ; 0 transitions. Inspection physique ; architecture complète encore ouverte.</x:v>
      </x:c>
      <x:c r="H3062" s="115" t="str">
        <x:v>L 430 ; l 440 ; hauteur 5 m ; choix de composition auteur ; dimensions réelles à documenter</x:v>
      </x:c>
      <x:c r="I3062" s="115" t="str">
        <x:v>À équilibrer</x:v>
      </x:c>
      <x:c r="J3062" s="115" t="str">
        <x:v>Non</x:v>
      </x:c>
      <x:c r="K3062" s="115" t="str">
        <x:v>Pièces décrites, murs, portes, niveaux et mobilier inspectables à l’échelle. Volumes réservés, raccord au seed, butin, rencontres et services de campagne restent à terminer.</x:v>
      </x:c>
    </x:row>
    <x:row r="3063" ht="96" customHeight="1">
      <x:c r="A3063" s="115" t="str">
        <x:v>EXT-MONDE-T062-V08</x:v>
      </x:c>
      <x:c r="B3063" s="115" t="str">
        <x:v>EXT-MONDE-T062</x:v>
      </x:c>
      <x:c r="C3063" s="115" t="str">
        <x:v>Épuration</x:v>
      </x:c>
      <x:c r="D3063" s="115" t="str">
        <x:v>Station de lagunage</x:v>
      </x:c>
      <x:c r="E3063" s="115" t="n">
        <x:v>8</x:v>
      </x:c>
      <x:c r="F3063" s="115" t="str">
        <x:v>Inspection physique</x:v>
      </x:c>
      <x:c r="G3063" s="115" t="str">
        <x:v>1 niveaux ; 22 pièces ; 167 segments de mur ; 0 transitions. Inspection physique ; architecture complète encore ouverte.</x:v>
      </x:c>
      <x:c r="H3063" s="115" t="str">
        <x:v>L 430 ; l 440 ; hauteur 5 m ; choix de composition auteur ; dimensions réelles à documenter</x:v>
      </x:c>
      <x:c r="I3063" s="115" t="str">
        <x:v>À équilibrer</x:v>
      </x:c>
      <x:c r="J3063" s="115" t="str">
        <x:v>Non</x:v>
      </x:c>
      <x:c r="K3063" s="115" t="str">
        <x:v>Pièces décrites, murs, portes, niveaux et mobilier inspectables à l’échelle. Volumes réservés, raccord au seed, butin, rencontres et services de campagne restent à terminer.</x:v>
      </x:c>
    </x:row>
    <x:row r="3064" ht="96" customHeight="1">
      <x:c r="A3064" s="115" t="str">
        <x:v>EXT-MONDE-T062-V09</x:v>
      </x:c>
      <x:c r="B3064" s="115" t="str">
        <x:v>EXT-MONDE-T062</x:v>
      </x:c>
      <x:c r="C3064" s="115" t="str">
        <x:v>Épuration</x:v>
      </x:c>
      <x:c r="D3064" s="115" t="str">
        <x:v>Station de lagunage</x:v>
      </x:c>
      <x:c r="E3064" s="115" t="n">
        <x:v>9</x:v>
      </x:c>
      <x:c r="F3064" s="115" t="str">
        <x:v>Inspection physique</x:v>
      </x:c>
      <x:c r="G3064" s="115" t="str">
        <x:v>1 niveaux ; 22 pièces ; 167 segments de mur ; 0 transitions. Inspection physique ; architecture complète encore ouverte.</x:v>
      </x:c>
      <x:c r="H3064" s="115" t="str">
        <x:v>L 430 ; l 440 ; hauteur 5 m ; choix de composition auteur ; dimensions réelles à documenter</x:v>
      </x:c>
      <x:c r="I3064" s="115" t="str">
        <x:v>À équilibrer</x:v>
      </x:c>
      <x:c r="J3064" s="115" t="str">
        <x:v>Non</x:v>
      </x:c>
      <x:c r="K3064" s="115" t="str">
        <x:v>Pièces décrites, murs, portes, niveaux et mobilier inspectables à l’échelle. Volumes réservés, raccord au seed, butin, rencontres et services de campagne restent à terminer.</x:v>
      </x:c>
    </x:row>
    <x:row r="3065" ht="96" customHeight="1">
      <x:c r="A3065" s="115" t="str">
        <x:v>EXT-MONDE-T062-V10</x:v>
      </x:c>
      <x:c r="B3065" s="115" t="str">
        <x:v>EXT-MONDE-T062</x:v>
      </x:c>
      <x:c r="C3065" s="115" t="str">
        <x:v>Épuration</x:v>
      </x:c>
      <x:c r="D3065" s="115" t="str">
        <x:v>Station de lagunage</x:v>
      </x:c>
      <x:c r="E3065" s="115" t="n">
        <x:v>10</x:v>
      </x:c>
      <x:c r="F3065" s="115" t="str">
        <x:v>Inspection physique</x:v>
      </x:c>
      <x:c r="G3065" s="115" t="str">
        <x:v>1 niveaux ; 22 pièces ; 167 segments de mur ; 0 transitions. Inspection physique ; architecture complète encore ouverte.</x:v>
      </x:c>
      <x:c r="H3065" s="115" t="str">
        <x:v>L 430 ; l 440 ; hauteur 5 m ; choix de composition auteur ; dimensions réelles à documenter</x:v>
      </x:c>
      <x:c r="I3065" s="115" t="str">
        <x:v>À équilibrer</x:v>
      </x:c>
      <x:c r="J3065" s="115" t="str">
        <x:v>Non</x:v>
      </x:c>
      <x:c r="K3065" s="115" t="str">
        <x:v>Pièces décrites, murs, portes, niveaux et mobilier inspectables à l’échelle. Volumes réservés, raccord au seed, butin, rencontres et services de campagne restent à terminer.</x:v>
      </x:c>
    </x:row>
    <x:row r="3066" ht="96" customHeight="1">
      <x:c r="A3066" s="115" t="str">
        <x:v>EXT-MONDE-T062-V11</x:v>
      </x:c>
      <x:c r="B3066" s="115" t="str">
        <x:v>EXT-MONDE-T062</x:v>
      </x:c>
      <x:c r="C3066" s="115" t="str">
        <x:v>Épuration</x:v>
      </x:c>
      <x:c r="D3066" s="115" t="str">
        <x:v>Station de lagunage</x:v>
      </x:c>
      <x:c r="E3066" s="115" t="n">
        <x:v>11</x:v>
      </x:c>
      <x:c r="F3066" s="115" t="str">
        <x:v>Inspection physique</x:v>
      </x:c>
      <x:c r="G3066" s="115" t="str">
        <x:v>1 niveaux ; 22 pièces ; 167 segments de mur ; 0 transitions. Inspection physique ; architecture complète encore ouverte.</x:v>
      </x:c>
      <x:c r="H3066" s="115" t="str">
        <x:v>L 448 ; l 460 ; hauteur 5,2 m ; choix de composition auteur ; dimensions réelles à documenter</x:v>
      </x:c>
      <x:c r="I3066" s="115" t="str">
        <x:v>À équilibrer</x:v>
      </x:c>
      <x:c r="J3066" s="115" t="str">
        <x:v>Non</x:v>
      </x:c>
      <x:c r="K3066" s="115" t="str">
        <x:v>Pièces décrites, murs, portes, niveaux et mobilier inspectables à l’échelle. Volumes réservés, raccord au seed, butin, rencontres et services de campagne restent à terminer.</x:v>
      </x:c>
    </x:row>
    <x:row r="3067" ht="96" customHeight="1">
      <x:c r="A3067" s="115" t="str">
        <x:v>EXT-MONDE-T062-V12</x:v>
      </x:c>
      <x:c r="B3067" s="115" t="str">
        <x:v>EXT-MONDE-T062</x:v>
      </x:c>
      <x:c r="C3067" s="115" t="str">
        <x:v>Épuration</x:v>
      </x:c>
      <x:c r="D3067" s="115" t="str">
        <x:v>Station de lagunage</x:v>
      </x:c>
      <x:c r="E3067" s="115" t="n">
        <x:v>12</x:v>
      </x:c>
      <x:c r="F3067" s="115" t="str">
        <x:v>Inspection physique</x:v>
      </x:c>
      <x:c r="G3067" s="115" t="str">
        <x:v>1 niveaux ; 22 pièces ; 167 segments de mur ; 0 transitions. Inspection physique ; architecture complète encore ouverte.</x:v>
      </x:c>
      <x:c r="H3067" s="115" t="str">
        <x:v>L 448 ; l 460 ; hauteur 5,2 m ; choix de composition auteur ; dimensions réelles à documenter</x:v>
      </x:c>
      <x:c r="I3067" s="115" t="str">
        <x:v>À équilibrer</x:v>
      </x:c>
      <x:c r="J3067" s="115" t="str">
        <x:v>Non</x:v>
      </x:c>
      <x:c r="K3067" s="115" t="str">
        <x:v>Pièces décrites, murs, portes, niveaux et mobilier inspectables à l’échelle. Volumes réservés, raccord au seed, butin, rencontres et services de campagne restent à terminer.</x:v>
      </x:c>
    </x:row>
    <x:row r="3068" ht="96" customHeight="1">
      <x:c r="A3068" s="115" t="str">
        <x:v>EXT-MONDE-T062-V13</x:v>
      </x:c>
      <x:c r="B3068" s="115" t="str">
        <x:v>EXT-MONDE-T062</x:v>
      </x:c>
      <x:c r="C3068" s="115" t="str">
        <x:v>Épuration</x:v>
      </x:c>
      <x:c r="D3068" s="115" t="str">
        <x:v>Station de lagunage</x:v>
      </x:c>
      <x:c r="E3068" s="115" t="n">
        <x:v>13</x:v>
      </x:c>
      <x:c r="F3068" s="115" t="str">
        <x:v>Inspection physique</x:v>
      </x:c>
      <x:c r="G3068" s="115" t="str">
        <x:v>1 niveaux ; 22 pièces ; 167 segments de mur ; 0 transitions. Inspection physique ; architecture complète encore ouverte.</x:v>
      </x:c>
      <x:c r="H3068" s="115" t="str">
        <x:v>L 448 ; l 460 ; hauteur 5,2 m ; choix de composition auteur ; dimensions réelles à documenter</x:v>
      </x:c>
      <x:c r="I3068" s="115" t="str">
        <x:v>À équilibrer</x:v>
      </x:c>
      <x:c r="J3068" s="115" t="str">
        <x:v>Non</x:v>
      </x:c>
      <x:c r="K3068" s="115" t="str">
        <x:v>Pièces décrites, murs, portes, niveaux et mobilier inspectables à l’échelle. Volumes réservés, raccord au seed, butin, rencontres et services de campagne restent à terminer.</x:v>
      </x:c>
    </x:row>
    <x:row r="3069" ht="96" customHeight="1">
      <x:c r="A3069" s="115" t="str">
        <x:v>EXT-MONDE-T062-V14</x:v>
      </x:c>
      <x:c r="B3069" s="115" t="str">
        <x:v>EXT-MONDE-T062</x:v>
      </x:c>
      <x:c r="C3069" s="115" t="str">
        <x:v>Épuration</x:v>
      </x:c>
      <x:c r="D3069" s="115" t="str">
        <x:v>Station de lagunage</x:v>
      </x:c>
      <x:c r="E3069" s="115" t="n">
        <x:v>14</x:v>
      </x:c>
      <x:c r="F3069" s="115" t="str">
        <x:v>Inspection physique</x:v>
      </x:c>
      <x:c r="G3069" s="115" t="str">
        <x:v>1 niveaux ; 22 pièces ; 167 segments de mur ; 0 transitions. Inspection physique ; architecture complète encore ouverte.</x:v>
      </x:c>
      <x:c r="H3069" s="115" t="str">
        <x:v>L 448 ; l 460 ; hauteur 5,2 m ; choix de composition auteur ; dimensions réelles à documenter</x:v>
      </x:c>
      <x:c r="I3069" s="115" t="str">
        <x:v>À équilibrer</x:v>
      </x:c>
      <x:c r="J3069" s="115" t="str">
        <x:v>Non</x:v>
      </x:c>
      <x:c r="K3069" s="115" t="str">
        <x:v>Pièces décrites, murs, portes, niveaux et mobilier inspectables à l’échelle. Volumes réservés, raccord au seed, butin, rencontres et services de campagne restent à terminer.</x:v>
      </x:c>
    </x:row>
    <x:row r="3070" ht="96" customHeight="1">
      <x:c r="A3070" s="115" t="str">
        <x:v>EXT-MONDE-T062-V15</x:v>
      </x:c>
      <x:c r="B3070" s="115" t="str">
        <x:v>EXT-MONDE-T062</x:v>
      </x:c>
      <x:c r="C3070" s="115" t="str">
        <x:v>Épuration</x:v>
      </x:c>
      <x:c r="D3070" s="115" t="str">
        <x:v>Station de lagunage</x:v>
      </x:c>
      <x:c r="E3070" s="115" t="n">
        <x:v>15</x:v>
      </x:c>
      <x:c r="F3070" s="115" t="str">
        <x:v>Inspection physique</x:v>
      </x:c>
      <x:c r="G3070" s="115" t="str">
        <x:v>1 niveaux ; 22 pièces ; 167 segments de mur ; 0 transitions. Inspection physique ; architecture complète encore ouverte.</x:v>
      </x:c>
      <x:c r="H3070" s="115" t="str">
        <x:v>L 448 ; l 460 ; hauteur 5,2 m ; choix de composition auteur ; dimensions réelles à documenter</x:v>
      </x:c>
      <x:c r="I3070" s="115" t="str">
        <x:v>À équilibrer</x:v>
      </x:c>
      <x:c r="J3070" s="115" t="str">
        <x:v>Non</x:v>
      </x:c>
      <x:c r="K3070" s="115" t="str">
        <x:v>Pièces décrites, murs, portes, niveaux et mobilier inspectables à l’échelle. Volumes réservés, raccord au seed, butin, rencontres et services de campagne restent à terminer.</x:v>
      </x:c>
    </x:row>
    <x:row r="3071" ht="96" customHeight="1">
      <x:c r="A3071" s="115" t="str">
        <x:v>EXT-MONDE-T062-V16</x:v>
      </x:c>
      <x:c r="B3071" s="115" t="str">
        <x:v>EXT-MONDE-T062</x:v>
      </x:c>
      <x:c r="C3071" s="115" t="str">
        <x:v>Épuration</x:v>
      </x:c>
      <x:c r="D3071" s="115" t="str">
        <x:v>Station de lagunage</x:v>
      </x:c>
      <x:c r="E3071" s="115" t="n">
        <x:v>16</x:v>
      </x:c>
      <x:c r="F3071" s="115" t="str">
        <x:v>Inspection physique</x:v>
      </x:c>
      <x:c r="G3071" s="115" t="str">
        <x:v>1 niveaux ; 22 pièces ; 167 segments de mur ; 0 transitions. Inspection physique ; architecture complète encore ouverte.</x:v>
      </x:c>
      <x:c r="H3071" s="115" t="str">
        <x:v>L 448 ; l 460 ; hauteur 5,2 m ; choix de composition auteur ; dimensions réelles à documenter</x:v>
      </x:c>
      <x:c r="I3071" s="115" t="str">
        <x:v>À équilibrer</x:v>
      </x:c>
      <x:c r="J3071" s="115" t="str">
        <x:v>Non</x:v>
      </x:c>
      <x:c r="K3071" s="115" t="str">
        <x:v>Pièces décrites, murs, portes, niveaux et mobilier inspectables à l’échelle. Volumes réservés, raccord au seed, butin, rencontres et services de campagne restent à terminer.</x:v>
      </x:c>
    </x:row>
    <x:row r="3072" ht="96" customHeight="1">
      <x:c r="A3072" s="115" t="str">
        <x:v>EXT-MONDE-T062-V17</x:v>
      </x:c>
      <x:c r="B3072" s="115" t="str">
        <x:v>EXT-MONDE-T062</x:v>
      </x:c>
      <x:c r="C3072" s="115" t="str">
        <x:v>Épuration</x:v>
      </x:c>
      <x:c r="D3072" s="115" t="str">
        <x:v>Station de lagunage</x:v>
      </x:c>
      <x:c r="E3072" s="115" t="n">
        <x:v>17</x:v>
      </x:c>
      <x:c r="F3072" s="115" t="str">
        <x:v>Inspection physique</x:v>
      </x:c>
      <x:c r="G3072" s="115" t="str">
        <x:v>1 niveaux ; 22 pièces ; 167 segments de mur ; 0 transitions. Inspection physique ; architecture complète encore ouverte.</x:v>
      </x:c>
      <x:c r="H3072" s="115" t="str">
        <x:v>L 448 ; l 460 ; hauteur 5,2 m ; choix de composition auteur ; dimensions réelles à documenter</x:v>
      </x:c>
      <x:c r="I3072" s="115" t="str">
        <x:v>À équilibrer</x:v>
      </x:c>
      <x:c r="J3072" s="115" t="str">
        <x:v>Non</x:v>
      </x:c>
      <x:c r="K3072" s="115" t="str">
        <x:v>Pièces décrites, murs, portes, niveaux et mobilier inspectables à l’échelle. Volumes réservés, raccord au seed, butin, rencontres et services de campagne restent à terminer.</x:v>
      </x:c>
    </x:row>
    <x:row r="3073" ht="96" customHeight="1">
      <x:c r="A3073" s="115" t="str">
        <x:v>EXT-MONDE-T062-V18</x:v>
      </x:c>
      <x:c r="B3073" s="115" t="str">
        <x:v>EXT-MONDE-T062</x:v>
      </x:c>
      <x:c r="C3073" s="115" t="str">
        <x:v>Épuration</x:v>
      </x:c>
      <x:c r="D3073" s="115" t="str">
        <x:v>Station de lagunage</x:v>
      </x:c>
      <x:c r="E3073" s="115" t="n">
        <x:v>18</x:v>
      </x:c>
      <x:c r="F3073" s="115" t="str">
        <x:v>Inspection physique</x:v>
      </x:c>
      <x:c r="G3073" s="115" t="str">
        <x:v>1 niveaux ; 22 pièces ; 167 segments de mur ; 0 transitions. Inspection physique ; architecture complète encore ouverte.</x:v>
      </x:c>
      <x:c r="H3073" s="115" t="str">
        <x:v>L 448 ; l 460 ; hauteur 5,2 m ; choix de composition auteur ; dimensions réelles à documenter</x:v>
      </x:c>
      <x:c r="I3073" s="115" t="str">
        <x:v>À équilibrer</x:v>
      </x:c>
      <x:c r="J3073" s="115" t="str">
        <x:v>Non</x:v>
      </x:c>
      <x:c r="K3073" s="115" t="str">
        <x:v>Pièces décrites, murs, portes, niveaux et mobilier inspectables à l’échelle. Volumes réservés, raccord au seed, butin, rencontres et services de campagne restent à terminer.</x:v>
      </x:c>
    </x:row>
    <x:row r="3074" ht="96" customHeight="1">
      <x:c r="A3074" s="115" t="str">
        <x:v>EXT-MONDE-T062-V19</x:v>
      </x:c>
      <x:c r="B3074" s="115" t="str">
        <x:v>EXT-MONDE-T062</x:v>
      </x:c>
      <x:c r="C3074" s="115" t="str">
        <x:v>Épuration</x:v>
      </x:c>
      <x:c r="D3074" s="115" t="str">
        <x:v>Station de lagunage</x:v>
      </x:c>
      <x:c r="E3074" s="115" t="n">
        <x:v>19</x:v>
      </x:c>
      <x:c r="F3074" s="115" t="str">
        <x:v>Inspection physique</x:v>
      </x:c>
      <x:c r="G3074" s="115" t="str">
        <x:v>1 niveaux ; 22 pièces ; 167 segments de mur ; 0 transitions. Inspection physique ; architecture complète encore ouverte.</x:v>
      </x:c>
      <x:c r="H3074" s="115" t="str">
        <x:v>L 448 ; l 460 ; hauteur 5,2 m ; choix de composition auteur ; dimensions réelles à documenter</x:v>
      </x:c>
      <x:c r="I3074" s="115" t="str">
        <x:v>À équilibrer</x:v>
      </x:c>
      <x:c r="J3074" s="115" t="str">
        <x:v>Non</x:v>
      </x:c>
      <x:c r="K3074" s="115" t="str">
        <x:v>Pièces décrites, murs, portes, niveaux et mobilier inspectables à l’échelle. Volumes réservés, raccord au seed, butin, rencontres et services de campagne restent à terminer.</x:v>
      </x:c>
    </x:row>
    <x:row r="3075" ht="96" customHeight="1">
      <x:c r="A3075" s="115" t="str">
        <x:v>EXT-MONDE-T062-V20</x:v>
      </x:c>
      <x:c r="B3075" s="115" t="str">
        <x:v>EXT-MONDE-T062</x:v>
      </x:c>
      <x:c r="C3075" s="115" t="str">
        <x:v>Épuration</x:v>
      </x:c>
      <x:c r="D3075" s="115" t="str">
        <x:v>Station de lagunage</x:v>
      </x:c>
      <x:c r="E3075" s="115" t="n">
        <x:v>20</x:v>
      </x:c>
      <x:c r="F3075" s="115" t="str">
        <x:v>Inspection physique</x:v>
      </x:c>
      <x:c r="G3075" s="115" t="str">
        <x:v>1 niveaux ; 22 pièces ; 167 segments de mur ; 0 transitions. Inspection physique ; architecture complète encore ouverte.</x:v>
      </x:c>
      <x:c r="H3075" s="115" t="str">
        <x:v>L 448 ; l 460 ; hauteur 5,2 m ; choix de composition auteur ; dimensions réelles à documenter</x:v>
      </x:c>
      <x:c r="I3075" s="115" t="str">
        <x:v>À équilibrer</x:v>
      </x:c>
      <x:c r="J3075" s="115" t="str">
        <x:v>Non</x:v>
      </x:c>
      <x:c r="K3075" s="115" t="str">
        <x:v>Pièces décrites, murs, portes, niveaux et mobilier inspectables à l’échelle. Volumes réservés, raccord au seed, butin, rencontres et services de campagne restent à terminer.</x:v>
      </x:c>
    </x:row>
    <x:row r="3076" ht="96" customHeight="1">
      <x:c r="A3076" s="115" t="str">
        <x:v>EXT-MONDE-T062-V21</x:v>
      </x:c>
      <x:c r="B3076" s="115" t="str">
        <x:v>EXT-MONDE-T062</x:v>
      </x:c>
      <x:c r="C3076" s="115" t="str">
        <x:v>Épuration</x:v>
      </x:c>
      <x:c r="D3076" s="115" t="str">
        <x:v>Station de lagunage</x:v>
      </x:c>
      <x:c r="E3076" s="115" t="n">
        <x:v>21</x:v>
      </x:c>
      <x:c r="F3076" s="115" t="str">
        <x:v>Inspection physique</x:v>
      </x:c>
      <x:c r="G3076" s="115" t="str">
        <x:v>1 niveaux ; 22 pièces ; 167 segments de mur ; 0 transitions. Inspection physique ; architecture complète encore ouverte.</x:v>
      </x:c>
      <x:c r="H3076" s="115" t="str">
        <x:v>L 466 ; l 480 ; hauteur 5,4 m ; choix de composition auteur ; dimensions réelles à documenter</x:v>
      </x:c>
      <x:c r="I3076" s="115" t="str">
        <x:v>À équilibrer</x:v>
      </x:c>
      <x:c r="J3076" s="115" t="str">
        <x:v>Non</x:v>
      </x:c>
      <x:c r="K3076" s="115" t="str">
        <x:v>Pièces décrites, murs, portes, niveaux et mobilier inspectables à l’échelle. Volumes réservés, raccord au seed, butin, rencontres et services de campagne restent à terminer.</x:v>
      </x:c>
    </x:row>
    <x:row r="3077" ht="96" customHeight="1">
      <x:c r="A3077" s="115" t="str">
        <x:v>EXT-MONDE-T062-V22</x:v>
      </x:c>
      <x:c r="B3077" s="115" t="str">
        <x:v>EXT-MONDE-T062</x:v>
      </x:c>
      <x:c r="C3077" s="115" t="str">
        <x:v>Épuration</x:v>
      </x:c>
      <x:c r="D3077" s="115" t="str">
        <x:v>Station de lagunage</x:v>
      </x:c>
      <x:c r="E3077" s="115" t="n">
        <x:v>22</x:v>
      </x:c>
      <x:c r="F3077" s="115" t="str">
        <x:v>Inspection physique</x:v>
      </x:c>
      <x:c r="G3077" s="115" t="str">
        <x:v>1 niveaux ; 22 pièces ; 167 segments de mur ; 0 transitions. Inspection physique ; architecture complète encore ouverte.</x:v>
      </x:c>
      <x:c r="H3077" s="115" t="str">
        <x:v>L 466 ; l 480 ; hauteur 5,4 m ; choix de composition auteur ; dimensions réelles à documenter</x:v>
      </x:c>
      <x:c r="I3077" s="115" t="str">
        <x:v>À équilibrer</x:v>
      </x:c>
      <x:c r="J3077" s="115" t="str">
        <x:v>Non</x:v>
      </x:c>
      <x:c r="K3077" s="115" t="str">
        <x:v>Pièces décrites, murs, portes, niveaux et mobilier inspectables à l’échelle. Volumes réservés, raccord au seed, butin, rencontres et services de campagne restent à terminer.</x:v>
      </x:c>
    </x:row>
    <x:row r="3078" ht="96" customHeight="1">
      <x:c r="A3078" s="115" t="str">
        <x:v>EXT-MONDE-T062-V23</x:v>
      </x:c>
      <x:c r="B3078" s="115" t="str">
        <x:v>EXT-MONDE-T062</x:v>
      </x:c>
      <x:c r="C3078" s="115" t="str">
        <x:v>Épuration</x:v>
      </x:c>
      <x:c r="D3078" s="115" t="str">
        <x:v>Station de lagunage</x:v>
      </x:c>
      <x:c r="E3078" s="115" t="n">
        <x:v>23</x:v>
      </x:c>
      <x:c r="F3078" s="115" t="str">
        <x:v>Inspection physique</x:v>
      </x:c>
      <x:c r="G3078" s="115" t="str">
        <x:v>1 niveaux ; 22 pièces ; 167 segments de mur ; 0 transitions. Inspection physique ; architecture complète encore ouverte.</x:v>
      </x:c>
      <x:c r="H3078" s="115" t="str">
        <x:v>L 466 ; l 480 ; hauteur 5,4 m ; choix de composition auteur ; dimensions réelles à documenter</x:v>
      </x:c>
      <x:c r="I3078" s="115" t="str">
        <x:v>À équilibrer</x:v>
      </x:c>
      <x:c r="J3078" s="115" t="str">
        <x:v>Non</x:v>
      </x:c>
      <x:c r="K3078" s="115" t="str">
        <x:v>Pièces décrites, murs, portes, niveaux et mobilier inspectables à l’échelle. Volumes réservés, raccord au seed, butin, rencontres et services de campagne restent à terminer.</x:v>
      </x:c>
    </x:row>
    <x:row r="3079" ht="96" customHeight="1">
      <x:c r="A3079" s="115" t="str">
        <x:v>EXT-MONDE-T062-V24</x:v>
      </x:c>
      <x:c r="B3079" s="115" t="str">
        <x:v>EXT-MONDE-T062</x:v>
      </x:c>
      <x:c r="C3079" s="115" t="str">
        <x:v>Épuration</x:v>
      </x:c>
      <x:c r="D3079" s="115" t="str">
        <x:v>Station de lagunage</x:v>
      </x:c>
      <x:c r="E3079" s="115" t="n">
        <x:v>24</x:v>
      </x:c>
      <x:c r="F3079" s="115" t="str">
        <x:v>Inspection physique</x:v>
      </x:c>
      <x:c r="G3079" s="115" t="str">
        <x:v>1 niveaux ; 22 pièces ; 167 segments de mur ; 0 transitions. Inspection physique ; architecture complète encore ouverte.</x:v>
      </x:c>
      <x:c r="H3079" s="115" t="str">
        <x:v>L 466 ; l 480 ; hauteur 5,4 m ; choix de composition auteur ; dimensions réelles à documenter</x:v>
      </x:c>
      <x:c r="I3079" s="115" t="str">
        <x:v>À équilibrer</x:v>
      </x:c>
      <x:c r="J3079" s="115" t="str">
        <x:v>Non</x:v>
      </x:c>
      <x:c r="K3079" s="115" t="str">
        <x:v>Pièces décrites, murs, portes, niveaux et mobilier inspectables à l’échelle. Volumes réservés, raccord au seed, butin, rencontres et services de campagne restent à terminer.</x:v>
      </x:c>
    </x:row>
    <x:row r="3080" ht="96" customHeight="1">
      <x:c r="A3080" s="115" t="str">
        <x:v>EXT-MONDE-T062-V25</x:v>
      </x:c>
      <x:c r="B3080" s="115" t="str">
        <x:v>EXT-MONDE-T062</x:v>
      </x:c>
      <x:c r="C3080" s="115" t="str">
        <x:v>Épuration</x:v>
      </x:c>
      <x:c r="D3080" s="115" t="str">
        <x:v>Station de lagunage</x:v>
      </x:c>
      <x:c r="E3080" s="115" t="n">
        <x:v>25</x:v>
      </x:c>
      <x:c r="F3080" s="115" t="str">
        <x:v>Inspection physique</x:v>
      </x:c>
      <x:c r="G3080" s="115" t="str">
        <x:v>1 niveaux ; 22 pièces ; 167 segments de mur ; 0 transitions. Inspection physique ; architecture complète encore ouverte.</x:v>
      </x:c>
      <x:c r="H3080" s="115" t="str">
        <x:v>L 466 ; l 480 ; hauteur 5,4 m ; choix de composition auteur ; dimensions réelles à documenter</x:v>
      </x:c>
      <x:c r="I3080" s="115" t="str">
        <x:v>À équilibrer</x:v>
      </x:c>
      <x:c r="J3080" s="115" t="str">
        <x:v>Non</x:v>
      </x:c>
      <x:c r="K3080" s="115" t="str">
        <x:v>Pièces décrites, murs, portes, niveaux et mobilier inspectables à l’échelle. Volumes réservés, raccord au seed, butin, rencontres et services de campagne restent à terminer.</x:v>
      </x:c>
    </x:row>
    <x:row r="3081" ht="96" customHeight="1">
      <x:c r="A3081" s="115" t="str">
        <x:v>EXT-MONDE-T062-V26</x:v>
      </x:c>
      <x:c r="B3081" s="115" t="str">
        <x:v>EXT-MONDE-T062</x:v>
      </x:c>
      <x:c r="C3081" s="115" t="str">
        <x:v>Épuration</x:v>
      </x:c>
      <x:c r="D3081" s="115" t="str">
        <x:v>Station de lagunage</x:v>
      </x:c>
      <x:c r="E3081" s="115" t="n">
        <x:v>26</x:v>
      </x:c>
      <x:c r="F3081" s="115" t="str">
        <x:v>Inspection physique</x:v>
      </x:c>
      <x:c r="G3081" s="115" t="str">
        <x:v>1 niveaux ; 22 pièces ; 167 segments de mur ; 0 transitions. Inspection physique ; architecture complète encore ouverte.</x:v>
      </x:c>
      <x:c r="H3081" s="115" t="str">
        <x:v>L 466 ; l 480 ; hauteur 5,4 m ; choix de composition auteur ; dimensions réelles à documenter</x:v>
      </x:c>
      <x:c r="I3081" s="115" t="str">
        <x:v>À équilibrer</x:v>
      </x:c>
      <x:c r="J3081" s="115" t="str">
        <x:v>Non</x:v>
      </x:c>
      <x:c r="K3081" s="115" t="str">
        <x:v>Pièces décrites, murs, portes, niveaux et mobilier inspectables à l’échelle. Volumes réservés, raccord au seed, butin, rencontres et services de campagne restent à terminer.</x:v>
      </x:c>
    </x:row>
    <x:row r="3082" ht="96" customHeight="1">
      <x:c r="A3082" s="115" t="str">
        <x:v>EXT-MONDE-T062-V27</x:v>
      </x:c>
      <x:c r="B3082" s="115" t="str">
        <x:v>EXT-MONDE-T062</x:v>
      </x:c>
      <x:c r="C3082" s="115" t="str">
        <x:v>Épuration</x:v>
      </x:c>
      <x:c r="D3082" s="115" t="str">
        <x:v>Station de lagunage</x:v>
      </x:c>
      <x:c r="E3082" s="115" t="n">
        <x:v>27</x:v>
      </x:c>
      <x:c r="F3082" s="115" t="str">
        <x:v>Inspection physique</x:v>
      </x:c>
      <x:c r="G3082" s="115" t="str">
        <x:v>1 niveaux ; 22 pièces ; 167 segments de mur ; 0 transitions. Inspection physique ; architecture complète encore ouverte.</x:v>
      </x:c>
      <x:c r="H3082" s="115" t="str">
        <x:v>L 466 ; l 480 ; hauteur 5,4 m ; choix de composition auteur ; dimensions réelles à documenter</x:v>
      </x:c>
      <x:c r="I3082" s="115" t="str">
        <x:v>À équilibrer</x:v>
      </x:c>
      <x:c r="J3082" s="115" t="str">
        <x:v>Non</x:v>
      </x:c>
      <x:c r="K3082" s="115" t="str">
        <x:v>Pièces décrites, murs, portes, niveaux et mobilier inspectables à l’échelle. Volumes réservés, raccord au seed, butin, rencontres et services de campagne restent à terminer.</x:v>
      </x:c>
    </x:row>
    <x:row r="3083" ht="96" customHeight="1">
      <x:c r="A3083" s="115" t="str">
        <x:v>EXT-MONDE-T062-V28</x:v>
      </x:c>
      <x:c r="B3083" s="115" t="str">
        <x:v>EXT-MONDE-T062</x:v>
      </x:c>
      <x:c r="C3083" s="115" t="str">
        <x:v>Épuration</x:v>
      </x:c>
      <x:c r="D3083" s="115" t="str">
        <x:v>Station de lagunage</x:v>
      </x:c>
      <x:c r="E3083" s="115" t="n">
        <x:v>28</x:v>
      </x:c>
      <x:c r="F3083" s="115" t="str">
        <x:v>Inspection physique</x:v>
      </x:c>
      <x:c r="G3083" s="115" t="str">
        <x:v>1 niveaux ; 22 pièces ; 167 segments de mur ; 0 transitions. Inspection physique ; architecture complète encore ouverte.</x:v>
      </x:c>
      <x:c r="H3083" s="115" t="str">
        <x:v>L 466 ; l 480 ; hauteur 5,4 m ; choix de composition auteur ; dimensions réelles à documenter</x:v>
      </x:c>
      <x:c r="I3083" s="115" t="str">
        <x:v>À équilibrer</x:v>
      </x:c>
      <x:c r="J3083" s="115" t="str">
        <x:v>Non</x:v>
      </x:c>
      <x:c r="K3083" s="115" t="str">
        <x:v>Pièces décrites, murs, portes, niveaux et mobilier inspectables à l’échelle. Volumes réservés, raccord au seed, butin, rencontres et services de campagne restent à terminer.</x:v>
      </x:c>
    </x:row>
    <x:row r="3084" ht="96" customHeight="1">
      <x:c r="A3084" s="115" t="str">
        <x:v>EXT-MONDE-T062-V29</x:v>
      </x:c>
      <x:c r="B3084" s="115" t="str">
        <x:v>EXT-MONDE-T062</x:v>
      </x:c>
      <x:c r="C3084" s="115" t="str">
        <x:v>Épuration</x:v>
      </x:c>
      <x:c r="D3084" s="115" t="str">
        <x:v>Station de lagunage</x:v>
      </x:c>
      <x:c r="E3084" s="115" t="n">
        <x:v>29</x:v>
      </x:c>
      <x:c r="F3084" s="115" t="str">
        <x:v>Inspection physique</x:v>
      </x:c>
      <x:c r="G3084" s="115" t="str">
        <x:v>1 niveaux ; 22 pièces ; 167 segments de mur ; 0 transitions. Inspection physique ; architecture complète encore ouverte.</x:v>
      </x:c>
      <x:c r="H3084" s="115" t="str">
        <x:v>L 466 ; l 480 ; hauteur 5,4 m ; choix de composition auteur ; dimensions réelles à documenter</x:v>
      </x:c>
      <x:c r="I3084" s="115" t="str">
        <x:v>À équilibrer</x:v>
      </x:c>
      <x:c r="J3084" s="115" t="str">
        <x:v>Non</x:v>
      </x:c>
      <x:c r="K3084" s="115" t="str">
        <x:v>Pièces décrites, murs, portes, niveaux et mobilier inspectables à l’échelle. Volumes réservés, raccord au seed, butin, rencontres et services de campagne restent à terminer.</x:v>
      </x:c>
    </x:row>
    <x:row r="3085" ht="96" customHeight="1">
      <x:c r="A3085" s="115" t="str">
        <x:v>EXT-MONDE-T062-V30</x:v>
      </x:c>
      <x:c r="B3085" s="115" t="str">
        <x:v>EXT-MONDE-T062</x:v>
      </x:c>
      <x:c r="C3085" s="115" t="str">
        <x:v>Épuration</x:v>
      </x:c>
      <x:c r="D3085" s="115" t="str">
        <x:v>Station de lagunage</x:v>
      </x:c>
      <x:c r="E3085" s="115" t="n">
        <x:v>30</x:v>
      </x:c>
      <x:c r="F3085" s="115" t="str">
        <x:v>Inspection physique</x:v>
      </x:c>
      <x:c r="G3085" s="115" t="str">
        <x:v>1 niveaux ; 22 pièces ; 167 segments de mur ; 0 transitions. Inspection physique ; architecture complète encore ouverte.</x:v>
      </x:c>
      <x:c r="H3085" s="115" t="str">
        <x:v>L 466 ; l 480 ; hauteur 5,4 m ; choix de composition auteur ; dimensions réelles à documenter</x:v>
      </x:c>
      <x:c r="I3085" s="115" t="str">
        <x:v>À équilibrer</x:v>
      </x:c>
      <x:c r="J3085" s="115" t="str">
        <x:v>Non</x:v>
      </x:c>
      <x:c r="K3085" s="115" t="str">
        <x:v>Pièces décrites, murs, portes, niveaux et mobilier inspectables à l’échelle. Volumes réservés, raccord au seed, butin, rencontres et services de campagne restent à terminer.</x:v>
      </x:c>
    </x:row>
    <x:row r="3086" ht="96" customHeight="1">
      <x:c r="A3086" s="115" t="str">
        <x:v>EXT-MONDE-T062-V31</x:v>
      </x:c>
      <x:c r="B3086" s="115" t="str">
        <x:v>EXT-MONDE-T062</x:v>
      </x:c>
      <x:c r="C3086" s="115" t="str">
        <x:v>Épuration</x:v>
      </x:c>
      <x:c r="D3086" s="115" t="str">
        <x:v>Station de lagunage</x:v>
      </x:c>
      <x:c r="E3086" s="115" t="n">
        <x:v>31</x:v>
      </x:c>
      <x:c r="F3086" s="115" t="str">
        <x:v>Inspection physique</x:v>
      </x:c>
      <x:c r="G3086" s="115" t="str">
        <x:v>1 niveaux ; 22 pièces ; 167 segments de mur ; 0 transitions. Inspection physique ; architecture complète encore ouverte.</x:v>
      </x:c>
      <x:c r="H3086" s="115" t="str">
        <x:v>L 484 ; l 500 ; hauteur 5,6 m ; choix de composition auteur ; dimensions réelles à documenter</x:v>
      </x:c>
      <x:c r="I3086" s="115" t="str">
        <x:v>À équilibrer</x:v>
      </x:c>
      <x:c r="J3086" s="115" t="str">
        <x:v>Non</x:v>
      </x:c>
      <x:c r="K3086" s="115" t="str">
        <x:v>Pièces décrites, murs, portes, niveaux et mobilier inspectables à l’échelle. Volumes réservés, raccord au seed, butin, rencontres et services de campagne restent à terminer.</x:v>
      </x:c>
    </x:row>
    <x:row r="3087" ht="96" customHeight="1">
      <x:c r="A3087" s="115" t="str">
        <x:v>EXT-MONDE-T062-V32</x:v>
      </x:c>
      <x:c r="B3087" s="115" t="str">
        <x:v>EXT-MONDE-T062</x:v>
      </x:c>
      <x:c r="C3087" s="115" t="str">
        <x:v>Épuration</x:v>
      </x:c>
      <x:c r="D3087" s="115" t="str">
        <x:v>Station de lagunage</x:v>
      </x:c>
      <x:c r="E3087" s="115" t="n">
        <x:v>32</x:v>
      </x:c>
      <x:c r="F3087" s="115" t="str">
        <x:v>Inspection physique</x:v>
      </x:c>
      <x:c r="G3087" s="115" t="str">
        <x:v>1 niveaux ; 22 pièces ; 167 segments de mur ; 0 transitions. Inspection physique ; architecture complète encore ouverte.</x:v>
      </x:c>
      <x:c r="H3087" s="115" t="str">
        <x:v>L 484 ; l 500 ; hauteur 5,6 m ; choix de composition auteur ; dimensions réelles à documenter</x:v>
      </x:c>
      <x:c r="I3087" s="115" t="str">
        <x:v>À équilibrer</x:v>
      </x:c>
      <x:c r="J3087" s="115" t="str">
        <x:v>Non</x:v>
      </x:c>
      <x:c r="K3087" s="115" t="str">
        <x:v>Pièces décrites, murs, portes, niveaux et mobilier inspectables à l’échelle. Volumes réservés, raccord au seed, butin, rencontres et services de campagne restent à terminer.</x:v>
      </x:c>
    </x:row>
    <x:row r="3088" ht="96" customHeight="1">
      <x:c r="A3088" s="115" t="str">
        <x:v>EXT-MONDE-T062-V33</x:v>
      </x:c>
      <x:c r="B3088" s="115" t="str">
        <x:v>EXT-MONDE-T062</x:v>
      </x:c>
      <x:c r="C3088" s="115" t="str">
        <x:v>Épuration</x:v>
      </x:c>
      <x:c r="D3088" s="115" t="str">
        <x:v>Station de lagunage</x:v>
      </x:c>
      <x:c r="E3088" s="115" t="n">
        <x:v>33</x:v>
      </x:c>
      <x:c r="F3088" s="115" t="str">
        <x:v>Inspection physique</x:v>
      </x:c>
      <x:c r="G3088" s="115" t="str">
        <x:v>1 niveaux ; 22 pièces ; 167 segments de mur ; 0 transitions. Inspection physique ; architecture complète encore ouverte.</x:v>
      </x:c>
      <x:c r="H3088" s="115" t="str">
        <x:v>L 484 ; l 500 ; hauteur 5,6 m ; choix de composition auteur ; dimensions réelles à documenter</x:v>
      </x:c>
      <x:c r="I3088" s="115" t="str">
        <x:v>À équilibrer</x:v>
      </x:c>
      <x:c r="J3088" s="115" t="str">
        <x:v>Non</x:v>
      </x:c>
      <x:c r="K3088" s="115" t="str">
        <x:v>Pièces décrites, murs, portes, niveaux et mobilier inspectables à l’échelle. Volumes réservés, raccord au seed, butin, rencontres et services de campagne restent à terminer.</x:v>
      </x:c>
    </x:row>
    <x:row r="3089" ht="96" customHeight="1">
      <x:c r="A3089" s="115" t="str">
        <x:v>EXT-MONDE-T062-V34</x:v>
      </x:c>
      <x:c r="B3089" s="115" t="str">
        <x:v>EXT-MONDE-T062</x:v>
      </x:c>
      <x:c r="C3089" s="115" t="str">
        <x:v>Épuration</x:v>
      </x:c>
      <x:c r="D3089" s="115" t="str">
        <x:v>Station de lagunage</x:v>
      </x:c>
      <x:c r="E3089" s="115" t="n">
        <x:v>34</x:v>
      </x:c>
      <x:c r="F3089" s="115" t="str">
        <x:v>Inspection physique</x:v>
      </x:c>
      <x:c r="G3089" s="115" t="str">
        <x:v>1 niveaux ; 22 pièces ; 167 segments de mur ; 0 transitions. Inspection physique ; architecture complète encore ouverte.</x:v>
      </x:c>
      <x:c r="H3089" s="115" t="str">
        <x:v>L 484 ; l 500 ; hauteur 5,6 m ; choix de composition auteur ; dimensions réelles à documenter</x:v>
      </x:c>
      <x:c r="I3089" s="115" t="str">
        <x:v>À équilibrer</x:v>
      </x:c>
      <x:c r="J3089" s="115" t="str">
        <x:v>Non</x:v>
      </x:c>
      <x:c r="K3089" s="115" t="str">
        <x:v>Pièces décrites, murs, portes, niveaux et mobilier inspectables à l’échelle. Volumes réservés, raccord au seed, butin, rencontres et services de campagne restent à terminer.</x:v>
      </x:c>
    </x:row>
    <x:row r="3090" ht="96" customHeight="1">
      <x:c r="A3090" s="115" t="str">
        <x:v>EXT-MONDE-T062-V35</x:v>
      </x:c>
      <x:c r="B3090" s="115" t="str">
        <x:v>EXT-MONDE-T062</x:v>
      </x:c>
      <x:c r="C3090" s="115" t="str">
        <x:v>Épuration</x:v>
      </x:c>
      <x:c r="D3090" s="115" t="str">
        <x:v>Station de lagunage</x:v>
      </x:c>
      <x:c r="E3090" s="115" t="n">
        <x:v>35</x:v>
      </x:c>
      <x:c r="F3090" s="115" t="str">
        <x:v>Inspection physique</x:v>
      </x:c>
      <x:c r="G3090" s="115" t="str">
        <x:v>1 niveaux ; 22 pièces ; 167 segments de mur ; 0 transitions. Inspection physique ; architecture complète encore ouverte.</x:v>
      </x:c>
      <x:c r="H3090" s="115" t="str">
        <x:v>L 484 ; l 500 ; hauteur 5,6 m ; choix de composition auteur ; dimensions réelles à documenter</x:v>
      </x:c>
      <x:c r="I3090" s="115" t="str">
        <x:v>À équilibrer</x:v>
      </x:c>
      <x:c r="J3090" s="115" t="str">
        <x:v>Non</x:v>
      </x:c>
      <x:c r="K3090" s="115" t="str">
        <x:v>Pièces décrites, murs, portes, niveaux et mobilier inspectables à l’échelle. Volumes réservés, raccord au seed, butin, rencontres et services de campagne restent à terminer.</x:v>
      </x:c>
    </x:row>
    <x:row r="3091" ht="96" customHeight="1">
      <x:c r="A3091" s="115" t="str">
        <x:v>EXT-MONDE-T062-V36</x:v>
      </x:c>
      <x:c r="B3091" s="115" t="str">
        <x:v>EXT-MONDE-T062</x:v>
      </x:c>
      <x:c r="C3091" s="115" t="str">
        <x:v>Épuration</x:v>
      </x:c>
      <x:c r="D3091" s="115" t="str">
        <x:v>Station de lagunage</x:v>
      </x:c>
      <x:c r="E3091" s="115" t="n">
        <x:v>36</x:v>
      </x:c>
      <x:c r="F3091" s="115" t="str">
        <x:v>Inspection physique</x:v>
      </x:c>
      <x:c r="G3091" s="115" t="str">
        <x:v>1 niveaux ; 22 pièces ; 167 segments de mur ; 0 transitions. Inspection physique ; architecture complète encore ouverte.</x:v>
      </x:c>
      <x:c r="H3091" s="115" t="str">
        <x:v>L 484 ; l 500 ; hauteur 5,6 m ; choix de composition auteur ; dimensions réelles à documenter</x:v>
      </x:c>
      <x:c r="I3091" s="115" t="str">
        <x:v>À équilibrer</x:v>
      </x:c>
      <x:c r="J3091" s="115" t="str">
        <x:v>Non</x:v>
      </x:c>
      <x:c r="K3091" s="115" t="str">
        <x:v>Pièces décrites, murs, portes, niveaux et mobilier inspectables à l’échelle. Volumes réservés, raccord au seed, butin, rencontres et services de campagne restent à terminer.</x:v>
      </x:c>
    </x:row>
    <x:row r="3092" ht="96" customHeight="1">
      <x:c r="A3092" s="115" t="str">
        <x:v>EXT-MONDE-T062-V37</x:v>
      </x:c>
      <x:c r="B3092" s="115" t="str">
        <x:v>EXT-MONDE-T062</x:v>
      </x:c>
      <x:c r="C3092" s="115" t="str">
        <x:v>Épuration</x:v>
      </x:c>
      <x:c r="D3092" s="115" t="str">
        <x:v>Station de lagunage</x:v>
      </x:c>
      <x:c r="E3092" s="115" t="n">
        <x:v>37</x:v>
      </x:c>
      <x:c r="F3092" s="115" t="str">
        <x:v>Inspection physique</x:v>
      </x:c>
      <x:c r="G3092" s="115" t="str">
        <x:v>1 niveaux ; 22 pièces ; 167 segments de mur ; 0 transitions. Inspection physique ; architecture complète encore ouverte.</x:v>
      </x:c>
      <x:c r="H3092" s="115" t="str">
        <x:v>L 484 ; l 500 ; hauteur 5,6 m ; choix de composition auteur ; dimensions réelles à documenter</x:v>
      </x:c>
      <x:c r="I3092" s="115" t="str">
        <x:v>À équilibrer</x:v>
      </x:c>
      <x:c r="J3092" s="115" t="str">
        <x:v>Non</x:v>
      </x:c>
      <x:c r="K3092" s="115" t="str">
        <x:v>Pièces décrites, murs, portes, niveaux et mobilier inspectables à l’échelle. Volumes réservés, raccord au seed, butin, rencontres et services de campagne restent à terminer.</x:v>
      </x:c>
    </x:row>
    <x:row r="3093" ht="96" customHeight="1">
      <x:c r="A3093" s="115" t="str">
        <x:v>EXT-MONDE-T062-V38</x:v>
      </x:c>
      <x:c r="B3093" s="115" t="str">
        <x:v>EXT-MONDE-T062</x:v>
      </x:c>
      <x:c r="C3093" s="115" t="str">
        <x:v>Épuration</x:v>
      </x:c>
      <x:c r="D3093" s="115" t="str">
        <x:v>Station de lagunage</x:v>
      </x:c>
      <x:c r="E3093" s="115" t="n">
        <x:v>38</x:v>
      </x:c>
      <x:c r="F3093" s="115" t="str">
        <x:v>Inspection physique</x:v>
      </x:c>
      <x:c r="G3093" s="115" t="str">
        <x:v>1 niveaux ; 22 pièces ; 167 segments de mur ; 0 transitions. Inspection physique ; architecture complète encore ouverte.</x:v>
      </x:c>
      <x:c r="H3093" s="115" t="str">
        <x:v>L 484 ; l 500 ; hauteur 5,6 m ; choix de composition auteur ; dimensions réelles à documenter</x:v>
      </x:c>
      <x:c r="I3093" s="115" t="str">
        <x:v>À équilibrer</x:v>
      </x:c>
      <x:c r="J3093" s="115" t="str">
        <x:v>Non</x:v>
      </x:c>
      <x:c r="K3093" s="115" t="str">
        <x:v>Pièces décrites, murs, portes, niveaux et mobilier inspectables à l’échelle. Volumes réservés, raccord au seed, butin, rencontres et services de campagne restent à terminer.</x:v>
      </x:c>
    </x:row>
    <x:row r="3094" ht="96" customHeight="1">
      <x:c r="A3094" s="115" t="str">
        <x:v>EXT-MONDE-T062-V39</x:v>
      </x:c>
      <x:c r="B3094" s="115" t="str">
        <x:v>EXT-MONDE-T062</x:v>
      </x:c>
      <x:c r="C3094" s="115" t="str">
        <x:v>Épuration</x:v>
      </x:c>
      <x:c r="D3094" s="115" t="str">
        <x:v>Station de lagunage</x:v>
      </x:c>
      <x:c r="E3094" s="115" t="n">
        <x:v>39</x:v>
      </x:c>
      <x:c r="F3094" s="115" t="str">
        <x:v>Inspection physique</x:v>
      </x:c>
      <x:c r="G3094" s="115" t="str">
        <x:v>1 niveaux ; 22 pièces ; 167 segments de mur ; 0 transitions. Inspection physique ; architecture complète encore ouverte.</x:v>
      </x:c>
      <x:c r="H3094" s="115" t="str">
        <x:v>L 484 ; l 500 ; hauteur 5,6 m ; choix de composition auteur ; dimensions réelles à documenter</x:v>
      </x:c>
      <x:c r="I3094" s="115" t="str">
        <x:v>À équilibrer</x:v>
      </x:c>
      <x:c r="J3094" s="115" t="str">
        <x:v>Non</x:v>
      </x:c>
      <x:c r="K3094" s="115" t="str">
        <x:v>Pièces décrites, murs, portes, niveaux et mobilier inspectables à l’échelle. Volumes réservés, raccord au seed, butin, rencontres et services de campagne restent à terminer.</x:v>
      </x:c>
    </x:row>
    <x:row r="3095" ht="96" customHeight="1">
      <x:c r="A3095" s="115" t="str">
        <x:v>EXT-MONDE-T062-V40</x:v>
      </x:c>
      <x:c r="B3095" s="115" t="str">
        <x:v>EXT-MONDE-T062</x:v>
      </x:c>
      <x:c r="C3095" s="115" t="str">
        <x:v>Épuration</x:v>
      </x:c>
      <x:c r="D3095" s="115" t="str">
        <x:v>Station de lagunage</x:v>
      </x:c>
      <x:c r="E3095" s="115" t="n">
        <x:v>40</x:v>
      </x:c>
      <x:c r="F3095" s="115" t="str">
        <x:v>Inspection physique</x:v>
      </x:c>
      <x:c r="G3095" s="115" t="str">
        <x:v>1 niveaux ; 22 pièces ; 167 segments de mur ; 0 transitions. Inspection physique ; architecture complète encore ouverte.</x:v>
      </x:c>
      <x:c r="H3095" s="115" t="str">
        <x:v>L 484 ; l 500 ; hauteur 5,6 m ; choix de composition auteur ; dimensions réelles à documenter</x:v>
      </x:c>
      <x:c r="I3095" s="115" t="str">
        <x:v>À équilibrer</x:v>
      </x:c>
      <x:c r="J3095" s="115" t="str">
        <x:v>Non</x:v>
      </x:c>
      <x:c r="K3095" s="115" t="str">
        <x:v>Pièces décrites, murs, portes, niveaux et mobilier inspectables à l’échelle. Volumes réservés, raccord au seed, butin, rencontres et services de campagne restent à terminer.</x:v>
      </x:c>
    </x:row>
    <x:row r="3096" ht="96" customHeight="1">
      <x:c r="A3096" s="115" t="str">
        <x:v>EXT-MONDE-T062-V41</x:v>
      </x:c>
      <x:c r="B3096" s="115" t="str">
        <x:v>EXT-MONDE-T062</x:v>
      </x:c>
      <x:c r="C3096" s="115" t="str">
        <x:v>Épuration</x:v>
      </x:c>
      <x:c r="D3096" s="115" t="str">
        <x:v>Station de lagunage</x:v>
      </x:c>
      <x:c r="E3096" s="115" t="n">
        <x:v>41</x:v>
      </x:c>
      <x:c r="F3096" s="115" t="str">
        <x:v>Inspection physique</x:v>
      </x:c>
      <x:c r="G3096" s="115" t="str">
        <x:v>1 niveaux ; 22 pièces ; 167 segments de mur ; 0 transitions. Inspection physique ; architecture complète encore ouverte.</x:v>
      </x:c>
      <x:c r="H3096" s="115" t="str">
        <x:v>L 502 ; l 520 ; hauteur 5,8 m ; choix de composition auteur ; dimensions réelles à documenter</x:v>
      </x:c>
      <x:c r="I3096" s="115" t="str">
        <x:v>À équilibrer</x:v>
      </x:c>
      <x:c r="J3096" s="115" t="str">
        <x:v>Non</x:v>
      </x:c>
      <x:c r="K3096" s="115" t="str">
        <x:v>Pièces décrites, murs, portes, niveaux et mobilier inspectables à l’échelle. Volumes réservés, raccord au seed, butin, rencontres et services de campagne restent à terminer.</x:v>
      </x:c>
    </x:row>
    <x:row r="3097" ht="96" customHeight="1">
      <x:c r="A3097" s="115" t="str">
        <x:v>EXT-MONDE-T062-V42</x:v>
      </x:c>
      <x:c r="B3097" s="115" t="str">
        <x:v>EXT-MONDE-T062</x:v>
      </x:c>
      <x:c r="C3097" s="115" t="str">
        <x:v>Épuration</x:v>
      </x:c>
      <x:c r="D3097" s="115" t="str">
        <x:v>Station de lagunage</x:v>
      </x:c>
      <x:c r="E3097" s="115" t="n">
        <x:v>42</x:v>
      </x:c>
      <x:c r="F3097" s="115" t="str">
        <x:v>Inspection physique</x:v>
      </x:c>
      <x:c r="G3097" s="115" t="str">
        <x:v>1 niveaux ; 22 pièces ; 167 segments de mur ; 0 transitions. Inspection physique ; architecture complète encore ouverte.</x:v>
      </x:c>
      <x:c r="H3097" s="115" t="str">
        <x:v>L 502 ; l 520 ; hauteur 5,8 m ; choix de composition auteur ; dimensions réelles à documenter</x:v>
      </x:c>
      <x:c r="I3097" s="115" t="str">
        <x:v>À équilibrer</x:v>
      </x:c>
      <x:c r="J3097" s="115" t="str">
        <x:v>Non</x:v>
      </x:c>
      <x:c r="K3097" s="115" t="str">
        <x:v>Pièces décrites, murs, portes, niveaux et mobilier inspectables à l’échelle. Volumes réservés, raccord au seed, butin, rencontres et services de campagne restent à terminer.</x:v>
      </x:c>
    </x:row>
    <x:row r="3098" ht="96" customHeight="1">
      <x:c r="A3098" s="115" t="str">
        <x:v>EXT-MONDE-T062-V43</x:v>
      </x:c>
      <x:c r="B3098" s="115" t="str">
        <x:v>EXT-MONDE-T062</x:v>
      </x:c>
      <x:c r="C3098" s="115" t="str">
        <x:v>Épuration</x:v>
      </x:c>
      <x:c r="D3098" s="115" t="str">
        <x:v>Station de lagunage</x:v>
      </x:c>
      <x:c r="E3098" s="115" t="n">
        <x:v>43</x:v>
      </x:c>
      <x:c r="F3098" s="115" t="str">
        <x:v>Inspection physique</x:v>
      </x:c>
      <x:c r="G3098" s="115" t="str">
        <x:v>1 niveaux ; 22 pièces ; 167 segments de mur ; 0 transitions. Inspection physique ; architecture complète encore ouverte.</x:v>
      </x:c>
      <x:c r="H3098" s="115" t="str">
        <x:v>L 502 ; l 520 ; hauteur 5,8 m ; choix de composition auteur ; dimensions réelles à documenter</x:v>
      </x:c>
      <x:c r="I3098" s="115" t="str">
        <x:v>À équilibrer</x:v>
      </x:c>
      <x:c r="J3098" s="115" t="str">
        <x:v>Non</x:v>
      </x:c>
      <x:c r="K3098" s="115" t="str">
        <x:v>Pièces décrites, murs, portes, niveaux et mobilier inspectables à l’échelle. Volumes réservés, raccord au seed, butin, rencontres et services de campagne restent à terminer.</x:v>
      </x:c>
    </x:row>
    <x:row r="3099" ht="96" customHeight="1">
      <x:c r="A3099" s="115" t="str">
        <x:v>EXT-MONDE-T062-V44</x:v>
      </x:c>
      <x:c r="B3099" s="115" t="str">
        <x:v>EXT-MONDE-T062</x:v>
      </x:c>
      <x:c r="C3099" s="115" t="str">
        <x:v>Épuration</x:v>
      </x:c>
      <x:c r="D3099" s="115" t="str">
        <x:v>Station de lagunage</x:v>
      </x:c>
      <x:c r="E3099" s="115" t="n">
        <x:v>44</x:v>
      </x:c>
      <x:c r="F3099" s="115" t="str">
        <x:v>Inspection physique</x:v>
      </x:c>
      <x:c r="G3099" s="115" t="str">
        <x:v>1 niveaux ; 22 pièces ; 167 segments de mur ; 0 transitions. Inspection physique ; architecture complète encore ouverte.</x:v>
      </x:c>
      <x:c r="H3099" s="115" t="str">
        <x:v>L 502 ; l 520 ; hauteur 5,8 m ; choix de composition auteur ; dimensions réelles à documenter</x:v>
      </x:c>
      <x:c r="I3099" s="115" t="str">
        <x:v>À équilibrer</x:v>
      </x:c>
      <x:c r="J3099" s="115" t="str">
        <x:v>Non</x:v>
      </x:c>
      <x:c r="K3099" s="115" t="str">
        <x:v>Pièces décrites, murs, portes, niveaux et mobilier inspectables à l’échelle. Volumes réservés, raccord au seed, butin, rencontres et services de campagne restent à terminer.</x:v>
      </x:c>
    </x:row>
    <x:row r="3100" ht="96" customHeight="1">
      <x:c r="A3100" s="115" t="str">
        <x:v>EXT-MONDE-T062-V45</x:v>
      </x:c>
      <x:c r="B3100" s="115" t="str">
        <x:v>EXT-MONDE-T062</x:v>
      </x:c>
      <x:c r="C3100" s="115" t="str">
        <x:v>Épuration</x:v>
      </x:c>
      <x:c r="D3100" s="115" t="str">
        <x:v>Station de lagunage</x:v>
      </x:c>
      <x:c r="E3100" s="115" t="n">
        <x:v>45</x:v>
      </x:c>
      <x:c r="F3100" s="115" t="str">
        <x:v>Inspection physique</x:v>
      </x:c>
      <x:c r="G3100" s="115" t="str">
        <x:v>1 niveaux ; 22 pièces ; 167 segments de mur ; 0 transitions. Inspection physique ; architecture complète encore ouverte.</x:v>
      </x:c>
      <x:c r="H3100" s="115" t="str">
        <x:v>L 502 ; l 520 ; hauteur 5,8 m ; choix de composition auteur ; dimensions réelles à documenter</x:v>
      </x:c>
      <x:c r="I3100" s="115" t="str">
        <x:v>À équilibrer</x:v>
      </x:c>
      <x:c r="J3100" s="115" t="str">
        <x:v>Non</x:v>
      </x:c>
      <x:c r="K3100" s="115" t="str">
        <x:v>Pièces décrites, murs, portes, niveaux et mobilier inspectables à l’échelle. Volumes réservés, raccord au seed, butin, rencontres et services de campagne restent à terminer.</x:v>
      </x:c>
    </x:row>
    <x:row r="3101" ht="96" customHeight="1">
      <x:c r="A3101" s="115" t="str">
        <x:v>EXT-MONDE-T062-V46</x:v>
      </x:c>
      <x:c r="B3101" s="115" t="str">
        <x:v>EXT-MONDE-T062</x:v>
      </x:c>
      <x:c r="C3101" s="115" t="str">
        <x:v>Épuration</x:v>
      </x:c>
      <x:c r="D3101" s="115" t="str">
        <x:v>Station de lagunage</x:v>
      </x:c>
      <x:c r="E3101" s="115" t="n">
        <x:v>46</x:v>
      </x:c>
      <x:c r="F3101" s="115" t="str">
        <x:v>Inspection physique</x:v>
      </x:c>
      <x:c r="G3101" s="115" t="str">
        <x:v>1 niveaux ; 22 pièces ; 167 segments de mur ; 0 transitions. Inspection physique ; architecture complète encore ouverte.</x:v>
      </x:c>
      <x:c r="H3101" s="115" t="str">
        <x:v>L 502 ; l 520 ; hauteur 5,8 m ; choix de composition auteur ; dimensions réelles à documenter</x:v>
      </x:c>
      <x:c r="I3101" s="115" t="str">
        <x:v>À équilibrer</x:v>
      </x:c>
      <x:c r="J3101" s="115" t="str">
        <x:v>Non</x:v>
      </x:c>
      <x:c r="K3101" s="115" t="str">
        <x:v>Pièces décrites, murs, portes, niveaux et mobilier inspectables à l’échelle. Volumes réservés, raccord au seed, butin, rencontres et services de campagne restent à terminer.</x:v>
      </x:c>
    </x:row>
    <x:row r="3102" ht="96" customHeight="1">
      <x:c r="A3102" s="115" t="str">
        <x:v>EXT-MONDE-T062-V47</x:v>
      </x:c>
      <x:c r="B3102" s="115" t="str">
        <x:v>EXT-MONDE-T062</x:v>
      </x:c>
      <x:c r="C3102" s="115" t="str">
        <x:v>Épuration</x:v>
      </x:c>
      <x:c r="D3102" s="115" t="str">
        <x:v>Station de lagunage</x:v>
      </x:c>
      <x:c r="E3102" s="115" t="n">
        <x:v>47</x:v>
      </x:c>
      <x:c r="F3102" s="115" t="str">
        <x:v>Inspection physique</x:v>
      </x:c>
      <x:c r="G3102" s="115" t="str">
        <x:v>1 niveaux ; 22 pièces ; 167 segments de mur ; 0 transitions. Inspection physique ; architecture complète encore ouverte.</x:v>
      </x:c>
      <x:c r="H3102" s="115" t="str">
        <x:v>L 502 ; l 520 ; hauteur 5,8 m ; choix de composition auteur ; dimensions réelles à documenter</x:v>
      </x:c>
      <x:c r="I3102" s="115" t="str">
        <x:v>À équilibrer</x:v>
      </x:c>
      <x:c r="J3102" s="115" t="str">
        <x:v>Non</x:v>
      </x:c>
      <x:c r="K3102" s="115" t="str">
        <x:v>Pièces décrites, murs, portes, niveaux et mobilier inspectables à l’échelle. Volumes réservés, raccord au seed, butin, rencontres et services de campagne restent à terminer.</x:v>
      </x:c>
    </x:row>
    <x:row r="3103" ht="96" customHeight="1">
      <x:c r="A3103" s="115" t="str">
        <x:v>EXT-MONDE-T062-V48</x:v>
      </x:c>
      <x:c r="B3103" s="115" t="str">
        <x:v>EXT-MONDE-T062</x:v>
      </x:c>
      <x:c r="C3103" s="115" t="str">
        <x:v>Épuration</x:v>
      </x:c>
      <x:c r="D3103" s="115" t="str">
        <x:v>Station de lagunage</x:v>
      </x:c>
      <x:c r="E3103" s="115" t="n">
        <x:v>48</x:v>
      </x:c>
      <x:c r="F3103" s="115" t="str">
        <x:v>Inspection physique</x:v>
      </x:c>
      <x:c r="G3103" s="115" t="str">
        <x:v>1 niveaux ; 22 pièces ; 167 segments de mur ; 0 transitions. Inspection physique ; architecture complète encore ouverte.</x:v>
      </x:c>
      <x:c r="H3103" s="115" t="str">
        <x:v>L 502 ; l 520 ; hauteur 5,8 m ; choix de composition auteur ; dimensions réelles à documenter</x:v>
      </x:c>
      <x:c r="I3103" s="115" t="str">
        <x:v>À équilibrer</x:v>
      </x:c>
      <x:c r="J3103" s="115" t="str">
        <x:v>Non</x:v>
      </x:c>
      <x:c r="K3103" s="115" t="str">
        <x:v>Pièces décrites, murs, portes, niveaux et mobilier inspectables à l’échelle. Volumes réservés, raccord au seed, butin, rencontres et services de campagne restent à terminer.</x:v>
      </x:c>
    </x:row>
    <x:row r="3104" ht="96" customHeight="1">
      <x:c r="A3104" s="115" t="str">
        <x:v>EXT-MONDE-T062-V49</x:v>
      </x:c>
      <x:c r="B3104" s="115" t="str">
        <x:v>EXT-MONDE-T062</x:v>
      </x:c>
      <x:c r="C3104" s="115" t="str">
        <x:v>Épuration</x:v>
      </x:c>
      <x:c r="D3104" s="115" t="str">
        <x:v>Station de lagunage</x:v>
      </x:c>
      <x:c r="E3104" s="115" t="n">
        <x:v>49</x:v>
      </x:c>
      <x:c r="F3104" s="115" t="str">
        <x:v>Inspection physique</x:v>
      </x:c>
      <x:c r="G3104" s="115" t="str">
        <x:v>1 niveaux ; 22 pièces ; 167 segments de mur ; 0 transitions. Inspection physique ; architecture complète encore ouverte.</x:v>
      </x:c>
      <x:c r="H3104" s="115" t="str">
        <x:v>L 502 ; l 520 ; hauteur 5,8 m ; choix de composition auteur ; dimensions réelles à documenter</x:v>
      </x:c>
      <x:c r="I3104" s="115" t="str">
        <x:v>À équilibrer</x:v>
      </x:c>
      <x:c r="J3104" s="115" t="str">
        <x:v>Non</x:v>
      </x:c>
      <x:c r="K3104" s="115" t="str">
        <x:v>Pièces décrites, murs, portes, niveaux et mobilier inspectables à l’échelle. Volumes réservés, raccord au seed, butin, rencontres et services de campagne restent à terminer.</x:v>
      </x:c>
    </x:row>
    <x:row r="3105" ht="96" customHeight="1">
      <x:c r="A3105" s="115" t="str">
        <x:v>EXT-MONDE-T062-V50</x:v>
      </x:c>
      <x:c r="B3105" s="115" t="str">
        <x:v>EXT-MONDE-T062</x:v>
      </x:c>
      <x:c r="C3105" s="115" t="str">
        <x:v>Épuration</x:v>
      </x:c>
      <x:c r="D3105" s="115" t="str">
        <x:v>Station de lagunage</x:v>
      </x:c>
      <x:c r="E3105" s="115" t="n">
        <x:v>50</x:v>
      </x:c>
      <x:c r="F3105" s="115" t="str">
        <x:v>Inspection physique</x:v>
      </x:c>
      <x:c r="G3105" s="115" t="str">
        <x:v>1 niveaux ; 22 pièces ; 167 segments de mur ; 0 transitions. Inspection physique ; architecture complète encore ouverte.</x:v>
      </x:c>
      <x:c r="H3105" s="115" t="str">
        <x:v>L 502 ; l 520 ; hauteur 5,8 m ; choix de composition auteur ; dimensions réelles à documenter</x:v>
      </x:c>
      <x:c r="I3105" s="115" t="str">
        <x:v>À équilibrer</x:v>
      </x:c>
      <x:c r="J3105" s="115" t="str">
        <x:v>Non</x:v>
      </x:c>
      <x:c r="K3105" s="115" t="str">
        <x:v>Pièces décrites, murs, portes, niveaux et mobilier inspectables à l’échelle. Volumes réservés, raccord au seed, butin, rencontres et services de campagne restent à terminer.</x:v>
      </x:c>
    </x:row>
    <x:row r="3106" ht="96" customHeight="1">
      <x:c r="A3106" s="115" t="str">
        <x:v>EXT-MONDE-T063-V01</x:v>
      </x:c>
      <x:c r="B3106" s="115" t="str">
        <x:v>EXT-MONDE-T063</x:v>
      </x:c>
      <x:c r="C3106" s="115" t="str">
        <x:v>Épuration</x:v>
      </x:c>
      <x:c r="D3106" s="115" t="str">
        <x:v>Traitement des eaux industrielles</x:v>
      </x:c>
      <x:c r="E3106" s="115" t="n">
        <x:v>1</x:v>
      </x:c>
      <x:c r="F3106" s="115" t="str">
        <x:v>Inspection physique</x:v>
      </x:c>
      <x:c r="G3106" s="115" t="str">
        <x:v>1 niveaux ; 22 pièces ; 167 segments de mur ; 0 transitions. Inspection physique ; architecture complète encore ouverte.</x:v>
      </x:c>
      <x:c r="H3106" s="115" t="str">
        <x:v>L 430 ; l 440 ; hauteur 5,5 m ; choix de composition auteur ; dimensions réelles à documenter</x:v>
      </x:c>
      <x:c r="I3106" s="115" t="str">
        <x:v>À équilibrer</x:v>
      </x:c>
      <x:c r="J3106" s="115" t="str">
        <x:v>Non</x:v>
      </x:c>
      <x:c r="K3106" s="115" t="str">
        <x:v>Pièces décrites, murs, portes, niveaux et mobilier inspectables à l’échelle. Volumes réservés, raccord au seed, butin, rencontres et services de campagne restent à terminer.</x:v>
      </x:c>
    </x:row>
    <x:row r="3107" ht="96" customHeight="1">
      <x:c r="A3107" s="115" t="str">
        <x:v>EXT-MONDE-T063-V02</x:v>
      </x:c>
      <x:c r="B3107" s="115" t="str">
        <x:v>EXT-MONDE-T063</x:v>
      </x:c>
      <x:c r="C3107" s="115" t="str">
        <x:v>Épuration</x:v>
      </x:c>
      <x:c r="D3107" s="115" t="str">
        <x:v>Traitement des eaux industrielles</x:v>
      </x:c>
      <x:c r="E3107" s="115" t="n">
        <x:v>2</x:v>
      </x:c>
      <x:c r="F3107" s="115" t="str">
        <x:v>Inspection physique</x:v>
      </x:c>
      <x:c r="G3107" s="115" t="str">
        <x:v>1 niveaux ; 22 pièces ; 167 segments de mur ; 0 transitions. Inspection physique ; architecture complète encore ouverte.</x:v>
      </x:c>
      <x:c r="H3107" s="115" t="str">
        <x:v>L 430 ; l 440 ; hauteur 5,5 m ; choix de composition auteur ; dimensions réelles à documenter</x:v>
      </x:c>
      <x:c r="I3107" s="115" t="str">
        <x:v>À équilibrer</x:v>
      </x:c>
      <x:c r="J3107" s="115" t="str">
        <x:v>Non</x:v>
      </x:c>
      <x:c r="K3107" s="115" t="str">
        <x:v>Pièces décrites, murs, portes, niveaux et mobilier inspectables à l’échelle. Volumes réservés, raccord au seed, butin, rencontres et services de campagne restent à terminer.</x:v>
      </x:c>
    </x:row>
    <x:row r="3108" ht="96" customHeight="1">
      <x:c r="A3108" s="115" t="str">
        <x:v>EXT-MONDE-T063-V03</x:v>
      </x:c>
      <x:c r="B3108" s="115" t="str">
        <x:v>EXT-MONDE-T063</x:v>
      </x:c>
      <x:c r="C3108" s="115" t="str">
        <x:v>Épuration</x:v>
      </x:c>
      <x:c r="D3108" s="115" t="str">
        <x:v>Traitement des eaux industrielles</x:v>
      </x:c>
      <x:c r="E3108" s="115" t="n">
        <x:v>3</x:v>
      </x:c>
      <x:c r="F3108" s="115" t="str">
        <x:v>Inspection physique</x:v>
      </x:c>
      <x:c r="G3108" s="115" t="str">
        <x:v>1 niveaux ; 22 pièces ; 167 segments de mur ; 0 transitions. Inspection physique ; architecture complète encore ouverte.</x:v>
      </x:c>
      <x:c r="H3108" s="115" t="str">
        <x:v>L 430 ; l 440 ; hauteur 5,5 m ; choix de composition auteur ; dimensions réelles à documenter</x:v>
      </x:c>
      <x:c r="I3108" s="115" t="str">
        <x:v>À équilibrer</x:v>
      </x:c>
      <x:c r="J3108" s="115" t="str">
        <x:v>Non</x:v>
      </x:c>
      <x:c r="K3108" s="115" t="str">
        <x:v>Pièces décrites, murs, portes, niveaux et mobilier inspectables à l’échelle. Volumes réservés, raccord au seed, butin, rencontres et services de campagne restent à terminer.</x:v>
      </x:c>
    </x:row>
    <x:row r="3109" ht="96" customHeight="1">
      <x:c r="A3109" s="115" t="str">
        <x:v>EXT-MONDE-T063-V04</x:v>
      </x:c>
      <x:c r="B3109" s="115" t="str">
        <x:v>EXT-MONDE-T063</x:v>
      </x:c>
      <x:c r="C3109" s="115" t="str">
        <x:v>Épuration</x:v>
      </x:c>
      <x:c r="D3109" s="115" t="str">
        <x:v>Traitement des eaux industrielles</x:v>
      </x:c>
      <x:c r="E3109" s="115" t="n">
        <x:v>4</x:v>
      </x:c>
      <x:c r="F3109" s="115" t="str">
        <x:v>Inspection physique</x:v>
      </x:c>
      <x:c r="G3109" s="115" t="str">
        <x:v>1 niveaux ; 22 pièces ; 167 segments de mur ; 0 transitions. Inspection physique ; architecture complète encore ouverte.</x:v>
      </x:c>
      <x:c r="H3109" s="115" t="str">
        <x:v>L 430 ; l 440 ; hauteur 5,5 m ; choix de composition auteur ; dimensions réelles à documenter</x:v>
      </x:c>
      <x:c r="I3109" s="115" t="str">
        <x:v>À équilibrer</x:v>
      </x:c>
      <x:c r="J3109" s="115" t="str">
        <x:v>Non</x:v>
      </x:c>
      <x:c r="K3109" s="115" t="str">
        <x:v>Pièces décrites, murs, portes, niveaux et mobilier inspectables à l’échelle. Volumes réservés, raccord au seed, butin, rencontres et services de campagne restent à terminer.</x:v>
      </x:c>
    </x:row>
    <x:row r="3110" ht="96" customHeight="1">
      <x:c r="A3110" s="115" t="str">
        <x:v>EXT-MONDE-T063-V05</x:v>
      </x:c>
      <x:c r="B3110" s="115" t="str">
        <x:v>EXT-MONDE-T063</x:v>
      </x:c>
      <x:c r="C3110" s="115" t="str">
        <x:v>Épuration</x:v>
      </x:c>
      <x:c r="D3110" s="115" t="str">
        <x:v>Traitement des eaux industrielles</x:v>
      </x:c>
      <x:c r="E3110" s="115" t="n">
        <x:v>5</x:v>
      </x:c>
      <x:c r="F3110" s="115" t="str">
        <x:v>Inspection physique</x:v>
      </x:c>
      <x:c r="G3110" s="115" t="str">
        <x:v>1 niveaux ; 22 pièces ; 167 segments de mur ; 0 transitions. Inspection physique ; architecture complète encore ouverte.</x:v>
      </x:c>
      <x:c r="H3110" s="115" t="str">
        <x:v>L 430 ; l 440 ; hauteur 5,5 m ; choix de composition auteur ; dimensions réelles à documenter</x:v>
      </x:c>
      <x:c r="I3110" s="115" t="str">
        <x:v>À équilibrer</x:v>
      </x:c>
      <x:c r="J3110" s="115" t="str">
        <x:v>Non</x:v>
      </x:c>
      <x:c r="K3110" s="115" t="str">
        <x:v>Pièces décrites, murs, portes, niveaux et mobilier inspectables à l’échelle. Volumes réservés, raccord au seed, butin, rencontres et services de campagne restent à terminer.</x:v>
      </x:c>
    </x:row>
    <x:row r="3111" ht="96" customHeight="1">
      <x:c r="A3111" s="115" t="str">
        <x:v>EXT-MONDE-T063-V06</x:v>
      </x:c>
      <x:c r="B3111" s="115" t="str">
        <x:v>EXT-MONDE-T063</x:v>
      </x:c>
      <x:c r="C3111" s="115" t="str">
        <x:v>Épuration</x:v>
      </x:c>
      <x:c r="D3111" s="115" t="str">
        <x:v>Traitement des eaux industrielles</x:v>
      </x:c>
      <x:c r="E3111" s="115" t="n">
        <x:v>6</x:v>
      </x:c>
      <x:c r="F3111" s="115" t="str">
        <x:v>Inspection physique</x:v>
      </x:c>
      <x:c r="G3111" s="115" t="str">
        <x:v>1 niveaux ; 22 pièces ; 167 segments de mur ; 0 transitions. Inspection physique ; architecture complète encore ouverte.</x:v>
      </x:c>
      <x:c r="H3111" s="115" t="str">
        <x:v>L 430 ; l 440 ; hauteur 5,5 m ; choix de composition auteur ; dimensions réelles à documenter</x:v>
      </x:c>
      <x:c r="I3111" s="115" t="str">
        <x:v>À équilibrer</x:v>
      </x:c>
      <x:c r="J3111" s="115" t="str">
        <x:v>Non</x:v>
      </x:c>
      <x:c r="K3111" s="115" t="str">
        <x:v>Pièces décrites, murs, portes, niveaux et mobilier inspectables à l’échelle. Volumes réservés, raccord au seed, butin, rencontres et services de campagne restent à terminer.</x:v>
      </x:c>
    </x:row>
    <x:row r="3112" ht="96" customHeight="1">
      <x:c r="A3112" s="115" t="str">
        <x:v>EXT-MONDE-T063-V07</x:v>
      </x:c>
      <x:c r="B3112" s="115" t="str">
        <x:v>EXT-MONDE-T063</x:v>
      </x:c>
      <x:c r="C3112" s="115" t="str">
        <x:v>Épuration</x:v>
      </x:c>
      <x:c r="D3112" s="115" t="str">
        <x:v>Traitement des eaux industrielles</x:v>
      </x:c>
      <x:c r="E3112" s="115" t="n">
        <x:v>7</x:v>
      </x:c>
      <x:c r="F3112" s="115" t="str">
        <x:v>Inspection physique</x:v>
      </x:c>
      <x:c r="G3112" s="115" t="str">
        <x:v>1 niveaux ; 22 pièces ; 167 segments de mur ; 0 transitions. Inspection physique ; architecture complète encore ouverte.</x:v>
      </x:c>
      <x:c r="H3112" s="115" t="str">
        <x:v>L 430 ; l 440 ; hauteur 5,5 m ; choix de composition auteur ; dimensions réelles à documenter</x:v>
      </x:c>
      <x:c r="I3112" s="115" t="str">
        <x:v>À équilibrer</x:v>
      </x:c>
      <x:c r="J3112" s="115" t="str">
        <x:v>Non</x:v>
      </x:c>
      <x:c r="K3112" s="115" t="str">
        <x:v>Pièces décrites, murs, portes, niveaux et mobilier inspectables à l’échelle. Volumes réservés, raccord au seed, butin, rencontres et services de campagne restent à terminer.</x:v>
      </x:c>
    </x:row>
    <x:row r="3113" ht="96" customHeight="1">
      <x:c r="A3113" s="115" t="str">
        <x:v>EXT-MONDE-T063-V08</x:v>
      </x:c>
      <x:c r="B3113" s="115" t="str">
        <x:v>EXT-MONDE-T063</x:v>
      </x:c>
      <x:c r="C3113" s="115" t="str">
        <x:v>Épuration</x:v>
      </x:c>
      <x:c r="D3113" s="115" t="str">
        <x:v>Traitement des eaux industrielles</x:v>
      </x:c>
      <x:c r="E3113" s="115" t="n">
        <x:v>8</x:v>
      </x:c>
      <x:c r="F3113" s="115" t="str">
        <x:v>Inspection physique</x:v>
      </x:c>
      <x:c r="G3113" s="115" t="str">
        <x:v>1 niveaux ; 22 pièces ; 167 segments de mur ; 0 transitions. Inspection physique ; architecture complète encore ouverte.</x:v>
      </x:c>
      <x:c r="H3113" s="115" t="str">
        <x:v>L 430 ; l 440 ; hauteur 5,5 m ; choix de composition auteur ; dimensions réelles à documenter</x:v>
      </x:c>
      <x:c r="I3113" s="115" t="str">
        <x:v>À équilibrer</x:v>
      </x:c>
      <x:c r="J3113" s="115" t="str">
        <x:v>Non</x:v>
      </x:c>
      <x:c r="K3113" s="115" t="str">
        <x:v>Pièces décrites, murs, portes, niveaux et mobilier inspectables à l’échelle. Volumes réservés, raccord au seed, butin, rencontres et services de campagne restent à terminer.</x:v>
      </x:c>
    </x:row>
    <x:row r="3114" ht="96" customHeight="1">
      <x:c r="A3114" s="115" t="str">
        <x:v>EXT-MONDE-T063-V09</x:v>
      </x:c>
      <x:c r="B3114" s="115" t="str">
        <x:v>EXT-MONDE-T063</x:v>
      </x:c>
      <x:c r="C3114" s="115" t="str">
        <x:v>Épuration</x:v>
      </x:c>
      <x:c r="D3114" s="115" t="str">
        <x:v>Traitement des eaux industrielles</x:v>
      </x:c>
      <x:c r="E3114" s="115" t="n">
        <x:v>9</x:v>
      </x:c>
      <x:c r="F3114" s="115" t="str">
        <x:v>Inspection physique</x:v>
      </x:c>
      <x:c r="G3114" s="115" t="str">
        <x:v>1 niveaux ; 22 pièces ; 167 segments de mur ; 0 transitions. Inspection physique ; architecture complète encore ouverte.</x:v>
      </x:c>
      <x:c r="H3114" s="115" t="str">
        <x:v>L 430 ; l 440 ; hauteur 5,5 m ; choix de composition auteur ; dimensions réelles à documenter</x:v>
      </x:c>
      <x:c r="I3114" s="115" t="str">
        <x:v>À équilibrer</x:v>
      </x:c>
      <x:c r="J3114" s="115" t="str">
        <x:v>Non</x:v>
      </x:c>
      <x:c r="K3114" s="115" t="str">
        <x:v>Pièces décrites, murs, portes, niveaux et mobilier inspectables à l’échelle. Volumes réservés, raccord au seed, butin, rencontres et services de campagne restent à terminer.</x:v>
      </x:c>
    </x:row>
    <x:row r="3115" ht="96" customHeight="1">
      <x:c r="A3115" s="115" t="str">
        <x:v>EXT-MONDE-T063-V10</x:v>
      </x:c>
      <x:c r="B3115" s="115" t="str">
        <x:v>EXT-MONDE-T063</x:v>
      </x:c>
      <x:c r="C3115" s="115" t="str">
        <x:v>Épuration</x:v>
      </x:c>
      <x:c r="D3115" s="115" t="str">
        <x:v>Traitement des eaux industrielles</x:v>
      </x:c>
      <x:c r="E3115" s="115" t="n">
        <x:v>10</x:v>
      </x:c>
      <x:c r="F3115" s="115" t="str">
        <x:v>Inspection physique</x:v>
      </x:c>
      <x:c r="G3115" s="115" t="str">
        <x:v>1 niveaux ; 22 pièces ; 167 segments de mur ; 0 transitions. Inspection physique ; architecture complète encore ouverte.</x:v>
      </x:c>
      <x:c r="H3115" s="115" t="str">
        <x:v>L 430 ; l 440 ; hauteur 5,5 m ; choix de composition auteur ; dimensions réelles à documenter</x:v>
      </x:c>
      <x:c r="I3115" s="115" t="str">
        <x:v>À équilibrer</x:v>
      </x:c>
      <x:c r="J3115" s="115" t="str">
        <x:v>Non</x:v>
      </x:c>
      <x:c r="K3115" s="115" t="str">
        <x:v>Pièces décrites, murs, portes, niveaux et mobilier inspectables à l’échelle. Volumes réservés, raccord au seed, butin, rencontres et services de campagne restent à terminer.</x:v>
      </x:c>
    </x:row>
    <x:row r="3116" ht="96" customHeight="1">
      <x:c r="A3116" s="115" t="str">
        <x:v>EXT-MONDE-T063-V11</x:v>
      </x:c>
      <x:c r="B3116" s="115" t="str">
        <x:v>EXT-MONDE-T063</x:v>
      </x:c>
      <x:c r="C3116" s="115" t="str">
        <x:v>Épuration</x:v>
      </x:c>
      <x:c r="D3116" s="115" t="str">
        <x:v>Traitement des eaux industrielles</x:v>
      </x:c>
      <x:c r="E3116" s="115" t="n">
        <x:v>11</x:v>
      </x:c>
      <x:c r="F3116" s="115" t="str">
        <x:v>Inspection physique</x:v>
      </x:c>
      <x:c r="G3116" s="115" t="str">
        <x:v>1 niveaux ; 22 pièces ; 167 segments de mur ; 0 transitions. Inspection physique ; architecture complète encore ouverte.</x:v>
      </x:c>
      <x:c r="H3116" s="115" t="str">
        <x:v>L 448 ; l 460 ; hauteur 5,7 m ; choix de composition auteur ; dimensions réelles à documenter</x:v>
      </x:c>
      <x:c r="I3116" s="115" t="str">
        <x:v>À équilibrer</x:v>
      </x:c>
      <x:c r="J3116" s="115" t="str">
        <x:v>Non</x:v>
      </x:c>
      <x:c r="K3116" s="115" t="str">
        <x:v>Pièces décrites, murs, portes, niveaux et mobilier inspectables à l’échelle. Volumes réservés, raccord au seed, butin, rencontres et services de campagne restent à terminer.</x:v>
      </x:c>
    </x:row>
    <x:row r="3117" ht="96" customHeight="1">
      <x:c r="A3117" s="115" t="str">
        <x:v>EXT-MONDE-T063-V12</x:v>
      </x:c>
      <x:c r="B3117" s="115" t="str">
        <x:v>EXT-MONDE-T063</x:v>
      </x:c>
      <x:c r="C3117" s="115" t="str">
        <x:v>Épuration</x:v>
      </x:c>
      <x:c r="D3117" s="115" t="str">
        <x:v>Traitement des eaux industrielles</x:v>
      </x:c>
      <x:c r="E3117" s="115" t="n">
        <x:v>12</x:v>
      </x:c>
      <x:c r="F3117" s="115" t="str">
        <x:v>Inspection physique</x:v>
      </x:c>
      <x:c r="G3117" s="115" t="str">
        <x:v>1 niveaux ; 22 pièces ; 167 segments de mur ; 0 transitions. Inspection physique ; architecture complète encore ouverte.</x:v>
      </x:c>
      <x:c r="H3117" s="115" t="str">
        <x:v>L 448 ; l 460 ; hauteur 5,7 m ; choix de composition auteur ; dimensions réelles à documenter</x:v>
      </x:c>
      <x:c r="I3117" s="115" t="str">
        <x:v>À équilibrer</x:v>
      </x:c>
      <x:c r="J3117" s="115" t="str">
        <x:v>Non</x:v>
      </x:c>
      <x:c r="K3117" s="115" t="str">
        <x:v>Pièces décrites, murs, portes, niveaux et mobilier inspectables à l’échelle. Volumes réservés, raccord au seed, butin, rencontres et services de campagne restent à terminer.</x:v>
      </x:c>
    </x:row>
    <x:row r="3118" ht="96" customHeight="1">
      <x:c r="A3118" s="115" t="str">
        <x:v>EXT-MONDE-T063-V13</x:v>
      </x:c>
      <x:c r="B3118" s="115" t="str">
        <x:v>EXT-MONDE-T063</x:v>
      </x:c>
      <x:c r="C3118" s="115" t="str">
        <x:v>Épuration</x:v>
      </x:c>
      <x:c r="D3118" s="115" t="str">
        <x:v>Traitement des eaux industrielles</x:v>
      </x:c>
      <x:c r="E3118" s="115" t="n">
        <x:v>13</x:v>
      </x:c>
      <x:c r="F3118" s="115" t="str">
        <x:v>Inspection physique</x:v>
      </x:c>
      <x:c r="G3118" s="115" t="str">
        <x:v>1 niveaux ; 22 pièces ; 167 segments de mur ; 0 transitions. Inspection physique ; architecture complète encore ouverte.</x:v>
      </x:c>
      <x:c r="H3118" s="115" t="str">
        <x:v>L 448 ; l 460 ; hauteur 5,7 m ; choix de composition auteur ; dimensions réelles à documenter</x:v>
      </x:c>
      <x:c r="I3118" s="115" t="str">
        <x:v>À équilibrer</x:v>
      </x:c>
      <x:c r="J3118" s="115" t="str">
        <x:v>Non</x:v>
      </x:c>
      <x:c r="K3118" s="115" t="str">
        <x:v>Pièces décrites, murs, portes, niveaux et mobilier inspectables à l’échelle. Volumes réservés, raccord au seed, butin, rencontres et services de campagne restent à terminer.</x:v>
      </x:c>
    </x:row>
    <x:row r="3119" ht="96" customHeight="1">
      <x:c r="A3119" s="115" t="str">
        <x:v>EXT-MONDE-T063-V14</x:v>
      </x:c>
      <x:c r="B3119" s="115" t="str">
        <x:v>EXT-MONDE-T063</x:v>
      </x:c>
      <x:c r="C3119" s="115" t="str">
        <x:v>Épuration</x:v>
      </x:c>
      <x:c r="D3119" s="115" t="str">
        <x:v>Traitement des eaux industrielles</x:v>
      </x:c>
      <x:c r="E3119" s="115" t="n">
        <x:v>14</x:v>
      </x:c>
      <x:c r="F3119" s="115" t="str">
        <x:v>Inspection physique</x:v>
      </x:c>
      <x:c r="G3119" s="115" t="str">
        <x:v>1 niveaux ; 22 pièces ; 167 segments de mur ; 0 transitions. Inspection physique ; architecture complète encore ouverte.</x:v>
      </x:c>
      <x:c r="H3119" s="115" t="str">
        <x:v>L 448 ; l 460 ; hauteur 5,7 m ; choix de composition auteur ; dimensions réelles à documenter</x:v>
      </x:c>
      <x:c r="I3119" s="115" t="str">
        <x:v>À équilibrer</x:v>
      </x:c>
      <x:c r="J3119" s="115" t="str">
        <x:v>Non</x:v>
      </x:c>
      <x:c r="K3119" s="115" t="str">
        <x:v>Pièces décrites, murs, portes, niveaux et mobilier inspectables à l’échelle. Volumes réservés, raccord au seed, butin, rencontres et services de campagne restent à terminer.</x:v>
      </x:c>
    </x:row>
    <x:row r="3120" ht="96" customHeight="1">
      <x:c r="A3120" s="115" t="str">
        <x:v>EXT-MONDE-T063-V15</x:v>
      </x:c>
      <x:c r="B3120" s="115" t="str">
        <x:v>EXT-MONDE-T063</x:v>
      </x:c>
      <x:c r="C3120" s="115" t="str">
        <x:v>Épuration</x:v>
      </x:c>
      <x:c r="D3120" s="115" t="str">
        <x:v>Traitement des eaux industrielles</x:v>
      </x:c>
      <x:c r="E3120" s="115" t="n">
        <x:v>15</x:v>
      </x:c>
      <x:c r="F3120" s="115" t="str">
        <x:v>Inspection physique</x:v>
      </x:c>
      <x:c r="G3120" s="115" t="str">
        <x:v>1 niveaux ; 22 pièces ; 167 segments de mur ; 0 transitions. Inspection physique ; architecture complète encore ouverte.</x:v>
      </x:c>
      <x:c r="H3120" s="115" t="str">
        <x:v>L 448 ; l 460 ; hauteur 5,7 m ; choix de composition auteur ; dimensions réelles à documenter</x:v>
      </x:c>
      <x:c r="I3120" s="115" t="str">
        <x:v>À équilibrer</x:v>
      </x:c>
      <x:c r="J3120" s="115" t="str">
        <x:v>Non</x:v>
      </x:c>
      <x:c r="K3120" s="115" t="str">
        <x:v>Pièces décrites, murs, portes, niveaux et mobilier inspectables à l’échelle. Volumes réservés, raccord au seed, butin, rencontres et services de campagne restent à terminer.</x:v>
      </x:c>
    </x:row>
    <x:row r="3121" ht="96" customHeight="1">
      <x:c r="A3121" s="115" t="str">
        <x:v>EXT-MONDE-T063-V16</x:v>
      </x:c>
      <x:c r="B3121" s="115" t="str">
        <x:v>EXT-MONDE-T063</x:v>
      </x:c>
      <x:c r="C3121" s="115" t="str">
        <x:v>Épuration</x:v>
      </x:c>
      <x:c r="D3121" s="115" t="str">
        <x:v>Traitement des eaux industrielles</x:v>
      </x:c>
      <x:c r="E3121" s="115" t="n">
        <x:v>16</x:v>
      </x:c>
      <x:c r="F3121" s="115" t="str">
        <x:v>Inspection physique</x:v>
      </x:c>
      <x:c r="G3121" s="115" t="str">
        <x:v>1 niveaux ; 22 pièces ; 167 segments de mur ; 0 transitions. Inspection physique ; architecture complète encore ouverte.</x:v>
      </x:c>
      <x:c r="H3121" s="115" t="str">
        <x:v>L 448 ; l 460 ; hauteur 5,7 m ; choix de composition auteur ; dimensions réelles à documenter</x:v>
      </x:c>
      <x:c r="I3121" s="115" t="str">
        <x:v>À équilibrer</x:v>
      </x:c>
      <x:c r="J3121" s="115" t="str">
        <x:v>Non</x:v>
      </x:c>
      <x:c r="K3121" s="115" t="str">
        <x:v>Pièces décrites, murs, portes, niveaux et mobilier inspectables à l’échelle. Volumes réservés, raccord au seed, butin, rencontres et services de campagne restent à terminer.</x:v>
      </x:c>
    </x:row>
    <x:row r="3122" ht="96" customHeight="1">
      <x:c r="A3122" s="115" t="str">
        <x:v>EXT-MONDE-T063-V17</x:v>
      </x:c>
      <x:c r="B3122" s="115" t="str">
        <x:v>EXT-MONDE-T063</x:v>
      </x:c>
      <x:c r="C3122" s="115" t="str">
        <x:v>Épuration</x:v>
      </x:c>
      <x:c r="D3122" s="115" t="str">
        <x:v>Traitement des eaux industrielles</x:v>
      </x:c>
      <x:c r="E3122" s="115" t="n">
        <x:v>17</x:v>
      </x:c>
      <x:c r="F3122" s="115" t="str">
        <x:v>Inspection physique</x:v>
      </x:c>
      <x:c r="G3122" s="115" t="str">
        <x:v>1 niveaux ; 22 pièces ; 167 segments de mur ; 0 transitions. Inspection physique ; architecture complète encore ouverte.</x:v>
      </x:c>
      <x:c r="H3122" s="115" t="str">
        <x:v>L 448 ; l 460 ; hauteur 5,7 m ; choix de composition auteur ; dimensions réelles à documenter</x:v>
      </x:c>
      <x:c r="I3122" s="115" t="str">
        <x:v>À équilibrer</x:v>
      </x:c>
      <x:c r="J3122" s="115" t="str">
        <x:v>Non</x:v>
      </x:c>
      <x:c r="K3122" s="115" t="str">
        <x:v>Pièces décrites, murs, portes, niveaux et mobilier inspectables à l’échelle. Volumes réservés, raccord au seed, butin, rencontres et services de campagne restent à terminer.</x:v>
      </x:c>
    </x:row>
    <x:row r="3123" ht="96" customHeight="1">
      <x:c r="A3123" s="115" t="str">
        <x:v>EXT-MONDE-T063-V18</x:v>
      </x:c>
      <x:c r="B3123" s="115" t="str">
        <x:v>EXT-MONDE-T063</x:v>
      </x:c>
      <x:c r="C3123" s="115" t="str">
        <x:v>Épuration</x:v>
      </x:c>
      <x:c r="D3123" s="115" t="str">
        <x:v>Traitement des eaux industrielles</x:v>
      </x:c>
      <x:c r="E3123" s="115" t="n">
        <x:v>18</x:v>
      </x:c>
      <x:c r="F3123" s="115" t="str">
        <x:v>Inspection physique</x:v>
      </x:c>
      <x:c r="G3123" s="115" t="str">
        <x:v>1 niveaux ; 22 pièces ; 167 segments de mur ; 0 transitions. Inspection physique ; architecture complète encore ouverte.</x:v>
      </x:c>
      <x:c r="H3123" s="115" t="str">
        <x:v>L 448 ; l 460 ; hauteur 5,7 m ; choix de composition auteur ; dimensions réelles à documenter</x:v>
      </x:c>
      <x:c r="I3123" s="115" t="str">
        <x:v>À équilibrer</x:v>
      </x:c>
      <x:c r="J3123" s="115" t="str">
        <x:v>Non</x:v>
      </x:c>
      <x:c r="K3123" s="115" t="str">
        <x:v>Pièces décrites, murs, portes, niveaux et mobilier inspectables à l’échelle. Volumes réservés, raccord au seed, butin, rencontres et services de campagne restent à terminer.</x:v>
      </x:c>
    </x:row>
    <x:row r="3124" ht="96" customHeight="1">
      <x:c r="A3124" s="115" t="str">
        <x:v>EXT-MONDE-T063-V19</x:v>
      </x:c>
      <x:c r="B3124" s="115" t="str">
        <x:v>EXT-MONDE-T063</x:v>
      </x:c>
      <x:c r="C3124" s="115" t="str">
        <x:v>Épuration</x:v>
      </x:c>
      <x:c r="D3124" s="115" t="str">
        <x:v>Traitement des eaux industrielles</x:v>
      </x:c>
      <x:c r="E3124" s="115" t="n">
        <x:v>19</x:v>
      </x:c>
      <x:c r="F3124" s="115" t="str">
        <x:v>Inspection physique</x:v>
      </x:c>
      <x:c r="G3124" s="115" t="str">
        <x:v>1 niveaux ; 22 pièces ; 167 segments de mur ; 0 transitions. Inspection physique ; architecture complète encore ouverte.</x:v>
      </x:c>
      <x:c r="H3124" s="115" t="str">
        <x:v>L 448 ; l 460 ; hauteur 5,7 m ; choix de composition auteur ; dimensions réelles à documenter</x:v>
      </x:c>
      <x:c r="I3124" s="115" t="str">
        <x:v>À équilibrer</x:v>
      </x:c>
      <x:c r="J3124" s="115" t="str">
        <x:v>Non</x:v>
      </x:c>
      <x:c r="K3124" s="115" t="str">
        <x:v>Pièces décrites, murs, portes, niveaux et mobilier inspectables à l’échelle. Volumes réservés, raccord au seed, butin, rencontres et services de campagne restent à terminer.</x:v>
      </x:c>
    </x:row>
    <x:row r="3125" ht="96" customHeight="1">
      <x:c r="A3125" s="115" t="str">
        <x:v>EXT-MONDE-T063-V20</x:v>
      </x:c>
      <x:c r="B3125" s="115" t="str">
        <x:v>EXT-MONDE-T063</x:v>
      </x:c>
      <x:c r="C3125" s="115" t="str">
        <x:v>Épuration</x:v>
      </x:c>
      <x:c r="D3125" s="115" t="str">
        <x:v>Traitement des eaux industrielles</x:v>
      </x:c>
      <x:c r="E3125" s="115" t="n">
        <x:v>20</x:v>
      </x:c>
      <x:c r="F3125" s="115" t="str">
        <x:v>Inspection physique</x:v>
      </x:c>
      <x:c r="G3125" s="115" t="str">
        <x:v>1 niveaux ; 22 pièces ; 167 segments de mur ; 0 transitions. Inspection physique ; architecture complète encore ouverte.</x:v>
      </x:c>
      <x:c r="H3125" s="115" t="str">
        <x:v>L 448 ; l 460 ; hauteur 5,7 m ; choix de composition auteur ; dimensions réelles à documenter</x:v>
      </x:c>
      <x:c r="I3125" s="115" t="str">
        <x:v>À équilibrer</x:v>
      </x:c>
      <x:c r="J3125" s="115" t="str">
        <x:v>Non</x:v>
      </x:c>
      <x:c r="K3125" s="115" t="str">
        <x:v>Pièces décrites, murs, portes, niveaux et mobilier inspectables à l’échelle. Volumes réservés, raccord au seed, butin, rencontres et services de campagne restent à terminer.</x:v>
      </x:c>
    </x:row>
    <x:row r="3126" ht="96" customHeight="1">
      <x:c r="A3126" s="115" t="str">
        <x:v>EXT-MONDE-T063-V21</x:v>
      </x:c>
      <x:c r="B3126" s="115" t="str">
        <x:v>EXT-MONDE-T063</x:v>
      </x:c>
      <x:c r="C3126" s="115" t="str">
        <x:v>Épuration</x:v>
      </x:c>
      <x:c r="D3126" s="115" t="str">
        <x:v>Traitement des eaux industrielles</x:v>
      </x:c>
      <x:c r="E3126" s="115" t="n">
        <x:v>21</x:v>
      </x:c>
      <x:c r="F3126" s="115" t="str">
        <x:v>Inspection physique</x:v>
      </x:c>
      <x:c r="G3126" s="115" t="str">
        <x:v>1 niveaux ; 22 pièces ; 167 segments de mur ; 0 transitions. Inspection physique ; architecture complète encore ouverte.</x:v>
      </x:c>
      <x:c r="H3126" s="115" t="str">
        <x:v>L 466 ; l 480 ; hauteur 5,9 m ; choix de composition auteur ; dimensions réelles à documenter</x:v>
      </x:c>
      <x:c r="I3126" s="115" t="str">
        <x:v>À équilibrer</x:v>
      </x:c>
      <x:c r="J3126" s="115" t="str">
        <x:v>Non</x:v>
      </x:c>
      <x:c r="K3126" s="115" t="str">
        <x:v>Pièces décrites, murs, portes, niveaux et mobilier inspectables à l’échelle. Volumes réservés, raccord au seed, butin, rencontres et services de campagne restent à terminer.</x:v>
      </x:c>
    </x:row>
    <x:row r="3127" ht="96" customHeight="1">
      <x:c r="A3127" s="115" t="str">
        <x:v>EXT-MONDE-T063-V22</x:v>
      </x:c>
      <x:c r="B3127" s="115" t="str">
        <x:v>EXT-MONDE-T063</x:v>
      </x:c>
      <x:c r="C3127" s="115" t="str">
        <x:v>Épuration</x:v>
      </x:c>
      <x:c r="D3127" s="115" t="str">
        <x:v>Traitement des eaux industrielles</x:v>
      </x:c>
      <x:c r="E3127" s="115" t="n">
        <x:v>22</x:v>
      </x:c>
      <x:c r="F3127" s="115" t="str">
        <x:v>Inspection physique</x:v>
      </x:c>
      <x:c r="G3127" s="115" t="str">
        <x:v>1 niveaux ; 22 pièces ; 167 segments de mur ; 0 transitions. Inspection physique ; architecture complète encore ouverte.</x:v>
      </x:c>
      <x:c r="H3127" s="115" t="str">
        <x:v>L 466 ; l 480 ; hauteur 5,9 m ; choix de composition auteur ; dimensions réelles à documenter</x:v>
      </x:c>
      <x:c r="I3127" s="115" t="str">
        <x:v>À équilibrer</x:v>
      </x:c>
      <x:c r="J3127" s="115" t="str">
        <x:v>Non</x:v>
      </x:c>
      <x:c r="K3127" s="115" t="str">
        <x:v>Pièces décrites, murs, portes, niveaux et mobilier inspectables à l’échelle. Volumes réservés, raccord au seed, butin, rencontres et services de campagne restent à terminer.</x:v>
      </x:c>
    </x:row>
    <x:row r="3128" ht="96" customHeight="1">
      <x:c r="A3128" s="115" t="str">
        <x:v>EXT-MONDE-T063-V23</x:v>
      </x:c>
      <x:c r="B3128" s="115" t="str">
        <x:v>EXT-MONDE-T063</x:v>
      </x:c>
      <x:c r="C3128" s="115" t="str">
        <x:v>Épuration</x:v>
      </x:c>
      <x:c r="D3128" s="115" t="str">
        <x:v>Traitement des eaux industrielles</x:v>
      </x:c>
      <x:c r="E3128" s="115" t="n">
        <x:v>23</x:v>
      </x:c>
      <x:c r="F3128" s="115" t="str">
        <x:v>Inspection physique</x:v>
      </x:c>
      <x:c r="G3128" s="115" t="str">
        <x:v>1 niveaux ; 22 pièces ; 167 segments de mur ; 0 transitions. Inspection physique ; architecture complète encore ouverte.</x:v>
      </x:c>
      <x:c r="H3128" s="115" t="str">
        <x:v>L 466 ; l 480 ; hauteur 5,9 m ; choix de composition auteur ; dimensions réelles à documenter</x:v>
      </x:c>
      <x:c r="I3128" s="115" t="str">
        <x:v>À équilibrer</x:v>
      </x:c>
      <x:c r="J3128" s="115" t="str">
        <x:v>Non</x:v>
      </x:c>
      <x:c r="K3128" s="115" t="str">
        <x:v>Pièces décrites, murs, portes, niveaux et mobilier inspectables à l’échelle. Volumes réservés, raccord au seed, butin, rencontres et services de campagne restent à terminer.</x:v>
      </x:c>
    </x:row>
    <x:row r="3129" ht="96" customHeight="1">
      <x:c r="A3129" s="115" t="str">
        <x:v>EXT-MONDE-T063-V24</x:v>
      </x:c>
      <x:c r="B3129" s="115" t="str">
        <x:v>EXT-MONDE-T063</x:v>
      </x:c>
      <x:c r="C3129" s="115" t="str">
        <x:v>Épuration</x:v>
      </x:c>
      <x:c r="D3129" s="115" t="str">
        <x:v>Traitement des eaux industrielles</x:v>
      </x:c>
      <x:c r="E3129" s="115" t="n">
        <x:v>24</x:v>
      </x:c>
      <x:c r="F3129" s="115" t="str">
        <x:v>Inspection physique</x:v>
      </x:c>
      <x:c r="G3129" s="115" t="str">
        <x:v>1 niveaux ; 22 pièces ; 167 segments de mur ; 0 transitions. Inspection physique ; architecture complète encore ouverte.</x:v>
      </x:c>
      <x:c r="H3129" s="115" t="str">
        <x:v>L 466 ; l 480 ; hauteur 5,9 m ; choix de composition auteur ; dimensions réelles à documenter</x:v>
      </x:c>
      <x:c r="I3129" s="115" t="str">
        <x:v>À équilibrer</x:v>
      </x:c>
      <x:c r="J3129" s="115" t="str">
        <x:v>Non</x:v>
      </x:c>
      <x:c r="K3129" s="115" t="str">
        <x:v>Pièces décrites, murs, portes, niveaux et mobilier inspectables à l’échelle. Volumes réservés, raccord au seed, butin, rencontres et services de campagne restent à terminer.</x:v>
      </x:c>
    </x:row>
    <x:row r="3130" ht="96" customHeight="1">
      <x:c r="A3130" s="115" t="str">
        <x:v>EXT-MONDE-T063-V25</x:v>
      </x:c>
      <x:c r="B3130" s="115" t="str">
        <x:v>EXT-MONDE-T063</x:v>
      </x:c>
      <x:c r="C3130" s="115" t="str">
        <x:v>Épuration</x:v>
      </x:c>
      <x:c r="D3130" s="115" t="str">
        <x:v>Traitement des eaux industrielles</x:v>
      </x:c>
      <x:c r="E3130" s="115" t="n">
        <x:v>25</x:v>
      </x:c>
      <x:c r="F3130" s="115" t="str">
        <x:v>Inspection physique</x:v>
      </x:c>
      <x:c r="G3130" s="115" t="str">
        <x:v>1 niveaux ; 22 pièces ; 167 segments de mur ; 0 transitions. Inspection physique ; architecture complète encore ouverte.</x:v>
      </x:c>
      <x:c r="H3130" s="115" t="str">
        <x:v>L 466 ; l 480 ; hauteur 5,9 m ; choix de composition auteur ; dimensions réelles à documenter</x:v>
      </x:c>
      <x:c r="I3130" s="115" t="str">
        <x:v>À équilibrer</x:v>
      </x:c>
      <x:c r="J3130" s="115" t="str">
        <x:v>Non</x:v>
      </x:c>
      <x:c r="K3130" s="115" t="str">
        <x:v>Pièces décrites, murs, portes, niveaux et mobilier inspectables à l’échelle. Volumes réservés, raccord au seed, butin, rencontres et services de campagne restent à terminer.</x:v>
      </x:c>
    </x:row>
    <x:row r="3131" ht="96" customHeight="1">
      <x:c r="A3131" s="115" t="str">
        <x:v>EXT-MONDE-T063-V26</x:v>
      </x:c>
      <x:c r="B3131" s="115" t="str">
        <x:v>EXT-MONDE-T063</x:v>
      </x:c>
      <x:c r="C3131" s="115" t="str">
        <x:v>Épuration</x:v>
      </x:c>
      <x:c r="D3131" s="115" t="str">
        <x:v>Traitement des eaux industrielles</x:v>
      </x:c>
      <x:c r="E3131" s="115" t="n">
        <x:v>26</x:v>
      </x:c>
      <x:c r="F3131" s="115" t="str">
        <x:v>Inspection physique</x:v>
      </x:c>
      <x:c r="G3131" s="115" t="str">
        <x:v>1 niveaux ; 22 pièces ; 167 segments de mur ; 0 transitions. Inspection physique ; architecture complète encore ouverte.</x:v>
      </x:c>
      <x:c r="H3131" s="115" t="str">
        <x:v>L 466 ; l 480 ; hauteur 5,9 m ; choix de composition auteur ; dimensions réelles à documenter</x:v>
      </x:c>
      <x:c r="I3131" s="115" t="str">
        <x:v>À équilibrer</x:v>
      </x:c>
      <x:c r="J3131" s="115" t="str">
        <x:v>Non</x:v>
      </x:c>
      <x:c r="K3131" s="115" t="str">
        <x:v>Pièces décrites, murs, portes, niveaux et mobilier inspectables à l’échelle. Volumes réservés, raccord au seed, butin, rencontres et services de campagne restent à terminer.</x:v>
      </x:c>
    </x:row>
    <x:row r="3132" ht="96" customHeight="1">
      <x:c r="A3132" s="115" t="str">
        <x:v>EXT-MONDE-T063-V27</x:v>
      </x:c>
      <x:c r="B3132" s="115" t="str">
        <x:v>EXT-MONDE-T063</x:v>
      </x:c>
      <x:c r="C3132" s="115" t="str">
        <x:v>Épuration</x:v>
      </x:c>
      <x:c r="D3132" s="115" t="str">
        <x:v>Traitement des eaux industrielles</x:v>
      </x:c>
      <x:c r="E3132" s="115" t="n">
        <x:v>27</x:v>
      </x:c>
      <x:c r="F3132" s="115" t="str">
        <x:v>Inspection physique</x:v>
      </x:c>
      <x:c r="G3132" s="115" t="str">
        <x:v>1 niveaux ; 22 pièces ; 167 segments de mur ; 0 transitions. Inspection physique ; architecture complète encore ouverte.</x:v>
      </x:c>
      <x:c r="H3132" s="115" t="str">
        <x:v>L 466 ; l 480 ; hauteur 5,9 m ; choix de composition auteur ; dimensions réelles à documenter</x:v>
      </x:c>
      <x:c r="I3132" s="115" t="str">
        <x:v>À équilibrer</x:v>
      </x:c>
      <x:c r="J3132" s="115" t="str">
        <x:v>Non</x:v>
      </x:c>
      <x:c r="K3132" s="115" t="str">
        <x:v>Pièces décrites, murs, portes, niveaux et mobilier inspectables à l’échelle. Volumes réservés, raccord au seed, butin, rencontres et services de campagne restent à terminer.</x:v>
      </x:c>
    </x:row>
    <x:row r="3133" ht="96" customHeight="1">
      <x:c r="A3133" s="115" t="str">
        <x:v>EXT-MONDE-T063-V28</x:v>
      </x:c>
      <x:c r="B3133" s="115" t="str">
        <x:v>EXT-MONDE-T063</x:v>
      </x:c>
      <x:c r="C3133" s="115" t="str">
        <x:v>Épuration</x:v>
      </x:c>
      <x:c r="D3133" s="115" t="str">
        <x:v>Traitement des eaux industrielles</x:v>
      </x:c>
      <x:c r="E3133" s="115" t="n">
        <x:v>28</x:v>
      </x:c>
      <x:c r="F3133" s="115" t="str">
        <x:v>Inspection physique</x:v>
      </x:c>
      <x:c r="G3133" s="115" t="str">
        <x:v>1 niveaux ; 22 pièces ; 167 segments de mur ; 0 transitions. Inspection physique ; architecture complète encore ouverte.</x:v>
      </x:c>
      <x:c r="H3133" s="115" t="str">
        <x:v>L 466 ; l 480 ; hauteur 5,9 m ; choix de composition auteur ; dimensions réelles à documenter</x:v>
      </x:c>
      <x:c r="I3133" s="115" t="str">
        <x:v>À équilibrer</x:v>
      </x:c>
      <x:c r="J3133" s="115" t="str">
        <x:v>Non</x:v>
      </x:c>
      <x:c r="K3133" s="115" t="str">
        <x:v>Pièces décrites, murs, portes, niveaux et mobilier inspectables à l’échelle. Volumes réservés, raccord au seed, butin, rencontres et services de campagne restent à terminer.</x:v>
      </x:c>
    </x:row>
    <x:row r="3134" ht="96" customHeight="1">
      <x:c r="A3134" s="115" t="str">
        <x:v>EXT-MONDE-T063-V29</x:v>
      </x:c>
      <x:c r="B3134" s="115" t="str">
        <x:v>EXT-MONDE-T063</x:v>
      </x:c>
      <x:c r="C3134" s="115" t="str">
        <x:v>Épuration</x:v>
      </x:c>
      <x:c r="D3134" s="115" t="str">
        <x:v>Traitement des eaux industrielles</x:v>
      </x:c>
      <x:c r="E3134" s="115" t="n">
        <x:v>29</x:v>
      </x:c>
      <x:c r="F3134" s="115" t="str">
        <x:v>Inspection physique</x:v>
      </x:c>
      <x:c r="G3134" s="115" t="str">
        <x:v>1 niveaux ; 22 pièces ; 167 segments de mur ; 0 transitions. Inspection physique ; architecture complète encore ouverte.</x:v>
      </x:c>
      <x:c r="H3134" s="115" t="str">
        <x:v>L 466 ; l 480 ; hauteur 5,9 m ; choix de composition auteur ; dimensions réelles à documenter</x:v>
      </x:c>
      <x:c r="I3134" s="115" t="str">
        <x:v>À équilibrer</x:v>
      </x:c>
      <x:c r="J3134" s="115" t="str">
        <x:v>Non</x:v>
      </x:c>
      <x:c r="K3134" s="115" t="str">
        <x:v>Pièces décrites, murs, portes, niveaux et mobilier inspectables à l’échelle. Volumes réservés, raccord au seed, butin, rencontres et services de campagne restent à terminer.</x:v>
      </x:c>
    </x:row>
    <x:row r="3135" ht="96" customHeight="1">
      <x:c r="A3135" s="115" t="str">
        <x:v>EXT-MONDE-T063-V30</x:v>
      </x:c>
      <x:c r="B3135" s="115" t="str">
        <x:v>EXT-MONDE-T063</x:v>
      </x:c>
      <x:c r="C3135" s="115" t="str">
        <x:v>Épuration</x:v>
      </x:c>
      <x:c r="D3135" s="115" t="str">
        <x:v>Traitement des eaux industrielles</x:v>
      </x:c>
      <x:c r="E3135" s="115" t="n">
        <x:v>30</x:v>
      </x:c>
      <x:c r="F3135" s="115" t="str">
        <x:v>Inspection physique</x:v>
      </x:c>
      <x:c r="G3135" s="115" t="str">
        <x:v>1 niveaux ; 22 pièces ; 167 segments de mur ; 0 transitions. Inspection physique ; architecture complète encore ouverte.</x:v>
      </x:c>
      <x:c r="H3135" s="115" t="str">
        <x:v>L 466 ; l 480 ; hauteur 5,9 m ; choix de composition auteur ; dimensions réelles à documenter</x:v>
      </x:c>
      <x:c r="I3135" s="115" t="str">
        <x:v>À équilibrer</x:v>
      </x:c>
      <x:c r="J3135" s="115" t="str">
        <x:v>Non</x:v>
      </x:c>
      <x:c r="K3135" s="115" t="str">
        <x:v>Pièces décrites, murs, portes, niveaux et mobilier inspectables à l’échelle. Volumes réservés, raccord au seed, butin, rencontres et services de campagne restent à terminer.</x:v>
      </x:c>
    </x:row>
    <x:row r="3136" ht="96" customHeight="1">
      <x:c r="A3136" s="115" t="str">
        <x:v>EXT-MONDE-T063-V31</x:v>
      </x:c>
      <x:c r="B3136" s="115" t="str">
        <x:v>EXT-MONDE-T063</x:v>
      </x:c>
      <x:c r="C3136" s="115" t="str">
        <x:v>Épuration</x:v>
      </x:c>
      <x:c r="D3136" s="115" t="str">
        <x:v>Traitement des eaux industrielles</x:v>
      </x:c>
      <x:c r="E3136" s="115" t="n">
        <x:v>31</x:v>
      </x:c>
      <x:c r="F3136" s="115" t="str">
        <x:v>Inspection physique</x:v>
      </x:c>
      <x:c r="G3136" s="115" t="str">
        <x:v>1 niveaux ; 22 pièces ; 167 segments de mur ; 0 transitions. Inspection physique ; architecture complète encore ouverte.</x:v>
      </x:c>
      <x:c r="H3136" s="115" t="str">
        <x:v>L 484 ; l 500 ; hauteur 6,1 m ; choix de composition auteur ; dimensions réelles à documenter</x:v>
      </x:c>
      <x:c r="I3136" s="115" t="str">
        <x:v>À équilibrer</x:v>
      </x:c>
      <x:c r="J3136" s="115" t="str">
        <x:v>Non</x:v>
      </x:c>
      <x:c r="K3136" s="115" t="str">
        <x:v>Pièces décrites, murs, portes, niveaux et mobilier inspectables à l’échelle. Volumes réservés, raccord au seed, butin, rencontres et services de campagne restent à terminer.</x:v>
      </x:c>
    </x:row>
    <x:row r="3137" ht="96" customHeight="1">
      <x:c r="A3137" s="115" t="str">
        <x:v>EXT-MONDE-T063-V32</x:v>
      </x:c>
      <x:c r="B3137" s="115" t="str">
        <x:v>EXT-MONDE-T063</x:v>
      </x:c>
      <x:c r="C3137" s="115" t="str">
        <x:v>Épuration</x:v>
      </x:c>
      <x:c r="D3137" s="115" t="str">
        <x:v>Traitement des eaux industrielles</x:v>
      </x:c>
      <x:c r="E3137" s="115" t="n">
        <x:v>32</x:v>
      </x:c>
      <x:c r="F3137" s="115" t="str">
        <x:v>Inspection physique</x:v>
      </x:c>
      <x:c r="G3137" s="115" t="str">
        <x:v>1 niveaux ; 22 pièces ; 167 segments de mur ; 0 transitions. Inspection physique ; architecture complète encore ouverte.</x:v>
      </x:c>
      <x:c r="H3137" s="115" t="str">
        <x:v>L 484 ; l 500 ; hauteur 6,1 m ; choix de composition auteur ; dimensions réelles à documenter</x:v>
      </x:c>
      <x:c r="I3137" s="115" t="str">
        <x:v>À équilibrer</x:v>
      </x:c>
      <x:c r="J3137" s="115" t="str">
        <x:v>Non</x:v>
      </x:c>
      <x:c r="K3137" s="115" t="str">
        <x:v>Pièces décrites, murs, portes, niveaux et mobilier inspectables à l’échelle. Volumes réservés, raccord au seed, butin, rencontres et services de campagne restent à terminer.</x:v>
      </x:c>
    </x:row>
    <x:row r="3138" ht="96" customHeight="1">
      <x:c r="A3138" s="115" t="str">
        <x:v>EXT-MONDE-T063-V33</x:v>
      </x:c>
      <x:c r="B3138" s="115" t="str">
        <x:v>EXT-MONDE-T063</x:v>
      </x:c>
      <x:c r="C3138" s="115" t="str">
        <x:v>Épuration</x:v>
      </x:c>
      <x:c r="D3138" s="115" t="str">
        <x:v>Traitement des eaux industrielles</x:v>
      </x:c>
      <x:c r="E3138" s="115" t="n">
        <x:v>33</x:v>
      </x:c>
      <x:c r="F3138" s="115" t="str">
        <x:v>Inspection physique</x:v>
      </x:c>
      <x:c r="G3138" s="115" t="str">
        <x:v>1 niveaux ; 22 pièces ; 167 segments de mur ; 0 transitions. Inspection physique ; architecture complète encore ouverte.</x:v>
      </x:c>
      <x:c r="H3138" s="115" t="str">
        <x:v>L 484 ; l 500 ; hauteur 6,1 m ; choix de composition auteur ; dimensions réelles à documenter</x:v>
      </x:c>
      <x:c r="I3138" s="115" t="str">
        <x:v>À équilibrer</x:v>
      </x:c>
      <x:c r="J3138" s="115" t="str">
        <x:v>Non</x:v>
      </x:c>
      <x:c r="K3138" s="115" t="str">
        <x:v>Pièces décrites, murs, portes, niveaux et mobilier inspectables à l’échelle. Volumes réservés, raccord au seed, butin, rencontres et services de campagne restent à terminer.</x:v>
      </x:c>
    </x:row>
    <x:row r="3139" ht="96" customHeight="1">
      <x:c r="A3139" s="115" t="str">
        <x:v>EXT-MONDE-T063-V34</x:v>
      </x:c>
      <x:c r="B3139" s="115" t="str">
        <x:v>EXT-MONDE-T063</x:v>
      </x:c>
      <x:c r="C3139" s="115" t="str">
        <x:v>Épuration</x:v>
      </x:c>
      <x:c r="D3139" s="115" t="str">
        <x:v>Traitement des eaux industrielles</x:v>
      </x:c>
      <x:c r="E3139" s="115" t="n">
        <x:v>34</x:v>
      </x:c>
      <x:c r="F3139" s="115" t="str">
        <x:v>Inspection physique</x:v>
      </x:c>
      <x:c r="G3139" s="115" t="str">
        <x:v>1 niveaux ; 22 pièces ; 167 segments de mur ; 0 transitions. Inspection physique ; architecture complète encore ouverte.</x:v>
      </x:c>
      <x:c r="H3139" s="115" t="str">
        <x:v>L 484 ; l 500 ; hauteur 6,1 m ; choix de composition auteur ; dimensions réelles à documenter</x:v>
      </x:c>
      <x:c r="I3139" s="115" t="str">
        <x:v>À équilibrer</x:v>
      </x:c>
      <x:c r="J3139" s="115" t="str">
        <x:v>Non</x:v>
      </x:c>
      <x:c r="K3139" s="115" t="str">
        <x:v>Pièces décrites, murs, portes, niveaux et mobilier inspectables à l’échelle. Volumes réservés, raccord au seed, butin, rencontres et services de campagne restent à terminer.</x:v>
      </x:c>
    </x:row>
    <x:row r="3140" ht="96" customHeight="1">
      <x:c r="A3140" s="115" t="str">
        <x:v>EXT-MONDE-T063-V35</x:v>
      </x:c>
      <x:c r="B3140" s="115" t="str">
        <x:v>EXT-MONDE-T063</x:v>
      </x:c>
      <x:c r="C3140" s="115" t="str">
        <x:v>Épuration</x:v>
      </x:c>
      <x:c r="D3140" s="115" t="str">
        <x:v>Traitement des eaux industrielles</x:v>
      </x:c>
      <x:c r="E3140" s="115" t="n">
        <x:v>35</x:v>
      </x:c>
      <x:c r="F3140" s="115" t="str">
        <x:v>Inspection physique</x:v>
      </x:c>
      <x:c r="G3140" s="115" t="str">
        <x:v>1 niveaux ; 22 pièces ; 167 segments de mur ; 0 transitions. Inspection physique ; architecture complète encore ouverte.</x:v>
      </x:c>
      <x:c r="H3140" s="115" t="str">
        <x:v>L 484 ; l 500 ; hauteur 6,1 m ; choix de composition auteur ; dimensions réelles à documenter</x:v>
      </x:c>
      <x:c r="I3140" s="115" t="str">
        <x:v>À équilibrer</x:v>
      </x:c>
      <x:c r="J3140" s="115" t="str">
        <x:v>Non</x:v>
      </x:c>
      <x:c r="K3140" s="115" t="str">
        <x:v>Pièces décrites, murs, portes, niveaux et mobilier inspectables à l’échelle. Volumes réservés, raccord au seed, butin, rencontres et services de campagne restent à terminer.</x:v>
      </x:c>
    </x:row>
    <x:row r="3141" ht="96" customHeight="1">
      <x:c r="A3141" s="115" t="str">
        <x:v>EXT-MONDE-T063-V36</x:v>
      </x:c>
      <x:c r="B3141" s="115" t="str">
        <x:v>EXT-MONDE-T063</x:v>
      </x:c>
      <x:c r="C3141" s="115" t="str">
        <x:v>Épuration</x:v>
      </x:c>
      <x:c r="D3141" s="115" t="str">
        <x:v>Traitement des eaux industrielles</x:v>
      </x:c>
      <x:c r="E3141" s="115" t="n">
        <x:v>36</x:v>
      </x:c>
      <x:c r="F3141" s="115" t="str">
        <x:v>Inspection physique</x:v>
      </x:c>
      <x:c r="G3141" s="115" t="str">
        <x:v>1 niveaux ; 22 pièces ; 167 segments de mur ; 0 transitions. Inspection physique ; architecture complète encore ouverte.</x:v>
      </x:c>
      <x:c r="H3141" s="115" t="str">
        <x:v>L 484 ; l 500 ; hauteur 6,1 m ; choix de composition auteur ; dimensions réelles à documenter</x:v>
      </x:c>
      <x:c r="I3141" s="115" t="str">
        <x:v>À équilibrer</x:v>
      </x:c>
      <x:c r="J3141" s="115" t="str">
        <x:v>Non</x:v>
      </x:c>
      <x:c r="K3141" s="115" t="str">
        <x:v>Pièces décrites, murs, portes, niveaux et mobilier inspectables à l’échelle. Volumes réservés, raccord au seed, butin, rencontres et services de campagne restent à terminer.</x:v>
      </x:c>
    </x:row>
    <x:row r="3142" ht="96" customHeight="1">
      <x:c r="A3142" s="115" t="str">
        <x:v>EXT-MONDE-T063-V37</x:v>
      </x:c>
      <x:c r="B3142" s="115" t="str">
        <x:v>EXT-MONDE-T063</x:v>
      </x:c>
      <x:c r="C3142" s="115" t="str">
        <x:v>Épuration</x:v>
      </x:c>
      <x:c r="D3142" s="115" t="str">
        <x:v>Traitement des eaux industrielles</x:v>
      </x:c>
      <x:c r="E3142" s="115" t="n">
        <x:v>37</x:v>
      </x:c>
      <x:c r="F3142" s="115" t="str">
        <x:v>Inspection physique</x:v>
      </x:c>
      <x:c r="G3142" s="115" t="str">
        <x:v>1 niveaux ; 22 pièces ; 167 segments de mur ; 0 transitions. Inspection physique ; architecture complète encore ouverte.</x:v>
      </x:c>
      <x:c r="H3142" s="115" t="str">
        <x:v>L 484 ; l 500 ; hauteur 6,1 m ; choix de composition auteur ; dimensions réelles à documenter</x:v>
      </x:c>
      <x:c r="I3142" s="115" t="str">
        <x:v>À équilibrer</x:v>
      </x:c>
      <x:c r="J3142" s="115" t="str">
        <x:v>Non</x:v>
      </x:c>
      <x:c r="K3142" s="115" t="str">
        <x:v>Pièces décrites, murs, portes, niveaux et mobilier inspectables à l’échelle. Volumes réservés, raccord au seed, butin, rencontres et services de campagne restent à terminer.</x:v>
      </x:c>
    </x:row>
    <x:row r="3143" ht="96" customHeight="1">
      <x:c r="A3143" s="115" t="str">
        <x:v>EXT-MONDE-T063-V38</x:v>
      </x:c>
      <x:c r="B3143" s="115" t="str">
        <x:v>EXT-MONDE-T063</x:v>
      </x:c>
      <x:c r="C3143" s="115" t="str">
        <x:v>Épuration</x:v>
      </x:c>
      <x:c r="D3143" s="115" t="str">
        <x:v>Traitement des eaux industrielles</x:v>
      </x:c>
      <x:c r="E3143" s="115" t="n">
        <x:v>38</x:v>
      </x:c>
      <x:c r="F3143" s="115" t="str">
        <x:v>Inspection physique</x:v>
      </x:c>
      <x:c r="G3143" s="115" t="str">
        <x:v>1 niveaux ; 22 pièces ; 167 segments de mur ; 0 transitions. Inspection physique ; architecture complète encore ouverte.</x:v>
      </x:c>
      <x:c r="H3143" s="115" t="str">
        <x:v>L 484 ; l 500 ; hauteur 6,1 m ; choix de composition auteur ; dimensions réelles à documenter</x:v>
      </x:c>
      <x:c r="I3143" s="115" t="str">
        <x:v>À équilibrer</x:v>
      </x:c>
      <x:c r="J3143" s="115" t="str">
        <x:v>Non</x:v>
      </x:c>
      <x:c r="K3143" s="115" t="str">
        <x:v>Pièces décrites, murs, portes, niveaux et mobilier inspectables à l’échelle. Volumes réservés, raccord au seed, butin, rencontres et services de campagne restent à terminer.</x:v>
      </x:c>
    </x:row>
    <x:row r="3144" ht="96" customHeight="1">
      <x:c r="A3144" s="115" t="str">
        <x:v>EXT-MONDE-T063-V39</x:v>
      </x:c>
      <x:c r="B3144" s="115" t="str">
        <x:v>EXT-MONDE-T063</x:v>
      </x:c>
      <x:c r="C3144" s="115" t="str">
        <x:v>Épuration</x:v>
      </x:c>
      <x:c r="D3144" s="115" t="str">
        <x:v>Traitement des eaux industrielles</x:v>
      </x:c>
      <x:c r="E3144" s="115" t="n">
        <x:v>39</x:v>
      </x:c>
      <x:c r="F3144" s="115" t="str">
        <x:v>Inspection physique</x:v>
      </x:c>
      <x:c r="G3144" s="115" t="str">
        <x:v>1 niveaux ; 22 pièces ; 167 segments de mur ; 0 transitions. Inspection physique ; architecture complète encore ouverte.</x:v>
      </x:c>
      <x:c r="H3144" s="115" t="str">
        <x:v>L 484 ; l 500 ; hauteur 6,1 m ; choix de composition auteur ; dimensions réelles à documenter</x:v>
      </x:c>
      <x:c r="I3144" s="115" t="str">
        <x:v>À équilibrer</x:v>
      </x:c>
      <x:c r="J3144" s="115" t="str">
        <x:v>Non</x:v>
      </x:c>
      <x:c r="K3144" s="115" t="str">
        <x:v>Pièces décrites, murs, portes, niveaux et mobilier inspectables à l’échelle. Volumes réservés, raccord au seed, butin, rencontres et services de campagne restent à terminer.</x:v>
      </x:c>
    </x:row>
    <x:row r="3145" ht="96" customHeight="1">
      <x:c r="A3145" s="115" t="str">
        <x:v>EXT-MONDE-T063-V40</x:v>
      </x:c>
      <x:c r="B3145" s="115" t="str">
        <x:v>EXT-MONDE-T063</x:v>
      </x:c>
      <x:c r="C3145" s="115" t="str">
        <x:v>Épuration</x:v>
      </x:c>
      <x:c r="D3145" s="115" t="str">
        <x:v>Traitement des eaux industrielles</x:v>
      </x:c>
      <x:c r="E3145" s="115" t="n">
        <x:v>40</x:v>
      </x:c>
      <x:c r="F3145" s="115" t="str">
        <x:v>Inspection physique</x:v>
      </x:c>
      <x:c r="G3145" s="115" t="str">
        <x:v>1 niveaux ; 22 pièces ; 167 segments de mur ; 0 transitions. Inspection physique ; architecture complète encore ouverte.</x:v>
      </x:c>
      <x:c r="H3145" s="115" t="str">
        <x:v>L 484 ; l 500 ; hauteur 6,1 m ; choix de composition auteur ; dimensions réelles à documenter</x:v>
      </x:c>
      <x:c r="I3145" s="115" t="str">
        <x:v>À équilibrer</x:v>
      </x:c>
      <x:c r="J3145" s="115" t="str">
        <x:v>Non</x:v>
      </x:c>
      <x:c r="K3145" s="115" t="str">
        <x:v>Pièces décrites, murs, portes, niveaux et mobilier inspectables à l’échelle. Volumes réservés, raccord au seed, butin, rencontres et services de campagne restent à terminer.</x:v>
      </x:c>
    </x:row>
    <x:row r="3146" ht="96" customHeight="1">
      <x:c r="A3146" s="115" t="str">
        <x:v>EXT-MONDE-T063-V41</x:v>
      </x:c>
      <x:c r="B3146" s="115" t="str">
        <x:v>EXT-MONDE-T063</x:v>
      </x:c>
      <x:c r="C3146" s="115" t="str">
        <x:v>Épuration</x:v>
      </x:c>
      <x:c r="D3146" s="115" t="str">
        <x:v>Traitement des eaux industrielles</x:v>
      </x:c>
      <x:c r="E3146" s="115" t="n">
        <x:v>41</x:v>
      </x:c>
      <x:c r="F3146" s="115" t="str">
        <x:v>Inspection physique</x:v>
      </x:c>
      <x:c r="G3146" s="115" t="str">
        <x:v>1 niveaux ; 22 pièces ; 167 segments de mur ; 0 transitions. Inspection physique ; architecture complète encore ouverte.</x:v>
      </x:c>
      <x:c r="H3146" s="115" t="str">
        <x:v>L 502 ; l 520 ; hauteur 6,3 m ; choix de composition auteur ; dimensions réelles à documenter</x:v>
      </x:c>
      <x:c r="I3146" s="115" t="str">
        <x:v>À équilibrer</x:v>
      </x:c>
      <x:c r="J3146" s="115" t="str">
        <x:v>Non</x:v>
      </x:c>
      <x:c r="K3146" s="115" t="str">
        <x:v>Pièces décrites, murs, portes, niveaux et mobilier inspectables à l’échelle. Volumes réservés, raccord au seed, butin, rencontres et services de campagne restent à terminer.</x:v>
      </x:c>
    </x:row>
    <x:row r="3147" ht="96" customHeight="1">
      <x:c r="A3147" s="115" t="str">
        <x:v>EXT-MONDE-T063-V42</x:v>
      </x:c>
      <x:c r="B3147" s="115" t="str">
        <x:v>EXT-MONDE-T063</x:v>
      </x:c>
      <x:c r="C3147" s="115" t="str">
        <x:v>Épuration</x:v>
      </x:c>
      <x:c r="D3147" s="115" t="str">
        <x:v>Traitement des eaux industrielles</x:v>
      </x:c>
      <x:c r="E3147" s="115" t="n">
        <x:v>42</x:v>
      </x:c>
      <x:c r="F3147" s="115" t="str">
        <x:v>Inspection physique</x:v>
      </x:c>
      <x:c r="G3147" s="115" t="str">
        <x:v>1 niveaux ; 22 pièces ; 167 segments de mur ; 0 transitions. Inspection physique ; architecture complète encore ouverte.</x:v>
      </x:c>
      <x:c r="H3147" s="115" t="str">
        <x:v>L 502 ; l 520 ; hauteur 6,3 m ; choix de composition auteur ; dimensions réelles à documenter</x:v>
      </x:c>
      <x:c r="I3147" s="115" t="str">
        <x:v>À équilibrer</x:v>
      </x:c>
      <x:c r="J3147" s="115" t="str">
        <x:v>Non</x:v>
      </x:c>
      <x:c r="K3147" s="115" t="str">
        <x:v>Pièces décrites, murs, portes, niveaux et mobilier inspectables à l’échelle. Volumes réservés, raccord au seed, butin, rencontres et services de campagne restent à terminer.</x:v>
      </x:c>
    </x:row>
    <x:row r="3148" ht="96" customHeight="1">
      <x:c r="A3148" s="115" t="str">
        <x:v>EXT-MONDE-T063-V43</x:v>
      </x:c>
      <x:c r="B3148" s="115" t="str">
        <x:v>EXT-MONDE-T063</x:v>
      </x:c>
      <x:c r="C3148" s="115" t="str">
        <x:v>Épuration</x:v>
      </x:c>
      <x:c r="D3148" s="115" t="str">
        <x:v>Traitement des eaux industrielles</x:v>
      </x:c>
      <x:c r="E3148" s="115" t="n">
        <x:v>43</x:v>
      </x:c>
      <x:c r="F3148" s="115" t="str">
        <x:v>Inspection physique</x:v>
      </x:c>
      <x:c r="G3148" s="115" t="str">
        <x:v>1 niveaux ; 22 pièces ; 167 segments de mur ; 0 transitions. Inspection physique ; architecture complète encore ouverte.</x:v>
      </x:c>
      <x:c r="H3148" s="115" t="str">
        <x:v>L 502 ; l 520 ; hauteur 6,3 m ; choix de composition auteur ; dimensions réelles à documenter</x:v>
      </x:c>
      <x:c r="I3148" s="115" t="str">
        <x:v>À équilibrer</x:v>
      </x:c>
      <x:c r="J3148" s="115" t="str">
        <x:v>Non</x:v>
      </x:c>
      <x:c r="K3148" s="115" t="str">
        <x:v>Pièces décrites, murs, portes, niveaux et mobilier inspectables à l’échelle. Volumes réservés, raccord au seed, butin, rencontres et services de campagne restent à terminer.</x:v>
      </x:c>
    </x:row>
    <x:row r="3149" ht="96" customHeight="1">
      <x:c r="A3149" s="115" t="str">
        <x:v>EXT-MONDE-T063-V44</x:v>
      </x:c>
      <x:c r="B3149" s="115" t="str">
        <x:v>EXT-MONDE-T063</x:v>
      </x:c>
      <x:c r="C3149" s="115" t="str">
        <x:v>Épuration</x:v>
      </x:c>
      <x:c r="D3149" s="115" t="str">
        <x:v>Traitement des eaux industrielles</x:v>
      </x:c>
      <x:c r="E3149" s="115" t="n">
        <x:v>44</x:v>
      </x:c>
      <x:c r="F3149" s="115" t="str">
        <x:v>Inspection physique</x:v>
      </x:c>
      <x:c r="G3149" s="115" t="str">
        <x:v>1 niveaux ; 22 pièces ; 167 segments de mur ; 0 transitions. Inspection physique ; architecture complète encore ouverte.</x:v>
      </x:c>
      <x:c r="H3149" s="115" t="str">
        <x:v>L 502 ; l 520 ; hauteur 6,3 m ; choix de composition auteur ; dimensions réelles à documenter</x:v>
      </x:c>
      <x:c r="I3149" s="115" t="str">
        <x:v>À équilibrer</x:v>
      </x:c>
      <x:c r="J3149" s="115" t="str">
        <x:v>Non</x:v>
      </x:c>
      <x:c r="K3149" s="115" t="str">
        <x:v>Pièces décrites, murs, portes, niveaux et mobilier inspectables à l’échelle. Volumes réservés, raccord au seed, butin, rencontres et services de campagne restent à terminer.</x:v>
      </x:c>
    </x:row>
    <x:row r="3150" ht="96" customHeight="1">
      <x:c r="A3150" s="115" t="str">
        <x:v>EXT-MONDE-T063-V45</x:v>
      </x:c>
      <x:c r="B3150" s="115" t="str">
        <x:v>EXT-MONDE-T063</x:v>
      </x:c>
      <x:c r="C3150" s="115" t="str">
        <x:v>Épuration</x:v>
      </x:c>
      <x:c r="D3150" s="115" t="str">
        <x:v>Traitement des eaux industrielles</x:v>
      </x:c>
      <x:c r="E3150" s="115" t="n">
        <x:v>45</x:v>
      </x:c>
      <x:c r="F3150" s="115" t="str">
        <x:v>Inspection physique</x:v>
      </x:c>
      <x:c r="G3150" s="115" t="str">
        <x:v>1 niveaux ; 22 pièces ; 167 segments de mur ; 0 transitions. Inspection physique ; architecture complète encore ouverte.</x:v>
      </x:c>
      <x:c r="H3150" s="115" t="str">
        <x:v>L 502 ; l 520 ; hauteur 6,3 m ; choix de composition auteur ; dimensions réelles à documenter</x:v>
      </x:c>
      <x:c r="I3150" s="115" t="str">
        <x:v>À équilibrer</x:v>
      </x:c>
      <x:c r="J3150" s="115" t="str">
        <x:v>Non</x:v>
      </x:c>
      <x:c r="K3150" s="115" t="str">
        <x:v>Pièces décrites, murs, portes, niveaux et mobilier inspectables à l’échelle. Volumes réservés, raccord au seed, butin, rencontres et services de campagne restent à terminer.</x:v>
      </x:c>
    </x:row>
    <x:row r="3151" ht="96" customHeight="1">
      <x:c r="A3151" s="115" t="str">
        <x:v>EXT-MONDE-T063-V46</x:v>
      </x:c>
      <x:c r="B3151" s="115" t="str">
        <x:v>EXT-MONDE-T063</x:v>
      </x:c>
      <x:c r="C3151" s="115" t="str">
        <x:v>Épuration</x:v>
      </x:c>
      <x:c r="D3151" s="115" t="str">
        <x:v>Traitement des eaux industrielles</x:v>
      </x:c>
      <x:c r="E3151" s="115" t="n">
        <x:v>46</x:v>
      </x:c>
      <x:c r="F3151" s="115" t="str">
        <x:v>Inspection physique</x:v>
      </x:c>
      <x:c r="G3151" s="115" t="str">
        <x:v>1 niveaux ; 22 pièces ; 167 segments de mur ; 0 transitions. Inspection physique ; architecture complète encore ouverte.</x:v>
      </x:c>
      <x:c r="H3151" s="115" t="str">
        <x:v>L 502 ; l 520 ; hauteur 6,3 m ; choix de composition auteur ; dimensions réelles à documenter</x:v>
      </x:c>
      <x:c r="I3151" s="115" t="str">
        <x:v>À équilibrer</x:v>
      </x:c>
      <x:c r="J3151" s="115" t="str">
        <x:v>Non</x:v>
      </x:c>
      <x:c r="K3151" s="115" t="str">
        <x:v>Pièces décrites, murs, portes, niveaux et mobilier inspectables à l’échelle. Volumes réservés, raccord au seed, butin, rencontres et services de campagne restent à terminer.</x:v>
      </x:c>
    </x:row>
    <x:row r="3152" ht="96" customHeight="1">
      <x:c r="A3152" s="115" t="str">
        <x:v>EXT-MONDE-T063-V47</x:v>
      </x:c>
      <x:c r="B3152" s="115" t="str">
        <x:v>EXT-MONDE-T063</x:v>
      </x:c>
      <x:c r="C3152" s="115" t="str">
        <x:v>Épuration</x:v>
      </x:c>
      <x:c r="D3152" s="115" t="str">
        <x:v>Traitement des eaux industrielles</x:v>
      </x:c>
      <x:c r="E3152" s="115" t="n">
        <x:v>47</x:v>
      </x:c>
      <x:c r="F3152" s="115" t="str">
        <x:v>Inspection physique</x:v>
      </x:c>
      <x:c r="G3152" s="115" t="str">
        <x:v>1 niveaux ; 22 pièces ; 167 segments de mur ; 0 transitions. Inspection physique ; architecture complète encore ouverte.</x:v>
      </x:c>
      <x:c r="H3152" s="115" t="str">
        <x:v>L 502 ; l 520 ; hauteur 6,3 m ; choix de composition auteur ; dimensions réelles à documenter</x:v>
      </x:c>
      <x:c r="I3152" s="115" t="str">
        <x:v>À équilibrer</x:v>
      </x:c>
      <x:c r="J3152" s="115" t="str">
        <x:v>Non</x:v>
      </x:c>
      <x:c r="K3152" s="115" t="str">
        <x:v>Pièces décrites, murs, portes, niveaux et mobilier inspectables à l’échelle. Volumes réservés, raccord au seed, butin, rencontres et services de campagne restent à terminer.</x:v>
      </x:c>
    </x:row>
    <x:row r="3153" ht="96" customHeight="1">
      <x:c r="A3153" s="115" t="str">
        <x:v>EXT-MONDE-T063-V48</x:v>
      </x:c>
      <x:c r="B3153" s="115" t="str">
        <x:v>EXT-MONDE-T063</x:v>
      </x:c>
      <x:c r="C3153" s="115" t="str">
        <x:v>Épuration</x:v>
      </x:c>
      <x:c r="D3153" s="115" t="str">
        <x:v>Traitement des eaux industrielles</x:v>
      </x:c>
      <x:c r="E3153" s="115" t="n">
        <x:v>48</x:v>
      </x:c>
      <x:c r="F3153" s="115" t="str">
        <x:v>Inspection physique</x:v>
      </x:c>
      <x:c r="G3153" s="115" t="str">
        <x:v>1 niveaux ; 22 pièces ; 167 segments de mur ; 0 transitions. Inspection physique ; architecture complète encore ouverte.</x:v>
      </x:c>
      <x:c r="H3153" s="115" t="str">
        <x:v>L 502 ; l 520 ; hauteur 6,3 m ; choix de composition auteur ; dimensions réelles à documenter</x:v>
      </x:c>
      <x:c r="I3153" s="115" t="str">
        <x:v>À équilibrer</x:v>
      </x:c>
      <x:c r="J3153" s="115" t="str">
        <x:v>Non</x:v>
      </x:c>
      <x:c r="K3153" s="115" t="str">
        <x:v>Pièces décrites, murs, portes, niveaux et mobilier inspectables à l’échelle. Volumes réservés, raccord au seed, butin, rencontres et services de campagne restent à terminer.</x:v>
      </x:c>
    </x:row>
    <x:row r="3154" ht="96" customHeight="1">
      <x:c r="A3154" s="115" t="str">
        <x:v>EXT-MONDE-T063-V49</x:v>
      </x:c>
      <x:c r="B3154" s="115" t="str">
        <x:v>EXT-MONDE-T063</x:v>
      </x:c>
      <x:c r="C3154" s="115" t="str">
        <x:v>Épuration</x:v>
      </x:c>
      <x:c r="D3154" s="115" t="str">
        <x:v>Traitement des eaux industrielles</x:v>
      </x:c>
      <x:c r="E3154" s="115" t="n">
        <x:v>49</x:v>
      </x:c>
      <x:c r="F3154" s="115" t="str">
        <x:v>Inspection physique</x:v>
      </x:c>
      <x:c r="G3154" s="115" t="str">
        <x:v>1 niveaux ; 22 pièces ; 167 segments de mur ; 0 transitions. Inspection physique ; architecture complète encore ouverte.</x:v>
      </x:c>
      <x:c r="H3154" s="115" t="str">
        <x:v>L 502 ; l 520 ; hauteur 6,3 m ; choix de composition auteur ; dimensions réelles à documenter</x:v>
      </x:c>
      <x:c r="I3154" s="115" t="str">
        <x:v>À équilibrer</x:v>
      </x:c>
      <x:c r="J3154" s="115" t="str">
        <x:v>Non</x:v>
      </x:c>
      <x:c r="K3154" s="115" t="str">
        <x:v>Pièces décrites, murs, portes, niveaux et mobilier inspectables à l’échelle. Volumes réservés, raccord au seed, butin, rencontres et services de campagne restent à terminer.</x:v>
      </x:c>
    </x:row>
    <x:row r="3155" ht="96" customHeight="1">
      <x:c r="A3155" s="115" t="str">
        <x:v>EXT-MONDE-T063-V50</x:v>
      </x:c>
      <x:c r="B3155" s="115" t="str">
        <x:v>EXT-MONDE-T063</x:v>
      </x:c>
      <x:c r="C3155" s="115" t="str">
        <x:v>Épuration</x:v>
      </x:c>
      <x:c r="D3155" s="115" t="str">
        <x:v>Traitement des eaux industrielles</x:v>
      </x:c>
      <x:c r="E3155" s="115" t="n">
        <x:v>50</x:v>
      </x:c>
      <x:c r="F3155" s="115" t="str">
        <x:v>Inspection physique</x:v>
      </x:c>
      <x:c r="G3155" s="115" t="str">
        <x:v>1 niveaux ; 22 pièces ; 167 segments de mur ; 0 transitions. Inspection physique ; architecture complète encore ouverte.</x:v>
      </x:c>
      <x:c r="H3155" s="115" t="str">
        <x:v>L 502 ; l 520 ; hauteur 6,3 m ; choix de composition auteur ; dimensions réelles à documenter</x:v>
      </x:c>
      <x:c r="I3155" s="115" t="str">
        <x:v>À équilibrer</x:v>
      </x:c>
      <x:c r="J3155" s="115" t="str">
        <x:v>Non</x:v>
      </x:c>
      <x:c r="K3155" s="115" t="str">
        <x:v>Pièces décrites, murs, portes, niveaux et mobilier inspectables à l’échelle. Volumes réservés, raccord au seed, butin, rencontres et services de campagne restent à terminer.</x:v>
      </x:c>
    </x:row>
    <x:row r="3156" ht="96" customHeight="1">
      <x:c r="A3156" s="115" t="str">
        <x:v>EXT-MONDE-T064-V01</x:v>
      </x:c>
      <x:c r="B3156" s="115" t="str">
        <x:v>EXT-MONDE-T064</x:v>
      </x:c>
      <x:c r="C3156" s="115" t="str">
        <x:v>Épuration</x:v>
      </x:c>
      <x:c r="D3156" s="115" t="str">
        <x:v>Usine de potabilisation</x:v>
      </x:c>
      <x:c r="E3156" s="115" t="n">
        <x:v>1</x:v>
      </x:c>
      <x:c r="F3156" s="115" t="str">
        <x:v>Inspection physique</x:v>
      </x:c>
      <x:c r="G3156" s="115" t="str">
        <x:v>1 niveaux ; 22 pièces ; 167 segments de mur ; 0 transitions. Inspection physique ; architecture complète encore ouverte.</x:v>
      </x:c>
      <x:c r="H3156" s="115" t="str">
        <x:v>L 430 ; l 440 ; hauteur 6 m ; choix de composition auteur ; dimensions réelles à documenter</x:v>
      </x:c>
      <x:c r="I3156" s="115" t="str">
        <x:v>À équilibrer</x:v>
      </x:c>
      <x:c r="J3156" s="115" t="str">
        <x:v>Non</x:v>
      </x:c>
      <x:c r="K3156" s="115" t="str">
        <x:v>Pièces décrites, murs, portes, niveaux et mobilier inspectables à l’échelle. Volumes réservés, raccord au seed, butin, rencontres et services de campagne restent à terminer.</x:v>
      </x:c>
    </x:row>
    <x:row r="3157" ht="96" customHeight="1">
      <x:c r="A3157" s="115" t="str">
        <x:v>EXT-MONDE-T064-V02</x:v>
      </x:c>
      <x:c r="B3157" s="115" t="str">
        <x:v>EXT-MONDE-T064</x:v>
      </x:c>
      <x:c r="C3157" s="115" t="str">
        <x:v>Épuration</x:v>
      </x:c>
      <x:c r="D3157" s="115" t="str">
        <x:v>Usine de potabilisation</x:v>
      </x:c>
      <x:c r="E3157" s="115" t="n">
        <x:v>2</x:v>
      </x:c>
      <x:c r="F3157" s="115" t="str">
        <x:v>Inspection physique</x:v>
      </x:c>
      <x:c r="G3157" s="115" t="str">
        <x:v>1 niveaux ; 22 pièces ; 167 segments de mur ; 0 transitions. Inspection physique ; architecture complète encore ouverte.</x:v>
      </x:c>
      <x:c r="H3157" s="115" t="str">
        <x:v>L 430 ; l 440 ; hauteur 6 m ; choix de composition auteur ; dimensions réelles à documenter</x:v>
      </x:c>
      <x:c r="I3157" s="115" t="str">
        <x:v>À équilibrer</x:v>
      </x:c>
      <x:c r="J3157" s="115" t="str">
        <x:v>Non</x:v>
      </x:c>
      <x:c r="K3157" s="115" t="str">
        <x:v>Pièces décrites, murs, portes, niveaux et mobilier inspectables à l’échelle. Volumes réservés, raccord au seed, butin, rencontres et services de campagne restent à terminer.</x:v>
      </x:c>
    </x:row>
    <x:row r="3158" ht="96" customHeight="1">
      <x:c r="A3158" s="115" t="str">
        <x:v>EXT-MONDE-T064-V03</x:v>
      </x:c>
      <x:c r="B3158" s="115" t="str">
        <x:v>EXT-MONDE-T064</x:v>
      </x:c>
      <x:c r="C3158" s="115" t="str">
        <x:v>Épuration</x:v>
      </x:c>
      <x:c r="D3158" s="115" t="str">
        <x:v>Usine de potabilisation</x:v>
      </x:c>
      <x:c r="E3158" s="115" t="n">
        <x:v>3</x:v>
      </x:c>
      <x:c r="F3158" s="115" t="str">
        <x:v>Inspection physique</x:v>
      </x:c>
      <x:c r="G3158" s="115" t="str">
        <x:v>1 niveaux ; 22 pièces ; 167 segments de mur ; 0 transitions. Inspection physique ; architecture complète encore ouverte.</x:v>
      </x:c>
      <x:c r="H3158" s="115" t="str">
        <x:v>L 430 ; l 440 ; hauteur 6 m ; choix de composition auteur ; dimensions réelles à documenter</x:v>
      </x:c>
      <x:c r="I3158" s="115" t="str">
        <x:v>À équilibrer</x:v>
      </x:c>
      <x:c r="J3158" s="115" t="str">
        <x:v>Non</x:v>
      </x:c>
      <x:c r="K3158" s="115" t="str">
        <x:v>Pièces décrites, murs, portes, niveaux et mobilier inspectables à l’échelle. Volumes réservés, raccord au seed, butin, rencontres et services de campagne restent à terminer.</x:v>
      </x:c>
    </x:row>
    <x:row r="3159" ht="96" customHeight="1">
      <x:c r="A3159" s="115" t="str">
        <x:v>EXT-MONDE-T064-V04</x:v>
      </x:c>
      <x:c r="B3159" s="115" t="str">
        <x:v>EXT-MONDE-T064</x:v>
      </x:c>
      <x:c r="C3159" s="115" t="str">
        <x:v>Épuration</x:v>
      </x:c>
      <x:c r="D3159" s="115" t="str">
        <x:v>Usine de potabilisation</x:v>
      </x:c>
      <x:c r="E3159" s="115" t="n">
        <x:v>4</x:v>
      </x:c>
      <x:c r="F3159" s="115" t="str">
        <x:v>Inspection physique</x:v>
      </x:c>
      <x:c r="G3159" s="115" t="str">
        <x:v>1 niveaux ; 22 pièces ; 167 segments de mur ; 0 transitions. Inspection physique ; architecture complète encore ouverte.</x:v>
      </x:c>
      <x:c r="H3159" s="115" t="str">
        <x:v>L 430 ; l 440 ; hauteur 6 m ; choix de composition auteur ; dimensions réelles à documenter</x:v>
      </x:c>
      <x:c r="I3159" s="115" t="str">
        <x:v>À équilibrer</x:v>
      </x:c>
      <x:c r="J3159" s="115" t="str">
        <x:v>Non</x:v>
      </x:c>
      <x:c r="K3159" s="115" t="str">
        <x:v>Pièces décrites, murs, portes, niveaux et mobilier inspectables à l’échelle. Volumes réservés, raccord au seed, butin, rencontres et services de campagne restent à terminer.</x:v>
      </x:c>
    </x:row>
    <x:row r="3160" ht="96" customHeight="1">
      <x:c r="A3160" s="115" t="str">
        <x:v>EXT-MONDE-T064-V05</x:v>
      </x:c>
      <x:c r="B3160" s="115" t="str">
        <x:v>EXT-MONDE-T064</x:v>
      </x:c>
      <x:c r="C3160" s="115" t="str">
        <x:v>Épuration</x:v>
      </x:c>
      <x:c r="D3160" s="115" t="str">
        <x:v>Usine de potabilisation</x:v>
      </x:c>
      <x:c r="E3160" s="115" t="n">
        <x:v>5</x:v>
      </x:c>
      <x:c r="F3160" s="115" t="str">
        <x:v>Inspection physique</x:v>
      </x:c>
      <x:c r="G3160" s="115" t="str">
        <x:v>1 niveaux ; 22 pièces ; 167 segments de mur ; 0 transitions. Inspection physique ; architecture complète encore ouverte.</x:v>
      </x:c>
      <x:c r="H3160" s="115" t="str">
        <x:v>L 430 ; l 440 ; hauteur 6 m ; choix de composition auteur ; dimensions réelles à documenter</x:v>
      </x:c>
      <x:c r="I3160" s="115" t="str">
        <x:v>À équilibrer</x:v>
      </x:c>
      <x:c r="J3160" s="115" t="str">
        <x:v>Non</x:v>
      </x:c>
      <x:c r="K3160" s="115" t="str">
        <x:v>Pièces décrites, murs, portes, niveaux et mobilier inspectables à l’échelle. Volumes réservés, raccord au seed, butin, rencontres et services de campagne restent à terminer.</x:v>
      </x:c>
    </x:row>
    <x:row r="3161" ht="96" customHeight="1">
      <x:c r="A3161" s="115" t="str">
        <x:v>EXT-MONDE-T064-V06</x:v>
      </x:c>
      <x:c r="B3161" s="115" t="str">
        <x:v>EXT-MONDE-T064</x:v>
      </x:c>
      <x:c r="C3161" s="115" t="str">
        <x:v>Épuration</x:v>
      </x:c>
      <x:c r="D3161" s="115" t="str">
        <x:v>Usine de potabilisation</x:v>
      </x:c>
      <x:c r="E3161" s="115" t="n">
        <x:v>6</x:v>
      </x:c>
      <x:c r="F3161" s="115" t="str">
        <x:v>Inspection physique</x:v>
      </x:c>
      <x:c r="G3161" s="115" t="str">
        <x:v>1 niveaux ; 22 pièces ; 167 segments de mur ; 0 transitions. Inspection physique ; architecture complète encore ouverte.</x:v>
      </x:c>
      <x:c r="H3161" s="115" t="str">
        <x:v>L 430 ; l 440 ; hauteur 6 m ; choix de composition auteur ; dimensions réelles à documenter</x:v>
      </x:c>
      <x:c r="I3161" s="115" t="str">
        <x:v>À équilibrer</x:v>
      </x:c>
      <x:c r="J3161" s="115" t="str">
        <x:v>Non</x:v>
      </x:c>
      <x:c r="K3161" s="115" t="str">
        <x:v>Pièces décrites, murs, portes, niveaux et mobilier inspectables à l’échelle. Volumes réservés, raccord au seed, butin, rencontres et services de campagne restent à terminer.</x:v>
      </x:c>
    </x:row>
    <x:row r="3162" ht="96" customHeight="1">
      <x:c r="A3162" s="115" t="str">
        <x:v>EXT-MONDE-T064-V07</x:v>
      </x:c>
      <x:c r="B3162" s="115" t="str">
        <x:v>EXT-MONDE-T064</x:v>
      </x:c>
      <x:c r="C3162" s="115" t="str">
        <x:v>Épuration</x:v>
      </x:c>
      <x:c r="D3162" s="115" t="str">
        <x:v>Usine de potabilisation</x:v>
      </x:c>
      <x:c r="E3162" s="115" t="n">
        <x:v>7</x:v>
      </x:c>
      <x:c r="F3162" s="115" t="str">
        <x:v>Inspection physique</x:v>
      </x:c>
      <x:c r="G3162" s="115" t="str">
        <x:v>1 niveaux ; 22 pièces ; 167 segments de mur ; 0 transitions. Inspection physique ; architecture complète encore ouverte.</x:v>
      </x:c>
      <x:c r="H3162" s="115" t="str">
        <x:v>L 430 ; l 440 ; hauteur 6 m ; choix de composition auteur ; dimensions réelles à documenter</x:v>
      </x:c>
      <x:c r="I3162" s="115" t="str">
        <x:v>À équilibrer</x:v>
      </x:c>
      <x:c r="J3162" s="115" t="str">
        <x:v>Non</x:v>
      </x:c>
      <x:c r="K3162" s="115" t="str">
        <x:v>Pièces décrites, murs, portes, niveaux et mobilier inspectables à l’échelle. Volumes réservés, raccord au seed, butin, rencontres et services de campagne restent à terminer.</x:v>
      </x:c>
    </x:row>
    <x:row r="3163" ht="96" customHeight="1">
      <x:c r="A3163" s="115" t="str">
        <x:v>EXT-MONDE-T064-V08</x:v>
      </x:c>
      <x:c r="B3163" s="115" t="str">
        <x:v>EXT-MONDE-T064</x:v>
      </x:c>
      <x:c r="C3163" s="115" t="str">
        <x:v>Épuration</x:v>
      </x:c>
      <x:c r="D3163" s="115" t="str">
        <x:v>Usine de potabilisation</x:v>
      </x:c>
      <x:c r="E3163" s="115" t="n">
        <x:v>8</x:v>
      </x:c>
      <x:c r="F3163" s="115" t="str">
        <x:v>Inspection physique</x:v>
      </x:c>
      <x:c r="G3163" s="115" t="str">
        <x:v>1 niveaux ; 22 pièces ; 167 segments de mur ; 0 transitions. Inspection physique ; architecture complète encore ouverte.</x:v>
      </x:c>
      <x:c r="H3163" s="115" t="str">
        <x:v>L 430 ; l 440 ; hauteur 6 m ; choix de composition auteur ; dimensions réelles à documenter</x:v>
      </x:c>
      <x:c r="I3163" s="115" t="str">
        <x:v>À équilibrer</x:v>
      </x:c>
      <x:c r="J3163" s="115" t="str">
        <x:v>Non</x:v>
      </x:c>
      <x:c r="K3163" s="115" t="str">
        <x:v>Pièces décrites, murs, portes, niveaux et mobilier inspectables à l’échelle. Volumes réservés, raccord au seed, butin, rencontres et services de campagne restent à terminer.</x:v>
      </x:c>
    </x:row>
    <x:row r="3164" ht="96" customHeight="1">
      <x:c r="A3164" s="115" t="str">
        <x:v>EXT-MONDE-T064-V09</x:v>
      </x:c>
      <x:c r="B3164" s="115" t="str">
        <x:v>EXT-MONDE-T064</x:v>
      </x:c>
      <x:c r="C3164" s="115" t="str">
        <x:v>Épuration</x:v>
      </x:c>
      <x:c r="D3164" s="115" t="str">
        <x:v>Usine de potabilisation</x:v>
      </x:c>
      <x:c r="E3164" s="115" t="n">
        <x:v>9</x:v>
      </x:c>
      <x:c r="F3164" s="115" t="str">
        <x:v>Inspection physique</x:v>
      </x:c>
      <x:c r="G3164" s="115" t="str">
        <x:v>1 niveaux ; 22 pièces ; 167 segments de mur ; 0 transitions. Inspection physique ; architecture complète encore ouverte.</x:v>
      </x:c>
      <x:c r="H3164" s="115" t="str">
        <x:v>L 430 ; l 440 ; hauteur 6 m ; choix de composition auteur ; dimensions réelles à documenter</x:v>
      </x:c>
      <x:c r="I3164" s="115" t="str">
        <x:v>À équilibrer</x:v>
      </x:c>
      <x:c r="J3164" s="115" t="str">
        <x:v>Non</x:v>
      </x:c>
      <x:c r="K3164" s="115" t="str">
        <x:v>Pièces décrites, murs, portes, niveaux et mobilier inspectables à l’échelle. Volumes réservés, raccord au seed, butin, rencontres et services de campagne restent à terminer.</x:v>
      </x:c>
    </x:row>
    <x:row r="3165" ht="96" customHeight="1">
      <x:c r="A3165" s="115" t="str">
        <x:v>EXT-MONDE-T064-V10</x:v>
      </x:c>
      <x:c r="B3165" s="115" t="str">
        <x:v>EXT-MONDE-T064</x:v>
      </x:c>
      <x:c r="C3165" s="115" t="str">
        <x:v>Épuration</x:v>
      </x:c>
      <x:c r="D3165" s="115" t="str">
        <x:v>Usine de potabilisation</x:v>
      </x:c>
      <x:c r="E3165" s="115" t="n">
        <x:v>10</x:v>
      </x:c>
      <x:c r="F3165" s="115" t="str">
        <x:v>Inspection physique</x:v>
      </x:c>
      <x:c r="G3165" s="115" t="str">
        <x:v>1 niveaux ; 22 pièces ; 167 segments de mur ; 0 transitions. Inspection physique ; architecture complète encore ouverte.</x:v>
      </x:c>
      <x:c r="H3165" s="115" t="str">
        <x:v>L 430 ; l 440 ; hauteur 6 m ; choix de composition auteur ; dimensions réelles à documenter</x:v>
      </x:c>
      <x:c r="I3165" s="115" t="str">
        <x:v>À équilibrer</x:v>
      </x:c>
      <x:c r="J3165" s="115" t="str">
        <x:v>Non</x:v>
      </x:c>
      <x:c r="K3165" s="115" t="str">
        <x:v>Pièces décrites, murs, portes, niveaux et mobilier inspectables à l’échelle. Volumes réservés, raccord au seed, butin, rencontres et services de campagne restent à terminer.</x:v>
      </x:c>
    </x:row>
    <x:row r="3166" ht="96" customHeight="1">
      <x:c r="A3166" s="115" t="str">
        <x:v>EXT-MONDE-T064-V11</x:v>
      </x:c>
      <x:c r="B3166" s="115" t="str">
        <x:v>EXT-MONDE-T064</x:v>
      </x:c>
      <x:c r="C3166" s="115" t="str">
        <x:v>Épuration</x:v>
      </x:c>
      <x:c r="D3166" s="115" t="str">
        <x:v>Usine de potabilisation</x:v>
      </x:c>
      <x:c r="E3166" s="115" t="n">
        <x:v>11</x:v>
      </x:c>
      <x:c r="F3166" s="115" t="str">
        <x:v>Inspection physique</x:v>
      </x:c>
      <x:c r="G3166" s="115" t="str">
        <x:v>1 niveaux ; 22 pièces ; 167 segments de mur ; 0 transitions. Inspection physique ; architecture complète encore ouverte.</x:v>
      </x:c>
      <x:c r="H3166" s="115" t="str">
        <x:v>L 448 ; l 460 ; hauteur 6 m ; choix de composition auteur ; dimensions réelles à documenter</x:v>
      </x:c>
      <x:c r="I3166" s="115" t="str">
        <x:v>À équilibrer</x:v>
      </x:c>
      <x:c r="J3166" s="115" t="str">
        <x:v>Non</x:v>
      </x:c>
      <x:c r="K3166" s="115" t="str">
        <x:v>Pièces décrites, murs, portes, niveaux et mobilier inspectables à l’échelle. Volumes réservés, raccord au seed, butin, rencontres et services de campagne restent à terminer.</x:v>
      </x:c>
    </x:row>
    <x:row r="3167" ht="96" customHeight="1">
      <x:c r="A3167" s="115" t="str">
        <x:v>EXT-MONDE-T064-V12</x:v>
      </x:c>
      <x:c r="B3167" s="115" t="str">
        <x:v>EXT-MONDE-T064</x:v>
      </x:c>
      <x:c r="C3167" s="115" t="str">
        <x:v>Épuration</x:v>
      </x:c>
      <x:c r="D3167" s="115" t="str">
        <x:v>Usine de potabilisation</x:v>
      </x:c>
      <x:c r="E3167" s="115" t="n">
        <x:v>12</x:v>
      </x:c>
      <x:c r="F3167" s="115" t="str">
        <x:v>Inspection physique</x:v>
      </x:c>
      <x:c r="G3167" s="115" t="str">
        <x:v>1 niveaux ; 22 pièces ; 167 segments de mur ; 0 transitions. Inspection physique ; architecture complète encore ouverte.</x:v>
      </x:c>
      <x:c r="H3167" s="115" t="str">
        <x:v>L 448 ; l 460 ; hauteur 6 m ; choix de composition auteur ; dimensions réelles à documenter</x:v>
      </x:c>
      <x:c r="I3167" s="115" t="str">
        <x:v>À équilibrer</x:v>
      </x:c>
      <x:c r="J3167" s="115" t="str">
        <x:v>Non</x:v>
      </x:c>
      <x:c r="K3167" s="115" t="str">
        <x:v>Pièces décrites, murs, portes, niveaux et mobilier inspectables à l’échelle. Volumes réservés, raccord au seed, butin, rencontres et services de campagne restent à terminer.</x:v>
      </x:c>
    </x:row>
    <x:row r="3168" ht="96" customHeight="1">
      <x:c r="A3168" s="115" t="str">
        <x:v>EXT-MONDE-T064-V13</x:v>
      </x:c>
      <x:c r="B3168" s="115" t="str">
        <x:v>EXT-MONDE-T064</x:v>
      </x:c>
      <x:c r="C3168" s="115" t="str">
        <x:v>Épuration</x:v>
      </x:c>
      <x:c r="D3168" s="115" t="str">
        <x:v>Usine de potabilisation</x:v>
      </x:c>
      <x:c r="E3168" s="115" t="n">
        <x:v>13</x:v>
      </x:c>
      <x:c r="F3168" s="115" t="str">
        <x:v>Inspection physique</x:v>
      </x:c>
      <x:c r="G3168" s="115" t="str">
        <x:v>1 niveaux ; 22 pièces ; 167 segments de mur ; 0 transitions. Inspection physique ; architecture complète encore ouverte.</x:v>
      </x:c>
      <x:c r="H3168" s="115" t="str">
        <x:v>L 448 ; l 460 ; hauteur 6 m ; choix de composition auteur ; dimensions réelles à documenter</x:v>
      </x:c>
      <x:c r="I3168" s="115" t="str">
        <x:v>À équilibrer</x:v>
      </x:c>
      <x:c r="J3168" s="115" t="str">
        <x:v>Non</x:v>
      </x:c>
      <x:c r="K3168" s="115" t="str">
        <x:v>Pièces décrites, murs, portes, niveaux et mobilier inspectables à l’échelle. Volumes réservés, raccord au seed, butin, rencontres et services de campagne restent à terminer.</x:v>
      </x:c>
    </x:row>
    <x:row r="3169" ht="96" customHeight="1">
      <x:c r="A3169" s="115" t="str">
        <x:v>EXT-MONDE-T064-V14</x:v>
      </x:c>
      <x:c r="B3169" s="115" t="str">
        <x:v>EXT-MONDE-T064</x:v>
      </x:c>
      <x:c r="C3169" s="115" t="str">
        <x:v>Épuration</x:v>
      </x:c>
      <x:c r="D3169" s="115" t="str">
        <x:v>Usine de potabilisation</x:v>
      </x:c>
      <x:c r="E3169" s="115" t="n">
        <x:v>14</x:v>
      </x:c>
      <x:c r="F3169" s="115" t="str">
        <x:v>Inspection physique</x:v>
      </x:c>
      <x:c r="G3169" s="115" t="str">
        <x:v>1 niveaux ; 22 pièces ; 167 segments de mur ; 0 transitions. Inspection physique ; architecture complète encore ouverte.</x:v>
      </x:c>
      <x:c r="H3169" s="115" t="str">
        <x:v>L 448 ; l 460 ; hauteur 6 m ; choix de composition auteur ; dimensions réelles à documenter</x:v>
      </x:c>
      <x:c r="I3169" s="115" t="str">
        <x:v>À équilibrer</x:v>
      </x:c>
      <x:c r="J3169" s="115" t="str">
        <x:v>Non</x:v>
      </x:c>
      <x:c r="K3169" s="115" t="str">
        <x:v>Pièces décrites, murs, portes, niveaux et mobilier inspectables à l’échelle. Volumes réservés, raccord au seed, butin, rencontres et services de campagne restent à terminer.</x:v>
      </x:c>
    </x:row>
    <x:row r="3170" ht="96" customHeight="1">
      <x:c r="A3170" s="115" t="str">
        <x:v>EXT-MONDE-T064-V15</x:v>
      </x:c>
      <x:c r="B3170" s="115" t="str">
        <x:v>EXT-MONDE-T064</x:v>
      </x:c>
      <x:c r="C3170" s="115" t="str">
        <x:v>Épuration</x:v>
      </x:c>
      <x:c r="D3170" s="115" t="str">
        <x:v>Usine de potabilisation</x:v>
      </x:c>
      <x:c r="E3170" s="115" t="n">
        <x:v>15</x:v>
      </x:c>
      <x:c r="F3170" s="115" t="str">
        <x:v>Inspection physique</x:v>
      </x:c>
      <x:c r="G3170" s="115" t="str">
        <x:v>1 niveaux ; 22 pièces ; 167 segments de mur ; 0 transitions. Inspection physique ; architecture complète encore ouverte.</x:v>
      </x:c>
      <x:c r="H3170" s="115" t="str">
        <x:v>L 448 ; l 460 ; hauteur 6 m ; choix de composition auteur ; dimensions réelles à documenter</x:v>
      </x:c>
      <x:c r="I3170" s="115" t="str">
        <x:v>À équilibrer</x:v>
      </x:c>
      <x:c r="J3170" s="115" t="str">
        <x:v>Non</x:v>
      </x:c>
      <x:c r="K3170" s="115" t="str">
        <x:v>Pièces décrites, murs, portes, niveaux et mobilier inspectables à l’échelle. Volumes réservés, raccord au seed, butin, rencontres et services de campagne restent à terminer.</x:v>
      </x:c>
    </x:row>
    <x:row r="3171" ht="96" customHeight="1">
      <x:c r="A3171" s="115" t="str">
        <x:v>EXT-MONDE-T064-V16</x:v>
      </x:c>
      <x:c r="B3171" s="115" t="str">
        <x:v>EXT-MONDE-T064</x:v>
      </x:c>
      <x:c r="C3171" s="115" t="str">
        <x:v>Épuration</x:v>
      </x:c>
      <x:c r="D3171" s="115" t="str">
        <x:v>Usine de potabilisation</x:v>
      </x:c>
      <x:c r="E3171" s="115" t="n">
        <x:v>16</x:v>
      </x:c>
      <x:c r="F3171" s="115" t="str">
        <x:v>Inspection physique</x:v>
      </x:c>
      <x:c r="G3171" s="115" t="str">
        <x:v>1 niveaux ; 22 pièces ; 167 segments de mur ; 0 transitions. Inspection physique ; architecture complète encore ouverte.</x:v>
      </x:c>
      <x:c r="H3171" s="115" t="str">
        <x:v>L 448 ; l 460 ; hauteur 6 m ; choix de composition auteur ; dimensions réelles à documenter</x:v>
      </x:c>
      <x:c r="I3171" s="115" t="str">
        <x:v>À équilibrer</x:v>
      </x:c>
      <x:c r="J3171" s="115" t="str">
        <x:v>Non</x:v>
      </x:c>
      <x:c r="K3171" s="115" t="str">
        <x:v>Pièces décrites, murs, portes, niveaux et mobilier inspectables à l’échelle. Volumes réservés, raccord au seed, butin, rencontres et services de campagne restent à terminer.</x:v>
      </x:c>
    </x:row>
    <x:row r="3172" ht="96" customHeight="1">
      <x:c r="A3172" s="115" t="str">
        <x:v>EXT-MONDE-T064-V17</x:v>
      </x:c>
      <x:c r="B3172" s="115" t="str">
        <x:v>EXT-MONDE-T064</x:v>
      </x:c>
      <x:c r="C3172" s="115" t="str">
        <x:v>Épuration</x:v>
      </x:c>
      <x:c r="D3172" s="115" t="str">
        <x:v>Usine de potabilisation</x:v>
      </x:c>
      <x:c r="E3172" s="115" t="n">
        <x:v>17</x:v>
      </x:c>
      <x:c r="F3172" s="115" t="str">
        <x:v>Inspection physique</x:v>
      </x:c>
      <x:c r="G3172" s="115" t="str">
        <x:v>1 niveaux ; 22 pièces ; 167 segments de mur ; 0 transitions. Inspection physique ; architecture complète encore ouverte.</x:v>
      </x:c>
      <x:c r="H3172" s="115" t="str">
        <x:v>L 448 ; l 460 ; hauteur 6 m ; choix de composition auteur ; dimensions réelles à documenter</x:v>
      </x:c>
      <x:c r="I3172" s="115" t="str">
        <x:v>À équilibrer</x:v>
      </x:c>
      <x:c r="J3172" s="115" t="str">
        <x:v>Non</x:v>
      </x:c>
      <x:c r="K3172" s="115" t="str">
        <x:v>Pièces décrites, murs, portes, niveaux et mobilier inspectables à l’échelle. Volumes réservés, raccord au seed, butin, rencontres et services de campagne restent à terminer.</x:v>
      </x:c>
    </x:row>
    <x:row r="3173" ht="96" customHeight="1">
      <x:c r="A3173" s="115" t="str">
        <x:v>EXT-MONDE-T064-V18</x:v>
      </x:c>
      <x:c r="B3173" s="115" t="str">
        <x:v>EXT-MONDE-T064</x:v>
      </x:c>
      <x:c r="C3173" s="115" t="str">
        <x:v>Épuration</x:v>
      </x:c>
      <x:c r="D3173" s="115" t="str">
        <x:v>Usine de potabilisation</x:v>
      </x:c>
      <x:c r="E3173" s="115" t="n">
        <x:v>18</x:v>
      </x:c>
      <x:c r="F3173" s="115" t="str">
        <x:v>Inspection physique</x:v>
      </x:c>
      <x:c r="G3173" s="115" t="str">
        <x:v>1 niveaux ; 22 pièces ; 167 segments de mur ; 0 transitions. Inspection physique ; architecture complète encore ouverte.</x:v>
      </x:c>
      <x:c r="H3173" s="115" t="str">
        <x:v>L 448 ; l 460 ; hauteur 6 m ; choix de composition auteur ; dimensions réelles à documenter</x:v>
      </x:c>
      <x:c r="I3173" s="115" t="str">
        <x:v>À équilibrer</x:v>
      </x:c>
      <x:c r="J3173" s="115" t="str">
        <x:v>Non</x:v>
      </x:c>
      <x:c r="K3173" s="115" t="str">
        <x:v>Pièces décrites, murs, portes, niveaux et mobilier inspectables à l’échelle. Volumes réservés, raccord au seed, butin, rencontres et services de campagne restent à terminer.</x:v>
      </x:c>
    </x:row>
    <x:row r="3174" ht="96" customHeight="1">
      <x:c r="A3174" s="115" t="str">
        <x:v>EXT-MONDE-T064-V19</x:v>
      </x:c>
      <x:c r="B3174" s="115" t="str">
        <x:v>EXT-MONDE-T064</x:v>
      </x:c>
      <x:c r="C3174" s="115" t="str">
        <x:v>Épuration</x:v>
      </x:c>
      <x:c r="D3174" s="115" t="str">
        <x:v>Usine de potabilisation</x:v>
      </x:c>
      <x:c r="E3174" s="115" t="n">
        <x:v>19</x:v>
      </x:c>
      <x:c r="F3174" s="115" t="str">
        <x:v>Inspection physique</x:v>
      </x:c>
      <x:c r="G3174" s="115" t="str">
        <x:v>1 niveaux ; 22 pièces ; 167 segments de mur ; 0 transitions. Inspection physique ; architecture complète encore ouverte.</x:v>
      </x:c>
      <x:c r="H3174" s="115" t="str">
        <x:v>L 448 ; l 460 ; hauteur 6 m ; choix de composition auteur ; dimensions réelles à documenter</x:v>
      </x:c>
      <x:c r="I3174" s="115" t="str">
        <x:v>À équilibrer</x:v>
      </x:c>
      <x:c r="J3174" s="115" t="str">
        <x:v>Non</x:v>
      </x:c>
      <x:c r="K3174" s="115" t="str">
        <x:v>Pièces décrites, murs, portes, niveaux et mobilier inspectables à l’échelle. Volumes réservés, raccord au seed, butin, rencontres et services de campagne restent à terminer.</x:v>
      </x:c>
    </x:row>
    <x:row r="3175" ht="96" customHeight="1">
      <x:c r="A3175" s="115" t="str">
        <x:v>EXT-MONDE-T064-V20</x:v>
      </x:c>
      <x:c r="B3175" s="115" t="str">
        <x:v>EXT-MONDE-T064</x:v>
      </x:c>
      <x:c r="C3175" s="115" t="str">
        <x:v>Épuration</x:v>
      </x:c>
      <x:c r="D3175" s="115" t="str">
        <x:v>Usine de potabilisation</x:v>
      </x:c>
      <x:c r="E3175" s="115" t="n">
        <x:v>20</x:v>
      </x:c>
      <x:c r="F3175" s="115" t="str">
        <x:v>Inspection physique</x:v>
      </x:c>
      <x:c r="G3175" s="115" t="str">
        <x:v>1 niveaux ; 22 pièces ; 167 segments de mur ; 0 transitions. Inspection physique ; architecture complète encore ouverte.</x:v>
      </x:c>
      <x:c r="H3175" s="115" t="str">
        <x:v>L 448 ; l 460 ; hauteur 6 m ; choix de composition auteur ; dimensions réelles à documenter</x:v>
      </x:c>
      <x:c r="I3175" s="115" t="str">
        <x:v>À équilibrer</x:v>
      </x:c>
      <x:c r="J3175" s="115" t="str">
        <x:v>Non</x:v>
      </x:c>
      <x:c r="K3175" s="115" t="str">
        <x:v>Pièces décrites, murs, portes, niveaux et mobilier inspectables à l’échelle. Volumes réservés, raccord au seed, butin, rencontres et services de campagne restent à terminer.</x:v>
      </x:c>
    </x:row>
    <x:row r="3176" ht="96" customHeight="1">
      <x:c r="A3176" s="115" t="str">
        <x:v>EXT-MONDE-T064-V21</x:v>
      </x:c>
      <x:c r="B3176" s="115" t="str">
        <x:v>EXT-MONDE-T064</x:v>
      </x:c>
      <x:c r="C3176" s="115" t="str">
        <x:v>Épuration</x:v>
      </x:c>
      <x:c r="D3176" s="115" t="str">
        <x:v>Usine de potabilisation</x:v>
      </x:c>
      <x:c r="E3176" s="115" t="n">
        <x:v>21</x:v>
      </x:c>
      <x:c r="F3176" s="115" t="str">
        <x:v>Inspection physique</x:v>
      </x:c>
      <x:c r="G3176" s="115" t="str">
        <x:v>1 niveaux ; 22 pièces ; 167 segments de mur ; 0 transitions. Inspection physique ; architecture complète encore ouverte.</x:v>
      </x:c>
      <x:c r="H3176" s="115" t="str">
        <x:v>L 466 ; l 480 ; hauteur 6 m ; choix de composition auteur ; dimensions réelles à documenter</x:v>
      </x:c>
      <x:c r="I3176" s="115" t="str">
        <x:v>À équilibrer</x:v>
      </x:c>
      <x:c r="J3176" s="115" t="str">
        <x:v>Non</x:v>
      </x:c>
      <x:c r="K3176" s="115" t="str">
        <x:v>Pièces décrites, murs, portes, niveaux et mobilier inspectables à l’échelle. Volumes réservés, raccord au seed, butin, rencontres et services de campagne restent à terminer.</x:v>
      </x:c>
    </x:row>
    <x:row r="3177" ht="96" customHeight="1">
      <x:c r="A3177" s="115" t="str">
        <x:v>EXT-MONDE-T064-V22</x:v>
      </x:c>
      <x:c r="B3177" s="115" t="str">
        <x:v>EXT-MONDE-T064</x:v>
      </x:c>
      <x:c r="C3177" s="115" t="str">
        <x:v>Épuration</x:v>
      </x:c>
      <x:c r="D3177" s="115" t="str">
        <x:v>Usine de potabilisation</x:v>
      </x:c>
      <x:c r="E3177" s="115" t="n">
        <x:v>22</x:v>
      </x:c>
      <x:c r="F3177" s="115" t="str">
        <x:v>Inspection physique</x:v>
      </x:c>
      <x:c r="G3177" s="115" t="str">
        <x:v>1 niveaux ; 22 pièces ; 167 segments de mur ; 0 transitions. Inspection physique ; architecture complète encore ouverte.</x:v>
      </x:c>
      <x:c r="H3177" s="115" t="str">
        <x:v>L 466 ; l 480 ; hauteur 6 m ; choix de composition auteur ; dimensions réelles à documenter</x:v>
      </x:c>
      <x:c r="I3177" s="115" t="str">
        <x:v>À équilibrer</x:v>
      </x:c>
      <x:c r="J3177" s="115" t="str">
        <x:v>Non</x:v>
      </x:c>
      <x:c r="K3177" s="115" t="str">
        <x:v>Pièces décrites, murs, portes, niveaux et mobilier inspectables à l’échelle. Volumes réservés, raccord au seed, butin, rencontres et services de campagne restent à terminer.</x:v>
      </x:c>
    </x:row>
    <x:row r="3178" ht="96" customHeight="1">
      <x:c r="A3178" s="115" t="str">
        <x:v>EXT-MONDE-T064-V23</x:v>
      </x:c>
      <x:c r="B3178" s="115" t="str">
        <x:v>EXT-MONDE-T064</x:v>
      </x:c>
      <x:c r="C3178" s="115" t="str">
        <x:v>Épuration</x:v>
      </x:c>
      <x:c r="D3178" s="115" t="str">
        <x:v>Usine de potabilisation</x:v>
      </x:c>
      <x:c r="E3178" s="115" t="n">
        <x:v>23</x:v>
      </x:c>
      <x:c r="F3178" s="115" t="str">
        <x:v>Inspection physique</x:v>
      </x:c>
      <x:c r="G3178" s="115" t="str">
        <x:v>1 niveaux ; 22 pièces ; 167 segments de mur ; 0 transitions. Inspection physique ; architecture complète encore ouverte.</x:v>
      </x:c>
      <x:c r="H3178" s="115" t="str">
        <x:v>L 466 ; l 480 ; hauteur 6 m ; choix de composition auteur ; dimensions réelles à documenter</x:v>
      </x:c>
      <x:c r="I3178" s="115" t="str">
        <x:v>À équilibrer</x:v>
      </x:c>
      <x:c r="J3178" s="115" t="str">
        <x:v>Non</x:v>
      </x:c>
      <x:c r="K3178" s="115" t="str">
        <x:v>Pièces décrites, murs, portes, niveaux et mobilier inspectables à l’échelle. Volumes réservés, raccord au seed, butin, rencontres et services de campagne restent à terminer.</x:v>
      </x:c>
    </x:row>
    <x:row r="3179" ht="96" customHeight="1">
      <x:c r="A3179" s="115" t="str">
        <x:v>EXT-MONDE-T064-V24</x:v>
      </x:c>
      <x:c r="B3179" s="115" t="str">
        <x:v>EXT-MONDE-T064</x:v>
      </x:c>
      <x:c r="C3179" s="115" t="str">
        <x:v>Épuration</x:v>
      </x:c>
      <x:c r="D3179" s="115" t="str">
        <x:v>Usine de potabilisation</x:v>
      </x:c>
      <x:c r="E3179" s="115" t="n">
        <x:v>24</x:v>
      </x:c>
      <x:c r="F3179" s="115" t="str">
        <x:v>Inspection physique</x:v>
      </x:c>
      <x:c r="G3179" s="115" t="str">
        <x:v>1 niveaux ; 22 pièces ; 167 segments de mur ; 0 transitions. Inspection physique ; architecture complète encore ouverte.</x:v>
      </x:c>
      <x:c r="H3179" s="115" t="str">
        <x:v>L 466 ; l 480 ; hauteur 6 m ; choix de composition auteur ; dimensions réelles à documenter</x:v>
      </x:c>
      <x:c r="I3179" s="115" t="str">
        <x:v>À équilibrer</x:v>
      </x:c>
      <x:c r="J3179" s="115" t="str">
        <x:v>Non</x:v>
      </x:c>
      <x:c r="K3179" s="115" t="str">
        <x:v>Pièces décrites, murs, portes, niveaux et mobilier inspectables à l’échelle. Volumes réservés, raccord au seed, butin, rencontres et services de campagne restent à terminer.</x:v>
      </x:c>
    </x:row>
    <x:row r="3180" ht="96" customHeight="1">
      <x:c r="A3180" s="115" t="str">
        <x:v>EXT-MONDE-T064-V25</x:v>
      </x:c>
      <x:c r="B3180" s="115" t="str">
        <x:v>EXT-MONDE-T064</x:v>
      </x:c>
      <x:c r="C3180" s="115" t="str">
        <x:v>Épuration</x:v>
      </x:c>
      <x:c r="D3180" s="115" t="str">
        <x:v>Usine de potabilisation</x:v>
      </x:c>
      <x:c r="E3180" s="115" t="n">
        <x:v>25</x:v>
      </x:c>
      <x:c r="F3180" s="115" t="str">
        <x:v>Inspection physique</x:v>
      </x:c>
      <x:c r="G3180" s="115" t="str">
        <x:v>1 niveaux ; 22 pièces ; 167 segments de mur ; 0 transitions. Inspection physique ; architecture complète encore ouverte.</x:v>
      </x:c>
      <x:c r="H3180" s="115" t="str">
        <x:v>L 466 ; l 480 ; hauteur 6 m ; choix de composition auteur ; dimensions réelles à documenter</x:v>
      </x:c>
      <x:c r="I3180" s="115" t="str">
        <x:v>À équilibrer</x:v>
      </x:c>
      <x:c r="J3180" s="115" t="str">
        <x:v>Non</x:v>
      </x:c>
      <x:c r="K3180" s="115" t="str">
        <x:v>Pièces décrites, murs, portes, niveaux et mobilier inspectables à l’échelle. Volumes réservés, raccord au seed, butin, rencontres et services de campagne restent à terminer.</x:v>
      </x:c>
    </x:row>
    <x:row r="3181" ht="96" customHeight="1">
      <x:c r="A3181" s="115" t="str">
        <x:v>EXT-MONDE-T064-V26</x:v>
      </x:c>
      <x:c r="B3181" s="115" t="str">
        <x:v>EXT-MONDE-T064</x:v>
      </x:c>
      <x:c r="C3181" s="115" t="str">
        <x:v>Épuration</x:v>
      </x:c>
      <x:c r="D3181" s="115" t="str">
        <x:v>Usine de potabilisation</x:v>
      </x:c>
      <x:c r="E3181" s="115" t="n">
        <x:v>26</x:v>
      </x:c>
      <x:c r="F3181" s="115" t="str">
        <x:v>Inspection physique</x:v>
      </x:c>
      <x:c r="G3181" s="115" t="str">
        <x:v>1 niveaux ; 22 pièces ; 167 segments de mur ; 0 transitions. Inspection physique ; architecture complète encore ouverte.</x:v>
      </x:c>
      <x:c r="H3181" s="115" t="str">
        <x:v>L 466 ; l 480 ; hauteur 6 m ; choix de composition auteur ; dimensions réelles à documenter</x:v>
      </x:c>
      <x:c r="I3181" s="115" t="str">
        <x:v>À équilibrer</x:v>
      </x:c>
      <x:c r="J3181" s="115" t="str">
        <x:v>Non</x:v>
      </x:c>
      <x:c r="K3181" s="115" t="str">
        <x:v>Pièces décrites, murs, portes, niveaux et mobilier inspectables à l’échelle. Volumes réservés, raccord au seed, butin, rencontres et services de campagne restent à terminer.</x:v>
      </x:c>
    </x:row>
    <x:row r="3182" ht="96" customHeight="1">
      <x:c r="A3182" s="115" t="str">
        <x:v>EXT-MONDE-T064-V27</x:v>
      </x:c>
      <x:c r="B3182" s="115" t="str">
        <x:v>EXT-MONDE-T064</x:v>
      </x:c>
      <x:c r="C3182" s="115" t="str">
        <x:v>Épuration</x:v>
      </x:c>
      <x:c r="D3182" s="115" t="str">
        <x:v>Usine de potabilisation</x:v>
      </x:c>
      <x:c r="E3182" s="115" t="n">
        <x:v>27</x:v>
      </x:c>
      <x:c r="F3182" s="115" t="str">
        <x:v>Inspection physique</x:v>
      </x:c>
      <x:c r="G3182" s="115" t="str">
        <x:v>1 niveaux ; 22 pièces ; 167 segments de mur ; 0 transitions. Inspection physique ; architecture complète encore ouverte.</x:v>
      </x:c>
      <x:c r="H3182" s="115" t="str">
        <x:v>L 466 ; l 480 ; hauteur 6 m ; choix de composition auteur ; dimensions réelles à documenter</x:v>
      </x:c>
      <x:c r="I3182" s="115" t="str">
        <x:v>À équilibrer</x:v>
      </x:c>
      <x:c r="J3182" s="115" t="str">
        <x:v>Non</x:v>
      </x:c>
      <x:c r="K3182" s="115" t="str">
        <x:v>Pièces décrites, murs, portes, niveaux et mobilier inspectables à l’échelle. Volumes réservés, raccord au seed, butin, rencontres et services de campagne restent à terminer.</x:v>
      </x:c>
    </x:row>
    <x:row r="3183" ht="96" customHeight="1">
      <x:c r="A3183" s="115" t="str">
        <x:v>EXT-MONDE-T064-V28</x:v>
      </x:c>
      <x:c r="B3183" s="115" t="str">
        <x:v>EXT-MONDE-T064</x:v>
      </x:c>
      <x:c r="C3183" s="115" t="str">
        <x:v>Épuration</x:v>
      </x:c>
      <x:c r="D3183" s="115" t="str">
        <x:v>Usine de potabilisation</x:v>
      </x:c>
      <x:c r="E3183" s="115" t="n">
        <x:v>28</x:v>
      </x:c>
      <x:c r="F3183" s="115" t="str">
        <x:v>Inspection physique</x:v>
      </x:c>
      <x:c r="G3183" s="115" t="str">
        <x:v>1 niveaux ; 22 pièces ; 167 segments de mur ; 0 transitions. Inspection physique ; architecture complète encore ouverte.</x:v>
      </x:c>
      <x:c r="H3183" s="115" t="str">
        <x:v>L 466 ; l 480 ; hauteur 6 m ; choix de composition auteur ; dimensions réelles à documenter</x:v>
      </x:c>
      <x:c r="I3183" s="115" t="str">
        <x:v>À équilibrer</x:v>
      </x:c>
      <x:c r="J3183" s="115" t="str">
        <x:v>Non</x:v>
      </x:c>
      <x:c r="K3183" s="115" t="str">
        <x:v>Pièces décrites, murs, portes, niveaux et mobilier inspectables à l’échelle. Volumes réservés, raccord au seed, butin, rencontres et services de campagne restent à terminer.</x:v>
      </x:c>
    </x:row>
    <x:row r="3184" ht="96" customHeight="1">
      <x:c r="A3184" s="115" t="str">
        <x:v>EXT-MONDE-T064-V29</x:v>
      </x:c>
      <x:c r="B3184" s="115" t="str">
        <x:v>EXT-MONDE-T064</x:v>
      </x:c>
      <x:c r="C3184" s="115" t="str">
        <x:v>Épuration</x:v>
      </x:c>
      <x:c r="D3184" s="115" t="str">
        <x:v>Usine de potabilisation</x:v>
      </x:c>
      <x:c r="E3184" s="115" t="n">
        <x:v>29</x:v>
      </x:c>
      <x:c r="F3184" s="115" t="str">
        <x:v>Inspection physique</x:v>
      </x:c>
      <x:c r="G3184" s="115" t="str">
        <x:v>1 niveaux ; 22 pièces ; 167 segments de mur ; 0 transitions. Inspection physique ; architecture complète encore ouverte.</x:v>
      </x:c>
      <x:c r="H3184" s="115" t="str">
        <x:v>L 466 ; l 480 ; hauteur 6 m ; choix de composition auteur ; dimensions réelles à documenter</x:v>
      </x:c>
      <x:c r="I3184" s="115" t="str">
        <x:v>À équilibrer</x:v>
      </x:c>
      <x:c r="J3184" s="115" t="str">
        <x:v>Non</x:v>
      </x:c>
      <x:c r="K3184" s="115" t="str">
        <x:v>Pièces décrites, murs, portes, niveaux et mobilier inspectables à l’échelle. Volumes réservés, raccord au seed, butin, rencontres et services de campagne restent à terminer.</x:v>
      </x:c>
    </x:row>
    <x:row r="3185" ht="96" customHeight="1">
      <x:c r="A3185" s="115" t="str">
        <x:v>EXT-MONDE-T064-V30</x:v>
      </x:c>
      <x:c r="B3185" s="115" t="str">
        <x:v>EXT-MONDE-T064</x:v>
      </x:c>
      <x:c r="C3185" s="115" t="str">
        <x:v>Épuration</x:v>
      </x:c>
      <x:c r="D3185" s="115" t="str">
        <x:v>Usine de potabilisation</x:v>
      </x:c>
      <x:c r="E3185" s="115" t="n">
        <x:v>30</x:v>
      </x:c>
      <x:c r="F3185" s="115" t="str">
        <x:v>Inspection physique</x:v>
      </x:c>
      <x:c r="G3185" s="115" t="str">
        <x:v>1 niveaux ; 22 pièces ; 167 segments de mur ; 0 transitions. Inspection physique ; architecture complète encore ouverte.</x:v>
      </x:c>
      <x:c r="H3185" s="115" t="str">
        <x:v>L 466 ; l 480 ; hauteur 6 m ; choix de composition auteur ; dimensions réelles à documenter</x:v>
      </x:c>
      <x:c r="I3185" s="115" t="str">
        <x:v>À équilibrer</x:v>
      </x:c>
      <x:c r="J3185" s="115" t="str">
        <x:v>Non</x:v>
      </x:c>
      <x:c r="K3185" s="115" t="str">
        <x:v>Pièces décrites, murs, portes, niveaux et mobilier inspectables à l’échelle. Volumes réservés, raccord au seed, butin, rencontres et services de campagne restent à terminer.</x:v>
      </x:c>
    </x:row>
    <x:row r="3186" ht="96" customHeight="1">
      <x:c r="A3186" s="115" t="str">
        <x:v>EXT-MONDE-T064-V31</x:v>
      </x:c>
      <x:c r="B3186" s="115" t="str">
        <x:v>EXT-MONDE-T064</x:v>
      </x:c>
      <x:c r="C3186" s="115" t="str">
        <x:v>Épuration</x:v>
      </x:c>
      <x:c r="D3186" s="115" t="str">
        <x:v>Usine de potabilisation</x:v>
      </x:c>
      <x:c r="E3186" s="115" t="n">
        <x:v>31</x:v>
      </x:c>
      <x:c r="F3186" s="115" t="str">
        <x:v>Inspection physique</x:v>
      </x:c>
      <x:c r="G3186" s="115" t="str">
        <x:v>1 niveaux ; 22 pièces ; 167 segments de mur ; 0 transitions. Inspection physique ; architecture complète encore ouverte.</x:v>
      </x:c>
      <x:c r="H3186" s="115" t="str">
        <x:v>L 484 ; l 500 ; hauteur 6,1 m ; choix de composition auteur ; dimensions réelles à documenter</x:v>
      </x:c>
      <x:c r="I3186" s="115" t="str">
        <x:v>À équilibrer</x:v>
      </x:c>
      <x:c r="J3186" s="115" t="str">
        <x:v>Non</x:v>
      </x:c>
      <x:c r="K3186" s="115" t="str">
        <x:v>Pièces décrites, murs, portes, niveaux et mobilier inspectables à l’échelle. Volumes réservés, raccord au seed, butin, rencontres et services de campagne restent à terminer.</x:v>
      </x:c>
    </x:row>
    <x:row r="3187" ht="96" customHeight="1">
      <x:c r="A3187" s="115" t="str">
        <x:v>EXT-MONDE-T064-V32</x:v>
      </x:c>
      <x:c r="B3187" s="115" t="str">
        <x:v>EXT-MONDE-T064</x:v>
      </x:c>
      <x:c r="C3187" s="115" t="str">
        <x:v>Épuration</x:v>
      </x:c>
      <x:c r="D3187" s="115" t="str">
        <x:v>Usine de potabilisation</x:v>
      </x:c>
      <x:c r="E3187" s="115" t="n">
        <x:v>32</x:v>
      </x:c>
      <x:c r="F3187" s="115" t="str">
        <x:v>Inspection physique</x:v>
      </x:c>
      <x:c r="G3187" s="115" t="str">
        <x:v>1 niveaux ; 22 pièces ; 167 segments de mur ; 0 transitions. Inspection physique ; architecture complète encore ouverte.</x:v>
      </x:c>
      <x:c r="H3187" s="115" t="str">
        <x:v>L 484 ; l 500 ; hauteur 6,1 m ; choix de composition auteur ; dimensions réelles à documenter</x:v>
      </x:c>
      <x:c r="I3187" s="115" t="str">
        <x:v>À équilibrer</x:v>
      </x:c>
      <x:c r="J3187" s="115" t="str">
        <x:v>Non</x:v>
      </x:c>
      <x:c r="K3187" s="115" t="str">
        <x:v>Pièces décrites, murs, portes, niveaux et mobilier inspectables à l’échelle. Volumes réservés, raccord au seed, butin, rencontres et services de campagne restent à terminer.</x:v>
      </x:c>
    </x:row>
    <x:row r="3188" ht="96" customHeight="1">
      <x:c r="A3188" s="115" t="str">
        <x:v>EXT-MONDE-T064-V33</x:v>
      </x:c>
      <x:c r="B3188" s="115" t="str">
        <x:v>EXT-MONDE-T064</x:v>
      </x:c>
      <x:c r="C3188" s="115" t="str">
        <x:v>Épuration</x:v>
      </x:c>
      <x:c r="D3188" s="115" t="str">
        <x:v>Usine de potabilisation</x:v>
      </x:c>
      <x:c r="E3188" s="115" t="n">
        <x:v>33</x:v>
      </x:c>
      <x:c r="F3188" s="115" t="str">
        <x:v>Inspection physique</x:v>
      </x:c>
      <x:c r="G3188" s="115" t="str">
        <x:v>1 niveaux ; 22 pièces ; 167 segments de mur ; 0 transitions. Inspection physique ; architecture complète encore ouverte.</x:v>
      </x:c>
      <x:c r="H3188" s="115" t="str">
        <x:v>L 484 ; l 500 ; hauteur 6,1 m ; choix de composition auteur ; dimensions réelles à documenter</x:v>
      </x:c>
      <x:c r="I3188" s="115" t="str">
        <x:v>À équilibrer</x:v>
      </x:c>
      <x:c r="J3188" s="115" t="str">
        <x:v>Non</x:v>
      </x:c>
      <x:c r="K3188" s="115" t="str">
        <x:v>Pièces décrites, murs, portes, niveaux et mobilier inspectables à l’échelle. Volumes réservés, raccord au seed, butin, rencontres et services de campagne restent à terminer.</x:v>
      </x:c>
    </x:row>
    <x:row r="3189" ht="96" customHeight="1">
      <x:c r="A3189" s="115" t="str">
        <x:v>EXT-MONDE-T064-V34</x:v>
      </x:c>
      <x:c r="B3189" s="115" t="str">
        <x:v>EXT-MONDE-T064</x:v>
      </x:c>
      <x:c r="C3189" s="115" t="str">
        <x:v>Épuration</x:v>
      </x:c>
      <x:c r="D3189" s="115" t="str">
        <x:v>Usine de potabilisation</x:v>
      </x:c>
      <x:c r="E3189" s="115" t="n">
        <x:v>34</x:v>
      </x:c>
      <x:c r="F3189" s="115" t="str">
        <x:v>Inspection physique</x:v>
      </x:c>
      <x:c r="G3189" s="115" t="str">
        <x:v>1 niveaux ; 22 pièces ; 167 segments de mur ; 0 transitions. Inspection physique ; architecture complète encore ouverte.</x:v>
      </x:c>
      <x:c r="H3189" s="115" t="str">
        <x:v>L 484 ; l 500 ; hauteur 6,1 m ; choix de composition auteur ; dimensions réelles à documenter</x:v>
      </x:c>
      <x:c r="I3189" s="115" t="str">
        <x:v>À équilibrer</x:v>
      </x:c>
      <x:c r="J3189" s="115" t="str">
        <x:v>Non</x:v>
      </x:c>
      <x:c r="K3189" s="115" t="str">
        <x:v>Pièces décrites, murs, portes, niveaux et mobilier inspectables à l’échelle. Volumes réservés, raccord au seed, butin, rencontres et services de campagne restent à terminer.</x:v>
      </x:c>
    </x:row>
    <x:row r="3190" ht="96" customHeight="1">
      <x:c r="A3190" s="115" t="str">
        <x:v>EXT-MONDE-T064-V35</x:v>
      </x:c>
      <x:c r="B3190" s="115" t="str">
        <x:v>EXT-MONDE-T064</x:v>
      </x:c>
      <x:c r="C3190" s="115" t="str">
        <x:v>Épuration</x:v>
      </x:c>
      <x:c r="D3190" s="115" t="str">
        <x:v>Usine de potabilisation</x:v>
      </x:c>
      <x:c r="E3190" s="115" t="n">
        <x:v>35</x:v>
      </x:c>
      <x:c r="F3190" s="115" t="str">
        <x:v>Inspection physique</x:v>
      </x:c>
      <x:c r="G3190" s="115" t="str">
        <x:v>1 niveaux ; 22 pièces ; 167 segments de mur ; 0 transitions. Inspection physique ; architecture complète encore ouverte.</x:v>
      </x:c>
      <x:c r="H3190" s="115" t="str">
        <x:v>L 484 ; l 500 ; hauteur 6,1 m ; choix de composition auteur ; dimensions réelles à documenter</x:v>
      </x:c>
      <x:c r="I3190" s="115" t="str">
        <x:v>À équilibrer</x:v>
      </x:c>
      <x:c r="J3190" s="115" t="str">
        <x:v>Non</x:v>
      </x:c>
      <x:c r="K3190" s="115" t="str">
        <x:v>Pièces décrites, murs, portes, niveaux et mobilier inspectables à l’échelle. Volumes réservés, raccord au seed, butin, rencontres et services de campagne restent à terminer.</x:v>
      </x:c>
    </x:row>
    <x:row r="3191" ht="96" customHeight="1">
      <x:c r="A3191" s="115" t="str">
        <x:v>EXT-MONDE-T064-V36</x:v>
      </x:c>
      <x:c r="B3191" s="115" t="str">
        <x:v>EXT-MONDE-T064</x:v>
      </x:c>
      <x:c r="C3191" s="115" t="str">
        <x:v>Épuration</x:v>
      </x:c>
      <x:c r="D3191" s="115" t="str">
        <x:v>Usine de potabilisation</x:v>
      </x:c>
      <x:c r="E3191" s="115" t="n">
        <x:v>36</x:v>
      </x:c>
      <x:c r="F3191" s="115" t="str">
        <x:v>Inspection physique</x:v>
      </x:c>
      <x:c r="G3191" s="115" t="str">
        <x:v>1 niveaux ; 22 pièces ; 167 segments de mur ; 0 transitions. Inspection physique ; architecture complète encore ouverte.</x:v>
      </x:c>
      <x:c r="H3191" s="115" t="str">
        <x:v>L 484 ; l 500 ; hauteur 6,1 m ; choix de composition auteur ; dimensions réelles à documenter</x:v>
      </x:c>
      <x:c r="I3191" s="115" t="str">
        <x:v>À équilibrer</x:v>
      </x:c>
      <x:c r="J3191" s="115" t="str">
        <x:v>Non</x:v>
      </x:c>
      <x:c r="K3191" s="115" t="str">
        <x:v>Pièces décrites, murs, portes, niveaux et mobilier inspectables à l’échelle. Volumes réservés, raccord au seed, butin, rencontres et services de campagne restent à terminer.</x:v>
      </x:c>
    </x:row>
    <x:row r="3192" ht="96" customHeight="1">
      <x:c r="A3192" s="115" t="str">
        <x:v>EXT-MONDE-T064-V37</x:v>
      </x:c>
      <x:c r="B3192" s="115" t="str">
        <x:v>EXT-MONDE-T064</x:v>
      </x:c>
      <x:c r="C3192" s="115" t="str">
        <x:v>Épuration</x:v>
      </x:c>
      <x:c r="D3192" s="115" t="str">
        <x:v>Usine de potabilisation</x:v>
      </x:c>
      <x:c r="E3192" s="115" t="n">
        <x:v>37</x:v>
      </x:c>
      <x:c r="F3192" s="115" t="str">
        <x:v>Inspection physique</x:v>
      </x:c>
      <x:c r="G3192" s="115" t="str">
        <x:v>1 niveaux ; 22 pièces ; 167 segments de mur ; 0 transitions. Inspection physique ; architecture complète encore ouverte.</x:v>
      </x:c>
      <x:c r="H3192" s="115" t="str">
        <x:v>L 484 ; l 500 ; hauteur 6,1 m ; choix de composition auteur ; dimensions réelles à documenter</x:v>
      </x:c>
      <x:c r="I3192" s="115" t="str">
        <x:v>À équilibrer</x:v>
      </x:c>
      <x:c r="J3192" s="115" t="str">
        <x:v>Non</x:v>
      </x:c>
      <x:c r="K3192" s="115" t="str">
        <x:v>Pièces décrites, murs, portes, niveaux et mobilier inspectables à l’échelle. Volumes réservés, raccord au seed, butin, rencontres et services de campagne restent à terminer.</x:v>
      </x:c>
    </x:row>
    <x:row r="3193" ht="96" customHeight="1">
      <x:c r="A3193" s="115" t="str">
        <x:v>EXT-MONDE-T064-V38</x:v>
      </x:c>
      <x:c r="B3193" s="115" t="str">
        <x:v>EXT-MONDE-T064</x:v>
      </x:c>
      <x:c r="C3193" s="115" t="str">
        <x:v>Épuration</x:v>
      </x:c>
      <x:c r="D3193" s="115" t="str">
        <x:v>Usine de potabilisation</x:v>
      </x:c>
      <x:c r="E3193" s="115" t="n">
        <x:v>38</x:v>
      </x:c>
      <x:c r="F3193" s="115" t="str">
        <x:v>Inspection physique</x:v>
      </x:c>
      <x:c r="G3193" s="115" t="str">
        <x:v>1 niveaux ; 22 pièces ; 167 segments de mur ; 0 transitions. Inspection physique ; architecture complète encore ouverte.</x:v>
      </x:c>
      <x:c r="H3193" s="115" t="str">
        <x:v>L 484 ; l 500 ; hauteur 6,1 m ; choix de composition auteur ; dimensions réelles à documenter</x:v>
      </x:c>
      <x:c r="I3193" s="115" t="str">
        <x:v>À équilibrer</x:v>
      </x:c>
      <x:c r="J3193" s="115" t="str">
        <x:v>Non</x:v>
      </x:c>
      <x:c r="K3193" s="115" t="str">
        <x:v>Pièces décrites, murs, portes, niveaux et mobilier inspectables à l’échelle. Volumes réservés, raccord au seed, butin, rencontres et services de campagne restent à terminer.</x:v>
      </x:c>
    </x:row>
    <x:row r="3194" ht="96" customHeight="1">
      <x:c r="A3194" s="115" t="str">
        <x:v>EXT-MONDE-T064-V39</x:v>
      </x:c>
      <x:c r="B3194" s="115" t="str">
        <x:v>EXT-MONDE-T064</x:v>
      </x:c>
      <x:c r="C3194" s="115" t="str">
        <x:v>Épuration</x:v>
      </x:c>
      <x:c r="D3194" s="115" t="str">
        <x:v>Usine de potabilisation</x:v>
      </x:c>
      <x:c r="E3194" s="115" t="n">
        <x:v>39</x:v>
      </x:c>
      <x:c r="F3194" s="115" t="str">
        <x:v>Inspection physique</x:v>
      </x:c>
      <x:c r="G3194" s="115" t="str">
        <x:v>1 niveaux ; 22 pièces ; 167 segments de mur ; 0 transitions. Inspection physique ; architecture complète encore ouverte.</x:v>
      </x:c>
      <x:c r="H3194" s="115" t="str">
        <x:v>L 484 ; l 500 ; hauteur 6,1 m ; choix de composition auteur ; dimensions réelles à documenter</x:v>
      </x:c>
      <x:c r="I3194" s="115" t="str">
        <x:v>À équilibrer</x:v>
      </x:c>
      <x:c r="J3194" s="115" t="str">
        <x:v>Non</x:v>
      </x:c>
      <x:c r="K3194" s="115" t="str">
        <x:v>Pièces décrites, murs, portes, niveaux et mobilier inspectables à l’échelle. Volumes réservés, raccord au seed, butin, rencontres et services de campagne restent à terminer.</x:v>
      </x:c>
    </x:row>
    <x:row r="3195" ht="96" customHeight="1">
      <x:c r="A3195" s="115" t="str">
        <x:v>EXT-MONDE-T064-V40</x:v>
      </x:c>
      <x:c r="B3195" s="115" t="str">
        <x:v>EXT-MONDE-T064</x:v>
      </x:c>
      <x:c r="C3195" s="115" t="str">
        <x:v>Épuration</x:v>
      </x:c>
      <x:c r="D3195" s="115" t="str">
        <x:v>Usine de potabilisation</x:v>
      </x:c>
      <x:c r="E3195" s="115" t="n">
        <x:v>40</x:v>
      </x:c>
      <x:c r="F3195" s="115" t="str">
        <x:v>Inspection physique</x:v>
      </x:c>
      <x:c r="G3195" s="115" t="str">
        <x:v>1 niveaux ; 22 pièces ; 167 segments de mur ; 0 transitions. Inspection physique ; architecture complète encore ouverte.</x:v>
      </x:c>
      <x:c r="H3195" s="115" t="str">
        <x:v>L 484 ; l 500 ; hauteur 6,1 m ; choix de composition auteur ; dimensions réelles à documenter</x:v>
      </x:c>
      <x:c r="I3195" s="115" t="str">
        <x:v>À équilibrer</x:v>
      </x:c>
      <x:c r="J3195" s="115" t="str">
        <x:v>Non</x:v>
      </x:c>
      <x:c r="K3195" s="115" t="str">
        <x:v>Pièces décrites, murs, portes, niveaux et mobilier inspectables à l’échelle. Volumes réservés, raccord au seed, butin, rencontres et services de campagne restent à terminer.</x:v>
      </x:c>
    </x:row>
    <x:row r="3196" ht="96" customHeight="1">
      <x:c r="A3196" s="115" t="str">
        <x:v>EXT-MONDE-T064-V41</x:v>
      </x:c>
      <x:c r="B3196" s="115" t="str">
        <x:v>EXT-MONDE-T064</x:v>
      </x:c>
      <x:c r="C3196" s="115" t="str">
        <x:v>Épuration</x:v>
      </x:c>
      <x:c r="D3196" s="115" t="str">
        <x:v>Usine de potabilisation</x:v>
      </x:c>
      <x:c r="E3196" s="115" t="n">
        <x:v>41</x:v>
      </x:c>
      <x:c r="F3196" s="115" t="str">
        <x:v>Inspection physique</x:v>
      </x:c>
      <x:c r="G3196" s="115" t="str">
        <x:v>1 niveaux ; 22 pièces ; 167 segments de mur ; 0 transitions. Inspection physique ; architecture complète encore ouverte.</x:v>
      </x:c>
      <x:c r="H3196" s="115" t="str">
        <x:v>L 502 ; l 520 ; hauteur 6,3 m ; choix de composition auteur ; dimensions réelles à documenter</x:v>
      </x:c>
      <x:c r="I3196" s="115" t="str">
        <x:v>À équilibrer</x:v>
      </x:c>
      <x:c r="J3196" s="115" t="str">
        <x:v>Non</x:v>
      </x:c>
      <x:c r="K3196" s="115" t="str">
        <x:v>Pièces décrites, murs, portes, niveaux et mobilier inspectables à l’échelle. Volumes réservés, raccord au seed, butin, rencontres et services de campagne restent à terminer.</x:v>
      </x:c>
    </x:row>
    <x:row r="3197" ht="96" customHeight="1">
      <x:c r="A3197" s="115" t="str">
        <x:v>EXT-MONDE-T064-V42</x:v>
      </x:c>
      <x:c r="B3197" s="115" t="str">
        <x:v>EXT-MONDE-T064</x:v>
      </x:c>
      <x:c r="C3197" s="115" t="str">
        <x:v>Épuration</x:v>
      </x:c>
      <x:c r="D3197" s="115" t="str">
        <x:v>Usine de potabilisation</x:v>
      </x:c>
      <x:c r="E3197" s="115" t="n">
        <x:v>42</x:v>
      </x:c>
      <x:c r="F3197" s="115" t="str">
        <x:v>Inspection physique</x:v>
      </x:c>
      <x:c r="G3197" s="115" t="str">
        <x:v>1 niveaux ; 22 pièces ; 167 segments de mur ; 0 transitions. Inspection physique ; architecture complète encore ouverte.</x:v>
      </x:c>
      <x:c r="H3197" s="115" t="str">
        <x:v>L 502 ; l 520 ; hauteur 6,3 m ; choix de composition auteur ; dimensions réelles à documenter</x:v>
      </x:c>
      <x:c r="I3197" s="115" t="str">
        <x:v>À équilibrer</x:v>
      </x:c>
      <x:c r="J3197" s="115" t="str">
        <x:v>Non</x:v>
      </x:c>
      <x:c r="K3197" s="115" t="str">
        <x:v>Pièces décrites, murs, portes, niveaux et mobilier inspectables à l’échelle. Volumes réservés, raccord au seed, butin, rencontres et services de campagne restent à terminer.</x:v>
      </x:c>
    </x:row>
    <x:row r="3198" ht="96" customHeight="1">
      <x:c r="A3198" s="115" t="str">
        <x:v>EXT-MONDE-T064-V43</x:v>
      </x:c>
      <x:c r="B3198" s="115" t="str">
        <x:v>EXT-MONDE-T064</x:v>
      </x:c>
      <x:c r="C3198" s="115" t="str">
        <x:v>Épuration</x:v>
      </x:c>
      <x:c r="D3198" s="115" t="str">
        <x:v>Usine de potabilisation</x:v>
      </x:c>
      <x:c r="E3198" s="115" t="n">
        <x:v>43</x:v>
      </x:c>
      <x:c r="F3198" s="115" t="str">
        <x:v>Inspection physique</x:v>
      </x:c>
      <x:c r="G3198" s="115" t="str">
        <x:v>1 niveaux ; 22 pièces ; 167 segments de mur ; 0 transitions. Inspection physique ; architecture complète encore ouverte.</x:v>
      </x:c>
      <x:c r="H3198" s="115" t="str">
        <x:v>L 502 ; l 520 ; hauteur 6,3 m ; choix de composition auteur ; dimensions réelles à documenter</x:v>
      </x:c>
      <x:c r="I3198" s="115" t="str">
        <x:v>À équilibrer</x:v>
      </x:c>
      <x:c r="J3198" s="115" t="str">
        <x:v>Non</x:v>
      </x:c>
      <x:c r="K3198" s="115" t="str">
        <x:v>Pièces décrites, murs, portes, niveaux et mobilier inspectables à l’échelle. Volumes réservés, raccord au seed, butin, rencontres et services de campagne restent à terminer.</x:v>
      </x:c>
    </x:row>
    <x:row r="3199" ht="96" customHeight="1">
      <x:c r="A3199" s="115" t="str">
        <x:v>EXT-MONDE-T064-V44</x:v>
      </x:c>
      <x:c r="B3199" s="115" t="str">
        <x:v>EXT-MONDE-T064</x:v>
      </x:c>
      <x:c r="C3199" s="115" t="str">
        <x:v>Épuration</x:v>
      </x:c>
      <x:c r="D3199" s="115" t="str">
        <x:v>Usine de potabilisation</x:v>
      </x:c>
      <x:c r="E3199" s="115" t="n">
        <x:v>44</x:v>
      </x:c>
      <x:c r="F3199" s="115" t="str">
        <x:v>Inspection physique</x:v>
      </x:c>
      <x:c r="G3199" s="115" t="str">
        <x:v>1 niveaux ; 22 pièces ; 167 segments de mur ; 0 transitions. Inspection physique ; architecture complète encore ouverte.</x:v>
      </x:c>
      <x:c r="H3199" s="115" t="str">
        <x:v>L 502 ; l 520 ; hauteur 6,3 m ; choix de composition auteur ; dimensions réelles à documenter</x:v>
      </x:c>
      <x:c r="I3199" s="115" t="str">
        <x:v>À équilibrer</x:v>
      </x:c>
      <x:c r="J3199" s="115" t="str">
        <x:v>Non</x:v>
      </x:c>
      <x:c r="K3199" s="115" t="str">
        <x:v>Pièces décrites, murs, portes, niveaux et mobilier inspectables à l’échelle. Volumes réservés, raccord au seed, butin, rencontres et services de campagne restent à terminer.</x:v>
      </x:c>
    </x:row>
    <x:row r="3200" ht="96" customHeight="1">
      <x:c r="A3200" s="115" t="str">
        <x:v>EXT-MONDE-T064-V45</x:v>
      </x:c>
      <x:c r="B3200" s="115" t="str">
        <x:v>EXT-MONDE-T064</x:v>
      </x:c>
      <x:c r="C3200" s="115" t="str">
        <x:v>Épuration</x:v>
      </x:c>
      <x:c r="D3200" s="115" t="str">
        <x:v>Usine de potabilisation</x:v>
      </x:c>
      <x:c r="E3200" s="115" t="n">
        <x:v>45</x:v>
      </x:c>
      <x:c r="F3200" s="115" t="str">
        <x:v>Inspection physique</x:v>
      </x:c>
      <x:c r="G3200" s="115" t="str">
        <x:v>1 niveaux ; 22 pièces ; 167 segments de mur ; 0 transitions. Inspection physique ; architecture complète encore ouverte.</x:v>
      </x:c>
      <x:c r="H3200" s="115" t="str">
        <x:v>L 502 ; l 520 ; hauteur 6,3 m ; choix de composition auteur ; dimensions réelles à documenter</x:v>
      </x:c>
      <x:c r="I3200" s="115" t="str">
        <x:v>À équilibrer</x:v>
      </x:c>
      <x:c r="J3200" s="115" t="str">
        <x:v>Non</x:v>
      </x:c>
      <x:c r="K3200" s="115" t="str">
        <x:v>Pièces décrites, murs, portes, niveaux et mobilier inspectables à l’échelle. Volumes réservés, raccord au seed, butin, rencontres et services de campagne restent à terminer.</x:v>
      </x:c>
    </x:row>
    <x:row r="3201" ht="96" customHeight="1">
      <x:c r="A3201" s="115" t="str">
        <x:v>EXT-MONDE-T064-V46</x:v>
      </x:c>
      <x:c r="B3201" s="115" t="str">
        <x:v>EXT-MONDE-T064</x:v>
      </x:c>
      <x:c r="C3201" s="115" t="str">
        <x:v>Épuration</x:v>
      </x:c>
      <x:c r="D3201" s="115" t="str">
        <x:v>Usine de potabilisation</x:v>
      </x:c>
      <x:c r="E3201" s="115" t="n">
        <x:v>46</x:v>
      </x:c>
      <x:c r="F3201" s="115" t="str">
        <x:v>Inspection physique</x:v>
      </x:c>
      <x:c r="G3201" s="115" t="str">
        <x:v>1 niveaux ; 22 pièces ; 167 segments de mur ; 0 transitions. Inspection physique ; architecture complète encore ouverte.</x:v>
      </x:c>
      <x:c r="H3201" s="115" t="str">
        <x:v>L 502 ; l 520 ; hauteur 6,3 m ; choix de composition auteur ; dimensions réelles à documenter</x:v>
      </x:c>
      <x:c r="I3201" s="115" t="str">
        <x:v>À équilibrer</x:v>
      </x:c>
      <x:c r="J3201" s="115" t="str">
        <x:v>Non</x:v>
      </x:c>
      <x:c r="K3201" s="115" t="str">
        <x:v>Pièces décrites, murs, portes, niveaux et mobilier inspectables à l’échelle. Volumes réservés, raccord au seed, butin, rencontres et services de campagne restent à terminer.</x:v>
      </x:c>
    </x:row>
    <x:row r="3202" ht="96" customHeight="1">
      <x:c r="A3202" s="115" t="str">
        <x:v>EXT-MONDE-T064-V47</x:v>
      </x:c>
      <x:c r="B3202" s="115" t="str">
        <x:v>EXT-MONDE-T064</x:v>
      </x:c>
      <x:c r="C3202" s="115" t="str">
        <x:v>Épuration</x:v>
      </x:c>
      <x:c r="D3202" s="115" t="str">
        <x:v>Usine de potabilisation</x:v>
      </x:c>
      <x:c r="E3202" s="115" t="n">
        <x:v>47</x:v>
      </x:c>
      <x:c r="F3202" s="115" t="str">
        <x:v>Inspection physique</x:v>
      </x:c>
      <x:c r="G3202" s="115" t="str">
        <x:v>1 niveaux ; 22 pièces ; 167 segments de mur ; 0 transitions. Inspection physique ; architecture complète encore ouverte.</x:v>
      </x:c>
      <x:c r="H3202" s="115" t="str">
        <x:v>L 502 ; l 520 ; hauteur 6,3 m ; choix de composition auteur ; dimensions réelles à documenter</x:v>
      </x:c>
      <x:c r="I3202" s="115" t="str">
        <x:v>À équilibrer</x:v>
      </x:c>
      <x:c r="J3202" s="115" t="str">
        <x:v>Non</x:v>
      </x:c>
      <x:c r="K3202" s="115" t="str">
        <x:v>Pièces décrites, murs, portes, niveaux et mobilier inspectables à l’échelle. Volumes réservés, raccord au seed, butin, rencontres et services de campagne restent à terminer.</x:v>
      </x:c>
    </x:row>
    <x:row r="3203" ht="96" customHeight="1">
      <x:c r="A3203" s="115" t="str">
        <x:v>EXT-MONDE-T064-V48</x:v>
      </x:c>
      <x:c r="B3203" s="115" t="str">
        <x:v>EXT-MONDE-T064</x:v>
      </x:c>
      <x:c r="C3203" s="115" t="str">
        <x:v>Épuration</x:v>
      </x:c>
      <x:c r="D3203" s="115" t="str">
        <x:v>Usine de potabilisation</x:v>
      </x:c>
      <x:c r="E3203" s="115" t="n">
        <x:v>48</x:v>
      </x:c>
      <x:c r="F3203" s="115" t="str">
        <x:v>Inspection physique</x:v>
      </x:c>
      <x:c r="G3203" s="115" t="str">
        <x:v>1 niveaux ; 22 pièces ; 167 segments de mur ; 0 transitions. Inspection physique ; architecture complète encore ouverte.</x:v>
      </x:c>
      <x:c r="H3203" s="115" t="str">
        <x:v>L 502 ; l 520 ; hauteur 6,3 m ; choix de composition auteur ; dimensions réelles à documenter</x:v>
      </x:c>
      <x:c r="I3203" s="115" t="str">
        <x:v>À équilibrer</x:v>
      </x:c>
      <x:c r="J3203" s="115" t="str">
        <x:v>Non</x:v>
      </x:c>
      <x:c r="K3203" s="115" t="str">
        <x:v>Pièces décrites, murs, portes, niveaux et mobilier inspectables à l’échelle. Volumes réservés, raccord au seed, butin, rencontres et services de campagne restent à terminer.</x:v>
      </x:c>
    </x:row>
    <x:row r="3204" ht="96" customHeight="1">
      <x:c r="A3204" s="115" t="str">
        <x:v>EXT-MONDE-T064-V49</x:v>
      </x:c>
      <x:c r="B3204" s="115" t="str">
        <x:v>EXT-MONDE-T064</x:v>
      </x:c>
      <x:c r="C3204" s="115" t="str">
        <x:v>Épuration</x:v>
      </x:c>
      <x:c r="D3204" s="115" t="str">
        <x:v>Usine de potabilisation</x:v>
      </x:c>
      <x:c r="E3204" s="115" t="n">
        <x:v>49</x:v>
      </x:c>
      <x:c r="F3204" s="115" t="str">
        <x:v>Inspection physique</x:v>
      </x:c>
      <x:c r="G3204" s="115" t="str">
        <x:v>1 niveaux ; 22 pièces ; 167 segments de mur ; 0 transitions. Inspection physique ; architecture complète encore ouverte.</x:v>
      </x:c>
      <x:c r="H3204" s="115" t="str">
        <x:v>L 502 ; l 520 ; hauteur 6,3 m ; choix de composition auteur ; dimensions réelles à documenter</x:v>
      </x:c>
      <x:c r="I3204" s="115" t="str">
        <x:v>À équilibrer</x:v>
      </x:c>
      <x:c r="J3204" s="115" t="str">
        <x:v>Non</x:v>
      </x:c>
      <x:c r="K3204" s="115" t="str">
        <x:v>Pièces décrites, murs, portes, niveaux et mobilier inspectables à l’échelle. Volumes réservés, raccord au seed, butin, rencontres et services de campagne restent à terminer.</x:v>
      </x:c>
    </x:row>
    <x:row r="3205" ht="96" customHeight="1">
      <x:c r="A3205" s="115" t="str">
        <x:v>EXT-MONDE-T064-V50</x:v>
      </x:c>
      <x:c r="B3205" s="115" t="str">
        <x:v>EXT-MONDE-T064</x:v>
      </x:c>
      <x:c r="C3205" s="115" t="str">
        <x:v>Épuration</x:v>
      </x:c>
      <x:c r="D3205" s="115" t="str">
        <x:v>Usine de potabilisation</x:v>
      </x:c>
      <x:c r="E3205" s="115" t="n">
        <x:v>50</x:v>
      </x:c>
      <x:c r="F3205" s="115" t="str">
        <x:v>Inspection physique</x:v>
      </x:c>
      <x:c r="G3205" s="115" t="str">
        <x:v>1 niveaux ; 22 pièces ; 167 segments de mur ; 0 transitions. Inspection physique ; architecture complète encore ouverte.</x:v>
      </x:c>
      <x:c r="H3205" s="115" t="str">
        <x:v>L 502 ; l 520 ; hauteur 6,3 m ; choix de composition auteur ; dimensions réelles à documenter</x:v>
      </x:c>
      <x:c r="I3205" s="115" t="str">
        <x:v>À équilibrer</x:v>
      </x:c>
      <x:c r="J3205" s="115" t="str">
        <x:v>Non</x:v>
      </x:c>
      <x:c r="K3205" s="115" t="str">
        <x:v>Pièces décrites, murs, portes, niveaux et mobilier inspectables à l’échelle. Volumes réservés, raccord au seed, butin, rencontres et services de campagne restent à terminer.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 ht="96" customHeight="1">
      <x:c r="A3306" s="115" t="str">
        <x:v>EXT-MONDE-T067-V01</x:v>
      </x:c>
      <x:c r="B3306" s="115" t="str">
        <x:v>EXT-MONDE-T067</x:v>
      </x:c>
      <x:c r="C3306" s="115" t="str">
        <x:v>Stades</x:v>
      </x:c>
      <x:c r="D3306" s="115" t="str">
        <x:v>Vélodrome</x:v>
      </x:c>
      <x:c r="E3306" s="115" t="n">
        <x:v>1</x:v>
      </x:c>
      <x:c r="F3306" s="115" t="str">
        <x:v>Inspection physique</x:v>
      </x:c>
      <x:c r="G3306" s="115" t="str">
        <x:v>1 niveaux ; 32 pièces ; 248 segments de mur ; 0 transitions. Inspection physique ; architecture complète encore ouverte.</x:v>
      </x:c>
      <x:c r="H3306" s="115" t="str">
        <x:v>L 434 ; l 590 ; hauteur 16 m ; choix de composition auteur ; dimensions réelles à documenter</x:v>
      </x:c>
      <x:c r="I3306" s="115" t="str">
        <x:v>À équilibrer</x:v>
      </x:c>
      <x:c r="J3306" s="115" t="str">
        <x:v>Non</x:v>
      </x:c>
      <x:c r="K3306" s="115" t="str">
        <x:v>Pièces décrites, murs, portes, niveaux et mobilier inspectables à l’échelle. Volumes réservés, raccord au seed, butin, rencontres et services de campagne restent à terminer.</x:v>
      </x:c>
    </x:row>
    <x:row r="3307" ht="96" customHeight="1">
      <x:c r="A3307" s="115" t="str">
        <x:v>EXT-MONDE-T067-V02</x:v>
      </x:c>
      <x:c r="B3307" s="115" t="str">
        <x:v>EXT-MONDE-T067</x:v>
      </x:c>
      <x:c r="C3307" s="115" t="str">
        <x:v>Stades</x:v>
      </x:c>
      <x:c r="D3307" s="115" t="str">
        <x:v>Vélodrome</x:v>
      </x:c>
      <x:c r="E3307" s="115" t="n">
        <x:v>2</x:v>
      </x:c>
      <x:c r="F3307" s="115" t="str">
        <x:v>Inspection physique</x:v>
      </x:c>
      <x:c r="G3307" s="115" t="str">
        <x:v>1 niveaux ; 32 pièces ; 248 segments de mur ; 0 transitions. Inspection physique ; architecture complète encore ouverte.</x:v>
      </x:c>
      <x:c r="H3307" s="115" t="str">
        <x:v>L 434 ; l 590 ; hauteur 16 m ; choix de composition auteur ; dimensions réelles à documenter</x:v>
      </x:c>
      <x:c r="I3307" s="115" t="str">
        <x:v>À équilibrer</x:v>
      </x:c>
      <x:c r="J3307" s="115" t="str">
        <x:v>Non</x:v>
      </x:c>
      <x:c r="K3307" s="115" t="str">
        <x:v>Pièces décrites, murs, portes, niveaux et mobilier inspectables à l’échelle. Volumes réservés, raccord au seed, butin, rencontres et services de campagne restent à terminer.</x:v>
      </x:c>
    </x:row>
    <x:row r="3308" ht="96" customHeight="1">
      <x:c r="A3308" s="115" t="str">
        <x:v>EXT-MONDE-T067-V03</x:v>
      </x:c>
      <x:c r="B3308" s="115" t="str">
        <x:v>EXT-MONDE-T067</x:v>
      </x:c>
      <x:c r="C3308" s="115" t="str">
        <x:v>Stades</x:v>
      </x:c>
      <x:c r="D3308" s="115" t="str">
        <x:v>Vélodrome</x:v>
      </x:c>
      <x:c r="E3308" s="115" t="n">
        <x:v>3</x:v>
      </x:c>
      <x:c r="F3308" s="115" t="str">
        <x:v>Inspection physique</x:v>
      </x:c>
      <x:c r="G3308" s="115" t="str">
        <x:v>1 niveaux ; 32 pièces ; 248 segments de mur ; 0 transitions. Inspection physique ; architecture complète encore ouverte.</x:v>
      </x:c>
      <x:c r="H3308" s="115" t="str">
        <x:v>L 434 ; l 590 ; hauteur 16 m ; choix de composition auteur ; dimensions réelles à documenter</x:v>
      </x:c>
      <x:c r="I3308" s="115" t="str">
        <x:v>À équilibrer</x:v>
      </x:c>
      <x:c r="J3308" s="115" t="str">
        <x:v>Non</x:v>
      </x:c>
      <x:c r="K3308" s="115" t="str">
        <x:v>Pièces décrites, murs, portes, niveaux et mobilier inspectables à l’échelle. Volumes réservés, raccord au seed, butin, rencontres et services de campagne restent à terminer.</x:v>
      </x:c>
    </x:row>
    <x:row r="3309" ht="96" customHeight="1">
      <x:c r="A3309" s="115" t="str">
        <x:v>EXT-MONDE-T067-V04</x:v>
      </x:c>
      <x:c r="B3309" s="115" t="str">
        <x:v>EXT-MONDE-T067</x:v>
      </x:c>
      <x:c r="C3309" s="115" t="str">
        <x:v>Stades</x:v>
      </x:c>
      <x:c r="D3309" s="115" t="str">
        <x:v>Vélodrome</x:v>
      </x:c>
      <x:c r="E3309" s="115" t="n">
        <x:v>4</x:v>
      </x:c>
      <x:c r="F3309" s="115" t="str">
        <x:v>Inspection physique</x:v>
      </x:c>
      <x:c r="G3309" s="115" t="str">
        <x:v>1 niveaux ; 32 pièces ; 248 segments de mur ; 0 transitions. Inspection physique ; architecture complète encore ouverte.</x:v>
      </x:c>
      <x:c r="H3309" s="115" t="str">
        <x:v>L 434 ; l 590 ; hauteur 16 m ; choix de composition auteur ; dimensions réelles à documenter</x:v>
      </x:c>
      <x:c r="I3309" s="115" t="str">
        <x:v>À équilibrer</x:v>
      </x:c>
      <x:c r="J3309" s="115" t="str">
        <x:v>Non</x:v>
      </x:c>
      <x:c r="K3309" s="115" t="str">
        <x:v>Pièces décrites, murs, portes, niveaux et mobilier inspectables à l’échelle. Volumes réservés, raccord au seed, butin, rencontres et services de campagne restent à terminer.</x:v>
      </x:c>
    </x:row>
    <x:row r="3310" ht="96" customHeight="1">
      <x:c r="A3310" s="115" t="str">
        <x:v>EXT-MONDE-T067-V05</x:v>
      </x:c>
      <x:c r="B3310" s="115" t="str">
        <x:v>EXT-MONDE-T067</x:v>
      </x:c>
      <x:c r="C3310" s="115" t="str">
        <x:v>Stades</x:v>
      </x:c>
      <x:c r="D3310" s="115" t="str">
        <x:v>Vélodrome</x:v>
      </x:c>
      <x:c r="E3310" s="115" t="n">
        <x:v>5</x:v>
      </x:c>
      <x:c r="F3310" s="115" t="str">
        <x:v>Inspection physique</x:v>
      </x:c>
      <x:c r="G3310" s="115" t="str">
        <x:v>1 niveaux ; 32 pièces ; 248 segments de mur ; 0 transitions. Inspection physique ; architecture complète encore ouverte.</x:v>
      </x:c>
      <x:c r="H3310" s="115" t="str">
        <x:v>L 434 ; l 590 ; hauteur 16 m ; choix de composition auteur ; dimensions réelles à documenter</x:v>
      </x:c>
      <x:c r="I3310" s="115" t="str">
        <x:v>À équilibrer</x:v>
      </x:c>
      <x:c r="J3310" s="115" t="str">
        <x:v>Non</x:v>
      </x:c>
      <x:c r="K3310" s="115" t="str">
        <x:v>Pièces décrites, murs, portes, niveaux et mobilier inspectables à l’échelle. Volumes réservés, raccord au seed, butin, rencontres et services de campagne restent à terminer.</x:v>
      </x:c>
    </x:row>
    <x:row r="3311" ht="96" customHeight="1">
      <x:c r="A3311" s="115" t="str">
        <x:v>EXT-MONDE-T067-V06</x:v>
      </x:c>
      <x:c r="B3311" s="115" t="str">
        <x:v>EXT-MONDE-T067</x:v>
      </x:c>
      <x:c r="C3311" s="115" t="str">
        <x:v>Stades</x:v>
      </x:c>
      <x:c r="D3311" s="115" t="str">
        <x:v>Vélodrome</x:v>
      </x:c>
      <x:c r="E3311" s="115" t="n">
        <x:v>6</x:v>
      </x:c>
      <x:c r="F3311" s="115" t="str">
        <x:v>Inspection physique</x:v>
      </x:c>
      <x:c r="G3311" s="115" t="str">
        <x:v>1 niveaux ; 32 pièces ; 248 segments de mur ; 0 transitions. Inspection physique ; architecture complète encore ouverte.</x:v>
      </x:c>
      <x:c r="H3311" s="115" t="str">
        <x:v>L 434 ; l 590 ; hauteur 16 m ; choix de composition auteur ; dimensions réelles à documenter</x:v>
      </x:c>
      <x:c r="I3311" s="115" t="str">
        <x:v>À équilibrer</x:v>
      </x:c>
      <x:c r="J3311" s="115" t="str">
        <x:v>Non</x:v>
      </x:c>
      <x:c r="K3311" s="115" t="str">
        <x:v>Pièces décrites, murs, portes, niveaux et mobilier inspectables à l’échelle. Volumes réservés, raccord au seed, butin, rencontres et services de campagne restent à terminer.</x:v>
      </x:c>
    </x:row>
    <x:row r="3312" ht="96" customHeight="1">
      <x:c r="A3312" s="115" t="str">
        <x:v>EXT-MONDE-T067-V07</x:v>
      </x:c>
      <x:c r="B3312" s="115" t="str">
        <x:v>EXT-MONDE-T067</x:v>
      </x:c>
      <x:c r="C3312" s="115" t="str">
        <x:v>Stades</x:v>
      </x:c>
      <x:c r="D3312" s="115" t="str">
        <x:v>Vélodrome</x:v>
      </x:c>
      <x:c r="E3312" s="115" t="n">
        <x:v>7</x:v>
      </x:c>
      <x:c r="F3312" s="115" t="str">
        <x:v>Inspection physique</x:v>
      </x:c>
      <x:c r="G3312" s="115" t="str">
        <x:v>1 niveaux ; 32 pièces ; 248 segments de mur ; 0 transitions. Inspection physique ; architecture complète encore ouverte.</x:v>
      </x:c>
      <x:c r="H3312" s="115" t="str">
        <x:v>L 434 ; l 590 ; hauteur 16 m ; choix de composition auteur ; dimensions réelles à documenter</x:v>
      </x:c>
      <x:c r="I3312" s="115" t="str">
        <x:v>À équilibrer</x:v>
      </x:c>
      <x:c r="J3312" s="115" t="str">
        <x:v>Non</x:v>
      </x:c>
      <x:c r="K3312" s="115" t="str">
        <x:v>Pièces décrites, murs, portes, niveaux et mobilier inspectables à l’échelle. Volumes réservés, raccord au seed, butin, rencontres et services de campagne restent à terminer.</x:v>
      </x:c>
    </x:row>
    <x:row r="3313" ht="96" customHeight="1">
      <x:c r="A3313" s="115" t="str">
        <x:v>EXT-MONDE-T067-V08</x:v>
      </x:c>
      <x:c r="B3313" s="115" t="str">
        <x:v>EXT-MONDE-T067</x:v>
      </x:c>
      <x:c r="C3313" s="115" t="str">
        <x:v>Stades</x:v>
      </x:c>
      <x:c r="D3313" s="115" t="str">
        <x:v>Vélodrome</x:v>
      </x:c>
      <x:c r="E3313" s="115" t="n">
        <x:v>8</x:v>
      </x:c>
      <x:c r="F3313" s="115" t="str">
        <x:v>Inspection physique</x:v>
      </x:c>
      <x:c r="G3313" s="115" t="str">
        <x:v>1 niveaux ; 32 pièces ; 248 segments de mur ; 0 transitions. Inspection physique ; architecture complète encore ouverte.</x:v>
      </x:c>
      <x:c r="H3313" s="115" t="str">
        <x:v>L 434 ; l 590 ; hauteur 16 m ; choix de composition auteur ; dimensions réelles à documenter</x:v>
      </x:c>
      <x:c r="I3313" s="115" t="str">
        <x:v>À équilibrer</x:v>
      </x:c>
      <x:c r="J3313" s="115" t="str">
        <x:v>Non</x:v>
      </x:c>
      <x:c r="K3313" s="115" t="str">
        <x:v>Pièces décrites, murs, portes, niveaux et mobilier inspectables à l’échelle. Volumes réservés, raccord au seed, butin, rencontres et services de campagne restent à terminer.</x:v>
      </x:c>
    </x:row>
    <x:row r="3314" ht="96" customHeight="1">
      <x:c r="A3314" s="115" t="str">
        <x:v>EXT-MONDE-T067-V09</x:v>
      </x:c>
      <x:c r="B3314" s="115" t="str">
        <x:v>EXT-MONDE-T067</x:v>
      </x:c>
      <x:c r="C3314" s="115" t="str">
        <x:v>Stades</x:v>
      </x:c>
      <x:c r="D3314" s="115" t="str">
        <x:v>Vélodrome</x:v>
      </x:c>
      <x:c r="E3314" s="115" t="n">
        <x:v>9</x:v>
      </x:c>
      <x:c r="F3314" s="115" t="str">
        <x:v>Inspection physique</x:v>
      </x:c>
      <x:c r="G3314" s="115" t="str">
        <x:v>1 niveaux ; 32 pièces ; 248 segments de mur ; 0 transitions. Inspection physique ; architecture complète encore ouverte.</x:v>
      </x:c>
      <x:c r="H3314" s="115" t="str">
        <x:v>L 434 ; l 590 ; hauteur 16 m ; choix de composition auteur ; dimensions réelles à documenter</x:v>
      </x:c>
      <x:c r="I3314" s="115" t="str">
        <x:v>À équilibrer</x:v>
      </x:c>
      <x:c r="J3314" s="115" t="str">
        <x:v>Non</x:v>
      </x:c>
      <x:c r="K3314" s="115" t="str">
        <x:v>Pièces décrites, murs, portes, niveaux et mobilier inspectables à l’échelle. Volumes réservés, raccord au seed, butin, rencontres et services de campagne restent à terminer.</x:v>
      </x:c>
    </x:row>
    <x:row r="3315" ht="96" customHeight="1">
      <x:c r="A3315" s="115" t="str">
        <x:v>EXT-MONDE-T067-V10</x:v>
      </x:c>
      <x:c r="B3315" s="115" t="str">
        <x:v>EXT-MONDE-T067</x:v>
      </x:c>
      <x:c r="C3315" s="115" t="str">
        <x:v>Stades</x:v>
      </x:c>
      <x:c r="D3315" s="115" t="str">
        <x:v>Vélodrome</x:v>
      </x:c>
      <x:c r="E3315" s="115" t="n">
        <x:v>10</x:v>
      </x:c>
      <x:c r="F3315" s="115" t="str">
        <x:v>Inspection physique</x:v>
      </x:c>
      <x:c r="G3315" s="115" t="str">
        <x:v>1 niveaux ; 32 pièces ; 248 segments de mur ; 0 transitions. Inspection physique ; architecture complète encore ouverte.</x:v>
      </x:c>
      <x:c r="H3315" s="115" t="str">
        <x:v>L 434 ; l 590 ; hauteur 16 m ; choix de composition auteur ; dimensions réelles à documenter</x:v>
      </x:c>
      <x:c r="I3315" s="115" t="str">
        <x:v>À équilibrer</x:v>
      </x:c>
      <x:c r="J3315" s="115" t="str">
        <x:v>Non</x:v>
      </x:c>
      <x:c r="K3315" s="115" t="str">
        <x:v>Pièces décrites, murs, portes, niveaux et mobilier inspectables à l’échelle. Volumes réservés, raccord au seed, butin, rencontres et services de campagne restent à terminer.</x:v>
      </x:c>
    </x:row>
    <x:row r="3316" ht="96" customHeight="1">
      <x:c r="A3316" s="115" t="str">
        <x:v>EXT-MONDE-T067-V11</x:v>
      </x:c>
      <x:c r="B3316" s="115" t="str">
        <x:v>EXT-MONDE-T067</x:v>
      </x:c>
      <x:c r="C3316" s="115" t="str">
        <x:v>Stades</x:v>
      </x:c>
      <x:c r="D3316" s="115" t="str">
        <x:v>Vélodrome</x:v>
      </x:c>
      <x:c r="E3316" s="115" t="n">
        <x:v>11</x:v>
      </x:c>
      <x:c r="F3316" s="115" t="str">
        <x:v>Inspection physique</x:v>
      </x:c>
      <x:c r="G3316" s="115" t="str">
        <x:v>1 niveaux ; 32 pièces ; 248 segments de mur ; 0 transitions. Inspection physique ; architecture complète encore ouverte.</x:v>
      </x:c>
      <x:c r="H3316" s="115" t="str">
        <x:v>L 446 ; l 598 ; hauteur 16 m ; choix de composition auteur ; dimensions réelles à documenter</x:v>
      </x:c>
      <x:c r="I3316" s="115" t="str">
        <x:v>À équilibrer</x:v>
      </x:c>
      <x:c r="J3316" s="115" t="str">
        <x:v>Non</x:v>
      </x:c>
      <x:c r="K3316" s="115" t="str">
        <x:v>Pièces décrites, murs, portes, niveaux et mobilier inspectables à l’échelle. Volumes réservés, raccord au seed, butin, rencontres et services de campagne restent à terminer.</x:v>
      </x:c>
    </x:row>
    <x:row r="3317" ht="96" customHeight="1">
      <x:c r="A3317" s="115" t="str">
        <x:v>EXT-MONDE-T067-V12</x:v>
      </x:c>
      <x:c r="B3317" s="115" t="str">
        <x:v>EXT-MONDE-T067</x:v>
      </x:c>
      <x:c r="C3317" s="115" t="str">
        <x:v>Stades</x:v>
      </x:c>
      <x:c r="D3317" s="115" t="str">
        <x:v>Vélodrome</x:v>
      </x:c>
      <x:c r="E3317" s="115" t="n">
        <x:v>12</x:v>
      </x:c>
      <x:c r="F3317" s="115" t="str">
        <x:v>Inspection physique</x:v>
      </x:c>
      <x:c r="G3317" s="115" t="str">
        <x:v>1 niveaux ; 32 pièces ; 248 segments de mur ; 0 transitions. Inspection physique ; architecture complète encore ouverte.</x:v>
      </x:c>
      <x:c r="H3317" s="115" t="str">
        <x:v>L 446 ; l 598 ; hauteur 16 m ; choix de composition auteur ; dimensions réelles à documenter</x:v>
      </x:c>
      <x:c r="I3317" s="115" t="str">
        <x:v>À équilibrer</x:v>
      </x:c>
      <x:c r="J3317" s="115" t="str">
        <x:v>Non</x:v>
      </x:c>
      <x:c r="K3317" s="115" t="str">
        <x:v>Pièces décrites, murs, portes, niveaux et mobilier inspectables à l’échelle. Volumes réservés, raccord au seed, butin, rencontres et services de campagne restent à terminer.</x:v>
      </x:c>
    </x:row>
    <x:row r="3318" ht="96" customHeight="1">
      <x:c r="A3318" s="115" t="str">
        <x:v>EXT-MONDE-T067-V13</x:v>
      </x:c>
      <x:c r="B3318" s="115" t="str">
        <x:v>EXT-MONDE-T067</x:v>
      </x:c>
      <x:c r="C3318" s="115" t="str">
        <x:v>Stades</x:v>
      </x:c>
      <x:c r="D3318" s="115" t="str">
        <x:v>Vélodrome</x:v>
      </x:c>
      <x:c r="E3318" s="115" t="n">
        <x:v>13</x:v>
      </x:c>
      <x:c r="F3318" s="115" t="str">
        <x:v>Inspection physique</x:v>
      </x:c>
      <x:c r="G3318" s="115" t="str">
        <x:v>1 niveaux ; 32 pièces ; 248 segments de mur ; 0 transitions. Inspection physique ; architecture complète encore ouverte.</x:v>
      </x:c>
      <x:c r="H3318" s="115" t="str">
        <x:v>L 446 ; l 598 ; hauteur 16 m ; choix de composition auteur ; dimensions réelles à documenter</x:v>
      </x:c>
      <x:c r="I3318" s="115" t="str">
        <x:v>À équilibrer</x:v>
      </x:c>
      <x:c r="J3318" s="115" t="str">
        <x:v>Non</x:v>
      </x:c>
      <x:c r="K3318" s="115" t="str">
        <x:v>Pièces décrites, murs, portes, niveaux et mobilier inspectables à l’échelle. Volumes réservés, raccord au seed, butin, rencontres et services de campagne restent à terminer.</x:v>
      </x:c>
    </x:row>
    <x:row r="3319" ht="96" customHeight="1">
      <x:c r="A3319" s="115" t="str">
        <x:v>EXT-MONDE-T067-V14</x:v>
      </x:c>
      <x:c r="B3319" s="115" t="str">
        <x:v>EXT-MONDE-T067</x:v>
      </x:c>
      <x:c r="C3319" s="115" t="str">
        <x:v>Stades</x:v>
      </x:c>
      <x:c r="D3319" s="115" t="str">
        <x:v>Vélodrome</x:v>
      </x:c>
      <x:c r="E3319" s="115" t="n">
        <x:v>14</x:v>
      </x:c>
      <x:c r="F3319" s="115" t="str">
        <x:v>Inspection physique</x:v>
      </x:c>
      <x:c r="G3319" s="115" t="str">
        <x:v>1 niveaux ; 32 pièces ; 248 segments de mur ; 0 transitions. Inspection physique ; architecture complète encore ouverte.</x:v>
      </x:c>
      <x:c r="H3319" s="115" t="str">
        <x:v>L 446 ; l 598 ; hauteur 16 m ; choix de composition auteur ; dimensions réelles à documenter</x:v>
      </x:c>
      <x:c r="I3319" s="115" t="str">
        <x:v>À équilibrer</x:v>
      </x:c>
      <x:c r="J3319" s="115" t="str">
        <x:v>Non</x:v>
      </x:c>
      <x:c r="K3319" s="115" t="str">
        <x:v>Pièces décrites, murs, portes, niveaux et mobilier inspectables à l’échelle. Volumes réservés, raccord au seed, butin, rencontres et services de campagne restent à terminer.</x:v>
      </x:c>
    </x:row>
    <x:row r="3320" ht="96" customHeight="1">
      <x:c r="A3320" s="115" t="str">
        <x:v>EXT-MONDE-T067-V15</x:v>
      </x:c>
      <x:c r="B3320" s="115" t="str">
        <x:v>EXT-MONDE-T067</x:v>
      </x:c>
      <x:c r="C3320" s="115" t="str">
        <x:v>Stades</x:v>
      </x:c>
      <x:c r="D3320" s="115" t="str">
        <x:v>Vélodrome</x:v>
      </x:c>
      <x:c r="E3320" s="115" t="n">
        <x:v>15</x:v>
      </x:c>
      <x:c r="F3320" s="115" t="str">
        <x:v>Inspection physique</x:v>
      </x:c>
      <x:c r="G3320" s="115" t="str">
        <x:v>1 niveaux ; 32 pièces ; 248 segments de mur ; 0 transitions. Inspection physique ; architecture complète encore ouverte.</x:v>
      </x:c>
      <x:c r="H3320" s="115" t="str">
        <x:v>L 446 ; l 598 ; hauteur 16 m ; choix de composition auteur ; dimensions réelles à documenter</x:v>
      </x:c>
      <x:c r="I3320" s="115" t="str">
        <x:v>À équilibrer</x:v>
      </x:c>
      <x:c r="J3320" s="115" t="str">
        <x:v>Non</x:v>
      </x:c>
      <x:c r="K3320" s="115" t="str">
        <x:v>Pièces décrites, murs, portes, niveaux et mobilier inspectables à l’échelle. Volumes réservés, raccord au seed, butin, rencontres et services de campagne restent à terminer.</x:v>
      </x:c>
    </x:row>
    <x:row r="3321" ht="96" customHeight="1">
      <x:c r="A3321" s="115" t="str">
        <x:v>EXT-MONDE-T067-V16</x:v>
      </x:c>
      <x:c r="B3321" s="115" t="str">
        <x:v>EXT-MONDE-T067</x:v>
      </x:c>
      <x:c r="C3321" s="115" t="str">
        <x:v>Stades</x:v>
      </x:c>
      <x:c r="D3321" s="115" t="str">
        <x:v>Vélodrome</x:v>
      </x:c>
      <x:c r="E3321" s="115" t="n">
        <x:v>16</x:v>
      </x:c>
      <x:c r="F3321" s="115" t="str">
        <x:v>Inspection physique</x:v>
      </x:c>
      <x:c r="G3321" s="115" t="str">
        <x:v>1 niveaux ; 32 pièces ; 248 segments de mur ; 0 transitions. Inspection physique ; architecture complète encore ouverte.</x:v>
      </x:c>
      <x:c r="H3321" s="115" t="str">
        <x:v>L 446 ; l 598 ; hauteur 16 m ; choix de composition auteur ; dimensions réelles à documenter</x:v>
      </x:c>
      <x:c r="I3321" s="115" t="str">
        <x:v>À équilibrer</x:v>
      </x:c>
      <x:c r="J3321" s="115" t="str">
        <x:v>Non</x:v>
      </x:c>
      <x:c r="K3321" s="115" t="str">
        <x:v>Pièces décrites, murs, portes, niveaux et mobilier inspectables à l’échelle. Volumes réservés, raccord au seed, butin, rencontres et services de campagne restent à terminer.</x:v>
      </x:c>
    </x:row>
    <x:row r="3322" ht="96" customHeight="1">
      <x:c r="A3322" s="115" t="str">
        <x:v>EXT-MONDE-T067-V17</x:v>
      </x:c>
      <x:c r="B3322" s="115" t="str">
        <x:v>EXT-MONDE-T067</x:v>
      </x:c>
      <x:c r="C3322" s="115" t="str">
        <x:v>Stades</x:v>
      </x:c>
      <x:c r="D3322" s="115" t="str">
        <x:v>Vélodrome</x:v>
      </x:c>
      <x:c r="E3322" s="115" t="n">
        <x:v>17</x:v>
      </x:c>
      <x:c r="F3322" s="115" t="str">
        <x:v>Inspection physique</x:v>
      </x:c>
      <x:c r="G3322" s="115" t="str">
        <x:v>1 niveaux ; 32 pièces ; 248 segments de mur ; 0 transitions. Inspection physique ; architecture complète encore ouverte.</x:v>
      </x:c>
      <x:c r="H3322" s="115" t="str">
        <x:v>L 446 ; l 598 ; hauteur 16 m ; choix de composition auteur ; dimensions réelles à documenter</x:v>
      </x:c>
      <x:c r="I3322" s="115" t="str">
        <x:v>À équilibrer</x:v>
      </x:c>
      <x:c r="J3322" s="115" t="str">
        <x:v>Non</x:v>
      </x:c>
      <x:c r="K3322" s="115" t="str">
        <x:v>Pièces décrites, murs, portes, niveaux et mobilier inspectables à l’échelle. Volumes réservés, raccord au seed, butin, rencontres et services de campagne restent à terminer.</x:v>
      </x:c>
    </x:row>
    <x:row r="3323" ht="96" customHeight="1">
      <x:c r="A3323" s="115" t="str">
        <x:v>EXT-MONDE-T067-V18</x:v>
      </x:c>
      <x:c r="B3323" s="115" t="str">
        <x:v>EXT-MONDE-T067</x:v>
      </x:c>
      <x:c r="C3323" s="115" t="str">
        <x:v>Stades</x:v>
      </x:c>
      <x:c r="D3323" s="115" t="str">
        <x:v>Vélodrome</x:v>
      </x:c>
      <x:c r="E3323" s="115" t="n">
        <x:v>18</x:v>
      </x:c>
      <x:c r="F3323" s="115" t="str">
        <x:v>Inspection physique</x:v>
      </x:c>
      <x:c r="G3323" s="115" t="str">
        <x:v>1 niveaux ; 32 pièces ; 248 segments de mur ; 0 transitions. Inspection physique ; architecture complète encore ouverte.</x:v>
      </x:c>
      <x:c r="H3323" s="115" t="str">
        <x:v>L 446 ; l 598 ; hauteur 16 m ; choix de composition auteur ; dimensions réelles à documenter</x:v>
      </x:c>
      <x:c r="I3323" s="115" t="str">
        <x:v>À équilibrer</x:v>
      </x:c>
      <x:c r="J3323" s="115" t="str">
        <x:v>Non</x:v>
      </x:c>
      <x:c r="K3323" s="115" t="str">
        <x:v>Pièces décrites, murs, portes, niveaux et mobilier inspectables à l’échelle. Volumes réservés, raccord au seed, butin, rencontres et services de campagne restent à terminer.</x:v>
      </x:c>
    </x:row>
    <x:row r="3324" ht="96" customHeight="1">
      <x:c r="A3324" s="115" t="str">
        <x:v>EXT-MONDE-T067-V19</x:v>
      </x:c>
      <x:c r="B3324" s="115" t="str">
        <x:v>EXT-MONDE-T067</x:v>
      </x:c>
      <x:c r="C3324" s="115" t="str">
        <x:v>Stades</x:v>
      </x:c>
      <x:c r="D3324" s="115" t="str">
        <x:v>Vélodrome</x:v>
      </x:c>
      <x:c r="E3324" s="115" t="n">
        <x:v>19</x:v>
      </x:c>
      <x:c r="F3324" s="115" t="str">
        <x:v>Inspection physique</x:v>
      </x:c>
      <x:c r="G3324" s="115" t="str">
        <x:v>1 niveaux ; 32 pièces ; 248 segments de mur ; 0 transitions. Inspection physique ; architecture complète encore ouverte.</x:v>
      </x:c>
      <x:c r="H3324" s="115" t="str">
        <x:v>L 446 ; l 598 ; hauteur 16 m ; choix de composition auteur ; dimensions réelles à documenter</x:v>
      </x:c>
      <x:c r="I3324" s="115" t="str">
        <x:v>À équilibrer</x:v>
      </x:c>
      <x:c r="J3324" s="115" t="str">
        <x:v>Non</x:v>
      </x:c>
      <x:c r="K3324" s="115" t="str">
        <x:v>Pièces décrites, murs, portes, niveaux et mobilier inspectables à l’échelle. Volumes réservés, raccord au seed, butin, rencontres et services de campagne restent à terminer.</x:v>
      </x:c>
    </x:row>
    <x:row r="3325" ht="96" customHeight="1">
      <x:c r="A3325" s="115" t="str">
        <x:v>EXT-MONDE-T067-V20</x:v>
      </x:c>
      <x:c r="B3325" s="115" t="str">
        <x:v>EXT-MONDE-T067</x:v>
      </x:c>
      <x:c r="C3325" s="115" t="str">
        <x:v>Stades</x:v>
      </x:c>
      <x:c r="D3325" s="115" t="str">
        <x:v>Vélodrome</x:v>
      </x:c>
      <x:c r="E3325" s="115" t="n">
        <x:v>20</x:v>
      </x:c>
      <x:c r="F3325" s="115" t="str">
        <x:v>Inspection physique</x:v>
      </x:c>
      <x:c r="G3325" s="115" t="str">
        <x:v>1 niveaux ; 32 pièces ; 248 segments de mur ; 0 transitions. Inspection physique ; architecture complète encore ouverte.</x:v>
      </x:c>
      <x:c r="H3325" s="115" t="str">
        <x:v>L 446 ; l 598 ; hauteur 16 m ; choix de composition auteur ; dimensions réelles à documenter</x:v>
      </x:c>
      <x:c r="I3325" s="115" t="str">
        <x:v>À équilibrer</x:v>
      </x:c>
      <x:c r="J3325" s="115" t="str">
        <x:v>Non</x:v>
      </x:c>
      <x:c r="K3325" s="115" t="str">
        <x:v>Pièces décrites, murs, portes, niveaux et mobilier inspectables à l’échelle. Volumes réservés, raccord au seed, butin, rencontres et services de campagne restent à terminer.</x:v>
      </x:c>
    </x:row>
    <x:row r="3326" ht="96" customHeight="1">
      <x:c r="A3326" s="115" t="str">
        <x:v>EXT-MONDE-T067-V21</x:v>
      </x:c>
      <x:c r="B3326" s="115" t="str">
        <x:v>EXT-MONDE-T067</x:v>
      </x:c>
      <x:c r="C3326" s="115" t="str">
        <x:v>Stades</x:v>
      </x:c>
      <x:c r="D3326" s="115" t="str">
        <x:v>Vélodrome</x:v>
      </x:c>
      <x:c r="E3326" s="115" t="n">
        <x:v>21</x:v>
      </x:c>
      <x:c r="F3326" s="115" t="str">
        <x:v>Inspection physique</x:v>
      </x:c>
      <x:c r="G3326" s="115" t="str">
        <x:v>1 niveaux ; 32 pièces ; 248 segments de mur ; 0 transitions. Inspection physique ; architecture complète encore ouverte.</x:v>
      </x:c>
      <x:c r="H3326" s="115" t="str">
        <x:v>L 458 ; l 606 ; hauteur 16 m ; choix de composition auteur ; dimensions réelles à documenter</x:v>
      </x:c>
      <x:c r="I3326" s="115" t="str">
        <x:v>À équilibrer</x:v>
      </x:c>
      <x:c r="J3326" s="115" t="str">
        <x:v>Non</x:v>
      </x:c>
      <x:c r="K3326" s="115" t="str">
        <x:v>Pièces décrites, murs, portes, niveaux et mobilier inspectables à l’échelle. Volumes réservés, raccord au seed, butin, rencontres et services de campagne restent à terminer.</x:v>
      </x:c>
    </x:row>
    <x:row r="3327" ht="96" customHeight="1">
      <x:c r="A3327" s="115" t="str">
        <x:v>EXT-MONDE-T067-V22</x:v>
      </x:c>
      <x:c r="B3327" s="115" t="str">
        <x:v>EXT-MONDE-T067</x:v>
      </x:c>
      <x:c r="C3327" s="115" t="str">
        <x:v>Stades</x:v>
      </x:c>
      <x:c r="D3327" s="115" t="str">
        <x:v>Vélodrome</x:v>
      </x:c>
      <x:c r="E3327" s="115" t="n">
        <x:v>22</x:v>
      </x:c>
      <x:c r="F3327" s="115" t="str">
        <x:v>Inspection physique</x:v>
      </x:c>
      <x:c r="G3327" s="115" t="str">
        <x:v>1 niveaux ; 32 pièces ; 248 segments de mur ; 0 transitions. Inspection physique ; architecture complète encore ouverte.</x:v>
      </x:c>
      <x:c r="H3327" s="115" t="str">
        <x:v>L 458 ; l 606 ; hauteur 16 m ; choix de composition auteur ; dimensions réelles à documenter</x:v>
      </x:c>
      <x:c r="I3327" s="115" t="str">
        <x:v>À équilibrer</x:v>
      </x:c>
      <x:c r="J3327" s="115" t="str">
        <x:v>Non</x:v>
      </x:c>
      <x:c r="K3327" s="115" t="str">
        <x:v>Pièces décrites, murs, portes, niveaux et mobilier inspectables à l’échelle. Volumes réservés, raccord au seed, butin, rencontres et services de campagne restent à terminer.</x:v>
      </x:c>
    </x:row>
    <x:row r="3328" ht="96" customHeight="1">
      <x:c r="A3328" s="115" t="str">
        <x:v>EXT-MONDE-T067-V23</x:v>
      </x:c>
      <x:c r="B3328" s="115" t="str">
        <x:v>EXT-MONDE-T067</x:v>
      </x:c>
      <x:c r="C3328" s="115" t="str">
        <x:v>Stades</x:v>
      </x:c>
      <x:c r="D3328" s="115" t="str">
        <x:v>Vélodrome</x:v>
      </x:c>
      <x:c r="E3328" s="115" t="n">
        <x:v>23</x:v>
      </x:c>
      <x:c r="F3328" s="115" t="str">
        <x:v>Inspection physique</x:v>
      </x:c>
      <x:c r="G3328" s="115" t="str">
        <x:v>1 niveaux ; 32 pièces ; 248 segments de mur ; 0 transitions. Inspection physique ; architecture complète encore ouverte.</x:v>
      </x:c>
      <x:c r="H3328" s="115" t="str">
        <x:v>L 458 ; l 606 ; hauteur 16 m ; choix de composition auteur ; dimensions réelles à documenter</x:v>
      </x:c>
      <x:c r="I3328" s="115" t="str">
        <x:v>À équilibrer</x:v>
      </x:c>
      <x:c r="J3328" s="115" t="str">
        <x:v>Non</x:v>
      </x:c>
      <x:c r="K3328" s="115" t="str">
        <x:v>Pièces décrites, murs, portes, niveaux et mobilier inspectables à l’échelle. Volumes réservés, raccord au seed, butin, rencontres et services de campagne restent à terminer.</x:v>
      </x:c>
    </x:row>
    <x:row r="3329" ht="96" customHeight="1">
      <x:c r="A3329" s="115" t="str">
        <x:v>EXT-MONDE-T067-V24</x:v>
      </x:c>
      <x:c r="B3329" s="115" t="str">
        <x:v>EXT-MONDE-T067</x:v>
      </x:c>
      <x:c r="C3329" s="115" t="str">
        <x:v>Stades</x:v>
      </x:c>
      <x:c r="D3329" s="115" t="str">
        <x:v>Vélodrome</x:v>
      </x:c>
      <x:c r="E3329" s="115" t="n">
        <x:v>24</x:v>
      </x:c>
      <x:c r="F3329" s="115" t="str">
        <x:v>Inspection physique</x:v>
      </x:c>
      <x:c r="G3329" s="115" t="str">
        <x:v>1 niveaux ; 32 pièces ; 248 segments de mur ; 0 transitions. Inspection physique ; architecture complète encore ouverte.</x:v>
      </x:c>
      <x:c r="H3329" s="115" t="str">
        <x:v>L 458 ; l 606 ; hauteur 16 m ; choix de composition auteur ; dimensions réelles à documenter</x:v>
      </x:c>
      <x:c r="I3329" s="115" t="str">
        <x:v>À équilibrer</x:v>
      </x:c>
      <x:c r="J3329" s="115" t="str">
        <x:v>Non</x:v>
      </x:c>
      <x:c r="K3329" s="115" t="str">
        <x:v>Pièces décrites, murs, portes, niveaux et mobilier inspectables à l’échelle. Volumes réservés, raccord au seed, butin, rencontres et services de campagne restent à terminer.</x:v>
      </x:c>
    </x:row>
    <x:row r="3330" ht="96" customHeight="1">
      <x:c r="A3330" s="115" t="str">
        <x:v>EXT-MONDE-T067-V25</x:v>
      </x:c>
      <x:c r="B3330" s="115" t="str">
        <x:v>EXT-MONDE-T067</x:v>
      </x:c>
      <x:c r="C3330" s="115" t="str">
        <x:v>Stades</x:v>
      </x:c>
      <x:c r="D3330" s="115" t="str">
        <x:v>Vélodrome</x:v>
      </x:c>
      <x:c r="E3330" s="115" t="n">
        <x:v>25</x:v>
      </x:c>
      <x:c r="F3330" s="115" t="str">
        <x:v>Inspection physique</x:v>
      </x:c>
      <x:c r="G3330" s="115" t="str">
        <x:v>1 niveaux ; 32 pièces ; 248 segments de mur ; 0 transitions. Inspection physique ; architecture complète encore ouverte.</x:v>
      </x:c>
      <x:c r="H3330" s="115" t="str">
        <x:v>L 458 ; l 606 ; hauteur 16 m ; choix de composition auteur ; dimensions réelles à documenter</x:v>
      </x:c>
      <x:c r="I3330" s="115" t="str">
        <x:v>À équilibrer</x:v>
      </x:c>
      <x:c r="J3330" s="115" t="str">
        <x:v>Non</x:v>
      </x:c>
      <x:c r="K3330" s="115" t="str">
        <x:v>Pièces décrites, murs, portes, niveaux et mobilier inspectables à l’échelle. Volumes réservés, raccord au seed, butin, rencontres et services de campagne restent à terminer.</x:v>
      </x:c>
    </x:row>
    <x:row r="3331" ht="96" customHeight="1">
      <x:c r="A3331" s="115" t="str">
        <x:v>EXT-MONDE-T067-V26</x:v>
      </x:c>
      <x:c r="B3331" s="115" t="str">
        <x:v>EXT-MONDE-T067</x:v>
      </x:c>
      <x:c r="C3331" s="115" t="str">
        <x:v>Stades</x:v>
      </x:c>
      <x:c r="D3331" s="115" t="str">
        <x:v>Vélodrome</x:v>
      </x:c>
      <x:c r="E3331" s="115" t="n">
        <x:v>26</x:v>
      </x:c>
      <x:c r="F3331" s="115" t="str">
        <x:v>Inspection physique</x:v>
      </x:c>
      <x:c r="G3331" s="115" t="str">
        <x:v>1 niveaux ; 32 pièces ; 248 segments de mur ; 0 transitions. Inspection physique ; architecture complète encore ouverte.</x:v>
      </x:c>
      <x:c r="H3331" s="115" t="str">
        <x:v>L 458 ; l 606 ; hauteur 16 m ; choix de composition auteur ; dimensions réelles à documenter</x:v>
      </x:c>
      <x:c r="I3331" s="115" t="str">
        <x:v>À équilibrer</x:v>
      </x:c>
      <x:c r="J3331" s="115" t="str">
        <x:v>Non</x:v>
      </x:c>
      <x:c r="K3331" s="115" t="str">
        <x:v>Pièces décrites, murs, portes, niveaux et mobilier inspectables à l’échelle. Volumes réservés, raccord au seed, butin, rencontres et services de campagne restent à terminer.</x:v>
      </x:c>
    </x:row>
    <x:row r="3332" ht="96" customHeight="1">
      <x:c r="A3332" s="115" t="str">
        <x:v>EXT-MONDE-T067-V27</x:v>
      </x:c>
      <x:c r="B3332" s="115" t="str">
        <x:v>EXT-MONDE-T067</x:v>
      </x:c>
      <x:c r="C3332" s="115" t="str">
        <x:v>Stades</x:v>
      </x:c>
      <x:c r="D3332" s="115" t="str">
        <x:v>Vélodrome</x:v>
      </x:c>
      <x:c r="E3332" s="115" t="n">
        <x:v>27</x:v>
      </x:c>
      <x:c r="F3332" s="115" t="str">
        <x:v>Inspection physique</x:v>
      </x:c>
      <x:c r="G3332" s="115" t="str">
        <x:v>1 niveaux ; 32 pièces ; 248 segments de mur ; 0 transitions. Inspection physique ; architecture complète encore ouverte.</x:v>
      </x:c>
      <x:c r="H3332" s="115" t="str">
        <x:v>L 458 ; l 606 ; hauteur 16 m ; choix de composition auteur ; dimensions réelles à documenter</x:v>
      </x:c>
      <x:c r="I3332" s="115" t="str">
        <x:v>À équilibrer</x:v>
      </x:c>
      <x:c r="J3332" s="115" t="str">
        <x:v>Non</x:v>
      </x:c>
      <x:c r="K3332" s="115" t="str">
        <x:v>Pièces décrites, murs, portes, niveaux et mobilier inspectables à l’échelle. Volumes réservés, raccord au seed, butin, rencontres et services de campagne restent à terminer.</x:v>
      </x:c>
    </x:row>
    <x:row r="3333" ht="96" customHeight="1">
      <x:c r="A3333" s="115" t="str">
        <x:v>EXT-MONDE-T067-V28</x:v>
      </x:c>
      <x:c r="B3333" s="115" t="str">
        <x:v>EXT-MONDE-T067</x:v>
      </x:c>
      <x:c r="C3333" s="115" t="str">
        <x:v>Stades</x:v>
      </x:c>
      <x:c r="D3333" s="115" t="str">
        <x:v>Vélodrome</x:v>
      </x:c>
      <x:c r="E3333" s="115" t="n">
        <x:v>28</x:v>
      </x:c>
      <x:c r="F3333" s="115" t="str">
        <x:v>Inspection physique</x:v>
      </x:c>
      <x:c r="G3333" s="115" t="str">
        <x:v>1 niveaux ; 32 pièces ; 248 segments de mur ; 0 transitions. Inspection physique ; architecture complète encore ouverte.</x:v>
      </x:c>
      <x:c r="H3333" s="115" t="str">
        <x:v>L 458 ; l 606 ; hauteur 16 m ; choix de composition auteur ; dimensions réelles à documenter</x:v>
      </x:c>
      <x:c r="I3333" s="115" t="str">
        <x:v>À équilibrer</x:v>
      </x:c>
      <x:c r="J3333" s="115" t="str">
        <x:v>Non</x:v>
      </x:c>
      <x:c r="K3333" s="115" t="str">
        <x:v>Pièces décrites, murs, portes, niveaux et mobilier inspectables à l’échelle. Volumes réservés, raccord au seed, butin, rencontres et services de campagne restent à terminer.</x:v>
      </x:c>
    </x:row>
    <x:row r="3334" ht="96" customHeight="1">
      <x:c r="A3334" s="115" t="str">
        <x:v>EXT-MONDE-T067-V29</x:v>
      </x:c>
      <x:c r="B3334" s="115" t="str">
        <x:v>EXT-MONDE-T067</x:v>
      </x:c>
      <x:c r="C3334" s="115" t="str">
        <x:v>Stades</x:v>
      </x:c>
      <x:c r="D3334" s="115" t="str">
        <x:v>Vélodrome</x:v>
      </x:c>
      <x:c r="E3334" s="115" t="n">
        <x:v>29</x:v>
      </x:c>
      <x:c r="F3334" s="115" t="str">
        <x:v>Inspection physique</x:v>
      </x:c>
      <x:c r="G3334" s="115" t="str">
        <x:v>1 niveaux ; 32 pièces ; 248 segments de mur ; 0 transitions. Inspection physique ; architecture complète encore ouverte.</x:v>
      </x:c>
      <x:c r="H3334" s="115" t="str">
        <x:v>L 458 ; l 606 ; hauteur 16 m ; choix de composition auteur ; dimensions réelles à documenter</x:v>
      </x:c>
      <x:c r="I3334" s="115" t="str">
        <x:v>À équilibrer</x:v>
      </x:c>
      <x:c r="J3334" s="115" t="str">
        <x:v>Non</x:v>
      </x:c>
      <x:c r="K3334" s="115" t="str">
        <x:v>Pièces décrites, murs, portes, niveaux et mobilier inspectables à l’échelle. Volumes réservés, raccord au seed, butin, rencontres et services de campagne restent à terminer.</x:v>
      </x:c>
    </x:row>
    <x:row r="3335" ht="96" customHeight="1">
      <x:c r="A3335" s="115" t="str">
        <x:v>EXT-MONDE-T067-V30</x:v>
      </x:c>
      <x:c r="B3335" s="115" t="str">
        <x:v>EXT-MONDE-T067</x:v>
      </x:c>
      <x:c r="C3335" s="115" t="str">
        <x:v>Stades</x:v>
      </x:c>
      <x:c r="D3335" s="115" t="str">
        <x:v>Vélodrome</x:v>
      </x:c>
      <x:c r="E3335" s="115" t="n">
        <x:v>30</x:v>
      </x:c>
      <x:c r="F3335" s="115" t="str">
        <x:v>Inspection physique</x:v>
      </x:c>
      <x:c r="G3335" s="115" t="str">
        <x:v>1 niveaux ; 32 pièces ; 248 segments de mur ; 0 transitions. Inspection physique ; architecture complète encore ouverte.</x:v>
      </x:c>
      <x:c r="H3335" s="115" t="str">
        <x:v>L 458 ; l 606 ; hauteur 16 m ; choix de composition auteur ; dimensions réelles à documenter</x:v>
      </x:c>
      <x:c r="I3335" s="115" t="str">
        <x:v>À équilibrer</x:v>
      </x:c>
      <x:c r="J3335" s="115" t="str">
        <x:v>Non</x:v>
      </x:c>
      <x:c r="K3335" s="115" t="str">
        <x:v>Pièces décrites, murs, portes, niveaux et mobilier inspectables à l’échelle. Volumes réservés, raccord au seed, butin, rencontres et services de campagne restent à terminer.</x:v>
      </x:c>
    </x:row>
    <x:row r="3336" ht="96" customHeight="1">
      <x:c r="A3336" s="115" t="str">
        <x:v>EXT-MONDE-T067-V31</x:v>
      </x:c>
      <x:c r="B3336" s="115" t="str">
        <x:v>EXT-MONDE-T067</x:v>
      </x:c>
      <x:c r="C3336" s="115" t="str">
        <x:v>Stades</x:v>
      </x:c>
      <x:c r="D3336" s="115" t="str">
        <x:v>Vélodrome</x:v>
      </x:c>
      <x:c r="E3336" s="115" t="n">
        <x:v>31</x:v>
      </x:c>
      <x:c r="F3336" s="115" t="str">
        <x:v>Inspection physique</x:v>
      </x:c>
      <x:c r="G3336" s="115" t="str">
        <x:v>1 niveaux ; 32 pièces ; 248 segments de mur ; 0 transitions. Inspection physique ; architecture complète encore ouverte.</x:v>
      </x:c>
      <x:c r="H3336" s="115" t="str">
        <x:v>L 470 ; l 614 ; hauteur 16 m ; choix de composition auteur ; dimensions réelles à documenter</x:v>
      </x:c>
      <x:c r="I3336" s="115" t="str">
        <x:v>À équilibrer</x:v>
      </x:c>
      <x:c r="J3336" s="115" t="str">
        <x:v>Non</x:v>
      </x:c>
      <x:c r="K3336" s="115" t="str">
        <x:v>Pièces décrites, murs, portes, niveaux et mobilier inspectables à l’échelle. Volumes réservés, raccord au seed, butin, rencontres et services de campagne restent à terminer.</x:v>
      </x:c>
    </x:row>
    <x:row r="3337" ht="96" customHeight="1">
      <x:c r="A3337" s="115" t="str">
        <x:v>EXT-MONDE-T067-V32</x:v>
      </x:c>
      <x:c r="B3337" s="115" t="str">
        <x:v>EXT-MONDE-T067</x:v>
      </x:c>
      <x:c r="C3337" s="115" t="str">
        <x:v>Stades</x:v>
      </x:c>
      <x:c r="D3337" s="115" t="str">
        <x:v>Vélodrome</x:v>
      </x:c>
      <x:c r="E3337" s="115" t="n">
        <x:v>32</x:v>
      </x:c>
      <x:c r="F3337" s="115" t="str">
        <x:v>Inspection physique</x:v>
      </x:c>
      <x:c r="G3337" s="115" t="str">
        <x:v>1 niveaux ; 32 pièces ; 248 segments de mur ; 0 transitions. Inspection physique ; architecture complète encore ouverte.</x:v>
      </x:c>
      <x:c r="H3337" s="115" t="str">
        <x:v>L 470 ; l 614 ; hauteur 16 m ; choix de composition auteur ; dimensions réelles à documenter</x:v>
      </x:c>
      <x:c r="I3337" s="115" t="str">
        <x:v>À équilibrer</x:v>
      </x:c>
      <x:c r="J3337" s="115" t="str">
        <x:v>Non</x:v>
      </x:c>
      <x:c r="K3337" s="115" t="str">
        <x:v>Pièces décrites, murs, portes, niveaux et mobilier inspectables à l’échelle. Volumes réservés, raccord au seed, butin, rencontres et services de campagne restent à terminer.</x:v>
      </x:c>
    </x:row>
    <x:row r="3338" ht="96" customHeight="1">
      <x:c r="A3338" s="115" t="str">
        <x:v>EXT-MONDE-T067-V33</x:v>
      </x:c>
      <x:c r="B3338" s="115" t="str">
        <x:v>EXT-MONDE-T067</x:v>
      </x:c>
      <x:c r="C3338" s="115" t="str">
        <x:v>Stades</x:v>
      </x:c>
      <x:c r="D3338" s="115" t="str">
        <x:v>Vélodrome</x:v>
      </x:c>
      <x:c r="E3338" s="115" t="n">
        <x:v>33</x:v>
      </x:c>
      <x:c r="F3338" s="115" t="str">
        <x:v>Inspection physique</x:v>
      </x:c>
      <x:c r="G3338" s="115" t="str">
        <x:v>1 niveaux ; 32 pièces ; 248 segments de mur ; 0 transitions. Inspection physique ; architecture complète encore ouverte.</x:v>
      </x:c>
      <x:c r="H3338" s="115" t="str">
        <x:v>L 470 ; l 614 ; hauteur 16 m ; choix de composition auteur ; dimensions réelles à documenter</x:v>
      </x:c>
      <x:c r="I3338" s="115" t="str">
        <x:v>À équilibrer</x:v>
      </x:c>
      <x:c r="J3338" s="115" t="str">
        <x:v>Non</x:v>
      </x:c>
      <x:c r="K3338" s="115" t="str">
        <x:v>Pièces décrites, murs, portes, niveaux et mobilier inspectables à l’échelle. Volumes réservés, raccord au seed, butin, rencontres et services de campagne restent à terminer.</x:v>
      </x:c>
    </x:row>
    <x:row r="3339" ht="96" customHeight="1">
      <x:c r="A3339" s="115" t="str">
        <x:v>EXT-MONDE-T067-V34</x:v>
      </x:c>
      <x:c r="B3339" s="115" t="str">
        <x:v>EXT-MONDE-T067</x:v>
      </x:c>
      <x:c r="C3339" s="115" t="str">
        <x:v>Stades</x:v>
      </x:c>
      <x:c r="D3339" s="115" t="str">
        <x:v>Vélodrome</x:v>
      </x:c>
      <x:c r="E3339" s="115" t="n">
        <x:v>34</x:v>
      </x:c>
      <x:c r="F3339" s="115" t="str">
        <x:v>Inspection physique</x:v>
      </x:c>
      <x:c r="G3339" s="115" t="str">
        <x:v>1 niveaux ; 32 pièces ; 248 segments de mur ; 0 transitions. Inspection physique ; architecture complète encore ouverte.</x:v>
      </x:c>
      <x:c r="H3339" s="115" t="str">
        <x:v>L 470 ; l 614 ; hauteur 16 m ; choix de composition auteur ; dimensions réelles à documenter</x:v>
      </x:c>
      <x:c r="I3339" s="115" t="str">
        <x:v>À équilibrer</x:v>
      </x:c>
      <x:c r="J3339" s="115" t="str">
        <x:v>Non</x:v>
      </x:c>
      <x:c r="K3339" s="115" t="str">
        <x:v>Pièces décrites, murs, portes, niveaux et mobilier inspectables à l’échelle. Volumes réservés, raccord au seed, butin, rencontres et services de campagne restent à terminer.</x:v>
      </x:c>
    </x:row>
    <x:row r="3340" ht="96" customHeight="1">
      <x:c r="A3340" s="115" t="str">
        <x:v>EXT-MONDE-T067-V35</x:v>
      </x:c>
      <x:c r="B3340" s="115" t="str">
        <x:v>EXT-MONDE-T067</x:v>
      </x:c>
      <x:c r="C3340" s="115" t="str">
        <x:v>Stades</x:v>
      </x:c>
      <x:c r="D3340" s="115" t="str">
        <x:v>Vélodrome</x:v>
      </x:c>
      <x:c r="E3340" s="115" t="n">
        <x:v>35</x:v>
      </x:c>
      <x:c r="F3340" s="115" t="str">
        <x:v>Inspection physique</x:v>
      </x:c>
      <x:c r="G3340" s="115" t="str">
        <x:v>1 niveaux ; 32 pièces ; 248 segments de mur ; 0 transitions. Inspection physique ; architecture complète encore ouverte.</x:v>
      </x:c>
      <x:c r="H3340" s="115" t="str">
        <x:v>L 470 ; l 614 ; hauteur 16 m ; choix de composition auteur ; dimensions réelles à documenter</x:v>
      </x:c>
      <x:c r="I3340" s="115" t="str">
        <x:v>À équilibrer</x:v>
      </x:c>
      <x:c r="J3340" s="115" t="str">
        <x:v>Non</x:v>
      </x:c>
      <x:c r="K3340" s="115" t="str">
        <x:v>Pièces décrites, murs, portes, niveaux et mobilier inspectables à l’échelle. Volumes réservés, raccord au seed, butin, rencontres et services de campagne restent à terminer.</x:v>
      </x:c>
    </x:row>
    <x:row r="3341" ht="96" customHeight="1">
      <x:c r="A3341" s="115" t="str">
        <x:v>EXT-MONDE-T067-V36</x:v>
      </x:c>
      <x:c r="B3341" s="115" t="str">
        <x:v>EXT-MONDE-T067</x:v>
      </x:c>
      <x:c r="C3341" s="115" t="str">
        <x:v>Stades</x:v>
      </x:c>
      <x:c r="D3341" s="115" t="str">
        <x:v>Vélodrome</x:v>
      </x:c>
      <x:c r="E3341" s="115" t="n">
        <x:v>36</x:v>
      </x:c>
      <x:c r="F3341" s="115" t="str">
        <x:v>Inspection physique</x:v>
      </x:c>
      <x:c r="G3341" s="115" t="str">
        <x:v>1 niveaux ; 32 pièces ; 248 segments de mur ; 0 transitions. Inspection physique ; architecture complète encore ouverte.</x:v>
      </x:c>
      <x:c r="H3341" s="115" t="str">
        <x:v>L 470 ; l 614 ; hauteur 16 m ; choix de composition auteur ; dimensions réelles à documenter</x:v>
      </x:c>
      <x:c r="I3341" s="115" t="str">
        <x:v>À équilibrer</x:v>
      </x:c>
      <x:c r="J3341" s="115" t="str">
        <x:v>Non</x:v>
      </x:c>
      <x:c r="K3341" s="115" t="str">
        <x:v>Pièces décrites, murs, portes, niveaux et mobilier inspectables à l’échelle. Volumes réservés, raccord au seed, butin, rencontres et services de campagne restent à terminer.</x:v>
      </x:c>
    </x:row>
    <x:row r="3342" ht="96" customHeight="1">
      <x:c r="A3342" s="115" t="str">
        <x:v>EXT-MONDE-T067-V37</x:v>
      </x:c>
      <x:c r="B3342" s="115" t="str">
        <x:v>EXT-MONDE-T067</x:v>
      </x:c>
      <x:c r="C3342" s="115" t="str">
        <x:v>Stades</x:v>
      </x:c>
      <x:c r="D3342" s="115" t="str">
        <x:v>Vélodrome</x:v>
      </x:c>
      <x:c r="E3342" s="115" t="n">
        <x:v>37</x:v>
      </x:c>
      <x:c r="F3342" s="115" t="str">
        <x:v>Inspection physique</x:v>
      </x:c>
      <x:c r="G3342" s="115" t="str">
        <x:v>1 niveaux ; 32 pièces ; 248 segments de mur ; 0 transitions. Inspection physique ; architecture complète encore ouverte.</x:v>
      </x:c>
      <x:c r="H3342" s="115" t="str">
        <x:v>L 470 ; l 614 ; hauteur 16 m ; choix de composition auteur ; dimensions réelles à documenter</x:v>
      </x:c>
      <x:c r="I3342" s="115" t="str">
        <x:v>À équilibrer</x:v>
      </x:c>
      <x:c r="J3342" s="115" t="str">
        <x:v>Non</x:v>
      </x:c>
      <x:c r="K3342" s="115" t="str">
        <x:v>Pièces décrites, murs, portes, niveaux et mobilier inspectables à l’échelle. Volumes réservés, raccord au seed, butin, rencontres et services de campagne restent à terminer.</x:v>
      </x:c>
    </x:row>
    <x:row r="3343" ht="96" customHeight="1">
      <x:c r="A3343" s="115" t="str">
        <x:v>EXT-MONDE-T067-V38</x:v>
      </x:c>
      <x:c r="B3343" s="115" t="str">
        <x:v>EXT-MONDE-T067</x:v>
      </x:c>
      <x:c r="C3343" s="115" t="str">
        <x:v>Stades</x:v>
      </x:c>
      <x:c r="D3343" s="115" t="str">
        <x:v>Vélodrome</x:v>
      </x:c>
      <x:c r="E3343" s="115" t="n">
        <x:v>38</x:v>
      </x:c>
      <x:c r="F3343" s="115" t="str">
        <x:v>Inspection physique</x:v>
      </x:c>
      <x:c r="G3343" s="115" t="str">
        <x:v>1 niveaux ; 32 pièces ; 248 segments de mur ; 0 transitions. Inspection physique ; architecture complète encore ouverte.</x:v>
      </x:c>
      <x:c r="H3343" s="115" t="str">
        <x:v>L 470 ; l 614 ; hauteur 16 m ; choix de composition auteur ; dimensions réelles à documenter</x:v>
      </x:c>
      <x:c r="I3343" s="115" t="str">
        <x:v>À équilibrer</x:v>
      </x:c>
      <x:c r="J3343" s="115" t="str">
        <x:v>Non</x:v>
      </x:c>
      <x:c r="K3343" s="115" t="str">
        <x:v>Pièces décrites, murs, portes, niveaux et mobilier inspectables à l’échelle. Volumes réservés, raccord au seed, butin, rencontres et services de campagne restent à terminer.</x:v>
      </x:c>
    </x:row>
    <x:row r="3344" ht="96" customHeight="1">
      <x:c r="A3344" s="115" t="str">
        <x:v>EXT-MONDE-T067-V39</x:v>
      </x:c>
      <x:c r="B3344" s="115" t="str">
        <x:v>EXT-MONDE-T067</x:v>
      </x:c>
      <x:c r="C3344" s="115" t="str">
        <x:v>Stades</x:v>
      </x:c>
      <x:c r="D3344" s="115" t="str">
        <x:v>Vélodrome</x:v>
      </x:c>
      <x:c r="E3344" s="115" t="n">
        <x:v>39</x:v>
      </x:c>
      <x:c r="F3344" s="115" t="str">
        <x:v>Inspection physique</x:v>
      </x:c>
      <x:c r="G3344" s="115" t="str">
        <x:v>1 niveaux ; 32 pièces ; 248 segments de mur ; 0 transitions. Inspection physique ; architecture complète encore ouverte.</x:v>
      </x:c>
      <x:c r="H3344" s="115" t="str">
        <x:v>L 470 ; l 614 ; hauteur 16 m ; choix de composition auteur ; dimensions réelles à documenter</x:v>
      </x:c>
      <x:c r="I3344" s="115" t="str">
        <x:v>À équilibrer</x:v>
      </x:c>
      <x:c r="J3344" s="115" t="str">
        <x:v>Non</x:v>
      </x:c>
      <x:c r="K3344" s="115" t="str">
        <x:v>Pièces décrites, murs, portes, niveaux et mobilier inspectables à l’échelle. Volumes réservés, raccord au seed, butin, rencontres et services de campagne restent à terminer.</x:v>
      </x:c>
    </x:row>
    <x:row r="3345" ht="96" customHeight="1">
      <x:c r="A3345" s="115" t="str">
        <x:v>EXT-MONDE-T067-V40</x:v>
      </x:c>
      <x:c r="B3345" s="115" t="str">
        <x:v>EXT-MONDE-T067</x:v>
      </x:c>
      <x:c r="C3345" s="115" t="str">
        <x:v>Stades</x:v>
      </x:c>
      <x:c r="D3345" s="115" t="str">
        <x:v>Vélodrome</x:v>
      </x:c>
      <x:c r="E3345" s="115" t="n">
        <x:v>40</x:v>
      </x:c>
      <x:c r="F3345" s="115" t="str">
        <x:v>Inspection physique</x:v>
      </x:c>
      <x:c r="G3345" s="115" t="str">
        <x:v>1 niveaux ; 32 pièces ; 248 segments de mur ; 0 transitions. Inspection physique ; architecture complète encore ouverte.</x:v>
      </x:c>
      <x:c r="H3345" s="115" t="str">
        <x:v>L 470 ; l 614 ; hauteur 16 m ; choix de composition auteur ; dimensions réelles à documenter</x:v>
      </x:c>
      <x:c r="I3345" s="115" t="str">
        <x:v>À équilibrer</x:v>
      </x:c>
      <x:c r="J3345" s="115" t="str">
        <x:v>Non</x:v>
      </x:c>
      <x:c r="K3345" s="115" t="str">
        <x:v>Pièces décrites, murs, portes, niveaux et mobilier inspectables à l’échelle. Volumes réservés, raccord au seed, butin, rencontres et services de campagne restent à terminer.</x:v>
      </x:c>
    </x:row>
    <x:row r="3346" ht="96" customHeight="1">
      <x:c r="A3346" s="115" t="str">
        <x:v>EXT-MONDE-T067-V41</x:v>
      </x:c>
      <x:c r="B3346" s="115" t="str">
        <x:v>EXT-MONDE-T067</x:v>
      </x:c>
      <x:c r="C3346" s="115" t="str">
        <x:v>Stades</x:v>
      </x:c>
      <x:c r="D3346" s="115" t="str">
        <x:v>Vélodrome</x:v>
      </x:c>
      <x:c r="E3346" s="115" t="n">
        <x:v>41</x:v>
      </x:c>
      <x:c r="F3346" s="115" t="str">
        <x:v>Inspection physique</x:v>
      </x:c>
      <x:c r="G3346" s="115" t="str">
        <x:v>1 niveaux ; 32 pièces ; 248 segments de mur ; 0 transitions. Inspection physique ; architecture complète encore ouverte.</x:v>
      </x:c>
      <x:c r="H3346" s="115" t="str">
        <x:v>L 482 ; l 622 ; hauteur 16 m ; choix de composition auteur ; dimensions réelles à documenter</x:v>
      </x:c>
      <x:c r="I3346" s="115" t="str">
        <x:v>À équilibrer</x:v>
      </x:c>
      <x:c r="J3346" s="115" t="str">
        <x:v>Non</x:v>
      </x:c>
      <x:c r="K3346" s="115" t="str">
        <x:v>Pièces décrites, murs, portes, niveaux et mobilier inspectables à l’échelle. Volumes réservés, raccord au seed, butin, rencontres et services de campagne restent à terminer.</x:v>
      </x:c>
    </x:row>
    <x:row r="3347" ht="96" customHeight="1">
      <x:c r="A3347" s="115" t="str">
        <x:v>EXT-MONDE-T067-V42</x:v>
      </x:c>
      <x:c r="B3347" s="115" t="str">
        <x:v>EXT-MONDE-T067</x:v>
      </x:c>
      <x:c r="C3347" s="115" t="str">
        <x:v>Stades</x:v>
      </x:c>
      <x:c r="D3347" s="115" t="str">
        <x:v>Vélodrome</x:v>
      </x:c>
      <x:c r="E3347" s="115" t="n">
        <x:v>42</x:v>
      </x:c>
      <x:c r="F3347" s="115" t="str">
        <x:v>Inspection physique</x:v>
      </x:c>
      <x:c r="G3347" s="115" t="str">
        <x:v>1 niveaux ; 32 pièces ; 248 segments de mur ; 0 transitions. Inspection physique ; architecture complète encore ouverte.</x:v>
      </x:c>
      <x:c r="H3347" s="115" t="str">
        <x:v>L 482 ; l 622 ; hauteur 16 m ; choix de composition auteur ; dimensions réelles à documenter</x:v>
      </x:c>
      <x:c r="I3347" s="115" t="str">
        <x:v>À équilibrer</x:v>
      </x:c>
      <x:c r="J3347" s="115" t="str">
        <x:v>Non</x:v>
      </x:c>
      <x:c r="K3347" s="115" t="str">
        <x:v>Pièces décrites, murs, portes, niveaux et mobilier inspectables à l’échelle. Volumes réservés, raccord au seed, butin, rencontres et services de campagne restent à terminer.</x:v>
      </x:c>
    </x:row>
    <x:row r="3348" ht="96" customHeight="1">
      <x:c r="A3348" s="115" t="str">
        <x:v>EXT-MONDE-T067-V43</x:v>
      </x:c>
      <x:c r="B3348" s="115" t="str">
        <x:v>EXT-MONDE-T067</x:v>
      </x:c>
      <x:c r="C3348" s="115" t="str">
        <x:v>Stades</x:v>
      </x:c>
      <x:c r="D3348" s="115" t="str">
        <x:v>Vélodrome</x:v>
      </x:c>
      <x:c r="E3348" s="115" t="n">
        <x:v>43</x:v>
      </x:c>
      <x:c r="F3348" s="115" t="str">
        <x:v>Inspection physique</x:v>
      </x:c>
      <x:c r="G3348" s="115" t="str">
        <x:v>1 niveaux ; 32 pièces ; 248 segments de mur ; 0 transitions. Inspection physique ; architecture complète encore ouverte.</x:v>
      </x:c>
      <x:c r="H3348" s="115" t="str">
        <x:v>L 482 ; l 622 ; hauteur 16 m ; choix de composition auteur ; dimensions réelles à documenter</x:v>
      </x:c>
      <x:c r="I3348" s="115" t="str">
        <x:v>À équilibrer</x:v>
      </x:c>
      <x:c r="J3348" s="115" t="str">
        <x:v>Non</x:v>
      </x:c>
      <x:c r="K3348" s="115" t="str">
        <x:v>Pièces décrites, murs, portes, niveaux et mobilier inspectables à l’échelle. Volumes réservés, raccord au seed, butin, rencontres et services de campagne restent à terminer.</x:v>
      </x:c>
    </x:row>
    <x:row r="3349" ht="96" customHeight="1">
      <x:c r="A3349" s="115" t="str">
        <x:v>EXT-MONDE-T067-V44</x:v>
      </x:c>
      <x:c r="B3349" s="115" t="str">
        <x:v>EXT-MONDE-T067</x:v>
      </x:c>
      <x:c r="C3349" s="115" t="str">
        <x:v>Stades</x:v>
      </x:c>
      <x:c r="D3349" s="115" t="str">
        <x:v>Vélodrome</x:v>
      </x:c>
      <x:c r="E3349" s="115" t="n">
        <x:v>44</x:v>
      </x:c>
      <x:c r="F3349" s="115" t="str">
        <x:v>Inspection physique</x:v>
      </x:c>
      <x:c r="G3349" s="115" t="str">
        <x:v>1 niveaux ; 32 pièces ; 248 segments de mur ; 0 transitions. Inspection physique ; architecture complète encore ouverte.</x:v>
      </x:c>
      <x:c r="H3349" s="115" t="str">
        <x:v>L 482 ; l 622 ; hauteur 16 m ; choix de composition auteur ; dimensions réelles à documenter</x:v>
      </x:c>
      <x:c r="I3349" s="115" t="str">
        <x:v>À équilibrer</x:v>
      </x:c>
      <x:c r="J3349" s="115" t="str">
        <x:v>Non</x:v>
      </x:c>
      <x:c r="K3349" s="115" t="str">
        <x:v>Pièces décrites, murs, portes, niveaux et mobilier inspectables à l’échelle. Volumes réservés, raccord au seed, butin, rencontres et services de campagne restent à terminer.</x:v>
      </x:c>
    </x:row>
    <x:row r="3350" ht="96" customHeight="1">
      <x:c r="A3350" s="115" t="str">
        <x:v>EXT-MONDE-T067-V45</x:v>
      </x:c>
      <x:c r="B3350" s="115" t="str">
        <x:v>EXT-MONDE-T067</x:v>
      </x:c>
      <x:c r="C3350" s="115" t="str">
        <x:v>Stades</x:v>
      </x:c>
      <x:c r="D3350" s="115" t="str">
        <x:v>Vélodrome</x:v>
      </x:c>
      <x:c r="E3350" s="115" t="n">
        <x:v>45</x:v>
      </x:c>
      <x:c r="F3350" s="115" t="str">
        <x:v>Inspection physique</x:v>
      </x:c>
      <x:c r="G3350" s="115" t="str">
        <x:v>1 niveaux ; 32 pièces ; 248 segments de mur ; 0 transitions. Inspection physique ; architecture complète encore ouverte.</x:v>
      </x:c>
      <x:c r="H3350" s="115" t="str">
        <x:v>L 482 ; l 622 ; hauteur 16 m ; choix de composition auteur ; dimensions réelles à documenter</x:v>
      </x:c>
      <x:c r="I3350" s="115" t="str">
        <x:v>À équilibrer</x:v>
      </x:c>
      <x:c r="J3350" s="115" t="str">
        <x:v>Non</x:v>
      </x:c>
      <x:c r="K3350" s="115" t="str">
        <x:v>Pièces décrites, murs, portes, niveaux et mobilier inspectables à l’échelle. Volumes réservés, raccord au seed, butin, rencontres et services de campagne restent à terminer.</x:v>
      </x:c>
    </x:row>
    <x:row r="3351" ht="96" customHeight="1">
      <x:c r="A3351" s="115" t="str">
        <x:v>EXT-MONDE-T067-V46</x:v>
      </x:c>
      <x:c r="B3351" s="115" t="str">
        <x:v>EXT-MONDE-T067</x:v>
      </x:c>
      <x:c r="C3351" s="115" t="str">
        <x:v>Stades</x:v>
      </x:c>
      <x:c r="D3351" s="115" t="str">
        <x:v>Vélodrome</x:v>
      </x:c>
      <x:c r="E3351" s="115" t="n">
        <x:v>46</x:v>
      </x:c>
      <x:c r="F3351" s="115" t="str">
        <x:v>Inspection physique</x:v>
      </x:c>
      <x:c r="G3351" s="115" t="str">
        <x:v>1 niveaux ; 32 pièces ; 248 segments de mur ; 0 transitions. Inspection physique ; architecture complète encore ouverte.</x:v>
      </x:c>
      <x:c r="H3351" s="115" t="str">
        <x:v>L 482 ; l 622 ; hauteur 16 m ; choix de composition auteur ; dimensions réelles à documenter</x:v>
      </x:c>
      <x:c r="I3351" s="115" t="str">
        <x:v>À équilibrer</x:v>
      </x:c>
      <x:c r="J3351" s="115" t="str">
        <x:v>Non</x:v>
      </x:c>
      <x:c r="K3351" s="115" t="str">
        <x:v>Pièces décrites, murs, portes, niveaux et mobilier inspectables à l’échelle. Volumes réservés, raccord au seed, butin, rencontres et services de campagne restent à terminer.</x:v>
      </x:c>
    </x:row>
    <x:row r="3352" ht="96" customHeight="1">
      <x:c r="A3352" s="115" t="str">
        <x:v>EXT-MONDE-T067-V47</x:v>
      </x:c>
      <x:c r="B3352" s="115" t="str">
        <x:v>EXT-MONDE-T067</x:v>
      </x:c>
      <x:c r="C3352" s="115" t="str">
        <x:v>Stades</x:v>
      </x:c>
      <x:c r="D3352" s="115" t="str">
        <x:v>Vélodrome</x:v>
      </x:c>
      <x:c r="E3352" s="115" t="n">
        <x:v>47</x:v>
      </x:c>
      <x:c r="F3352" s="115" t="str">
        <x:v>Inspection physique</x:v>
      </x:c>
      <x:c r="G3352" s="115" t="str">
        <x:v>1 niveaux ; 32 pièces ; 248 segments de mur ; 0 transitions. Inspection physique ; architecture complète encore ouverte.</x:v>
      </x:c>
      <x:c r="H3352" s="115" t="str">
        <x:v>L 482 ; l 622 ; hauteur 16 m ; choix de composition auteur ; dimensions réelles à documenter</x:v>
      </x:c>
      <x:c r="I3352" s="115" t="str">
        <x:v>À équilibrer</x:v>
      </x:c>
      <x:c r="J3352" s="115" t="str">
        <x:v>Non</x:v>
      </x:c>
      <x:c r="K3352" s="115" t="str">
        <x:v>Pièces décrites, murs, portes, niveaux et mobilier inspectables à l’échelle. Volumes réservés, raccord au seed, butin, rencontres et services de campagne restent à terminer.</x:v>
      </x:c>
    </x:row>
    <x:row r="3353" ht="96" customHeight="1">
      <x:c r="A3353" s="115" t="str">
        <x:v>EXT-MONDE-T067-V48</x:v>
      </x:c>
      <x:c r="B3353" s="115" t="str">
        <x:v>EXT-MONDE-T067</x:v>
      </x:c>
      <x:c r="C3353" s="115" t="str">
        <x:v>Stades</x:v>
      </x:c>
      <x:c r="D3353" s="115" t="str">
        <x:v>Vélodrome</x:v>
      </x:c>
      <x:c r="E3353" s="115" t="n">
        <x:v>48</x:v>
      </x:c>
      <x:c r="F3353" s="115" t="str">
        <x:v>Inspection physique</x:v>
      </x:c>
      <x:c r="G3353" s="115" t="str">
        <x:v>1 niveaux ; 32 pièces ; 248 segments de mur ; 0 transitions. Inspection physique ; architecture complète encore ouverte.</x:v>
      </x:c>
      <x:c r="H3353" s="115" t="str">
        <x:v>L 482 ; l 622 ; hauteur 16 m ; choix de composition auteur ; dimensions réelles à documenter</x:v>
      </x:c>
      <x:c r="I3353" s="115" t="str">
        <x:v>À équilibrer</x:v>
      </x:c>
      <x:c r="J3353" s="115" t="str">
        <x:v>Non</x:v>
      </x:c>
      <x:c r="K3353" s="115" t="str">
        <x:v>Pièces décrites, murs, portes, niveaux et mobilier inspectables à l’échelle. Volumes réservés, raccord au seed, butin, rencontres et services de campagne restent à terminer.</x:v>
      </x:c>
    </x:row>
    <x:row r="3354" ht="96" customHeight="1">
      <x:c r="A3354" s="115" t="str">
        <x:v>EXT-MONDE-T067-V49</x:v>
      </x:c>
      <x:c r="B3354" s="115" t="str">
        <x:v>EXT-MONDE-T067</x:v>
      </x:c>
      <x:c r="C3354" s="115" t="str">
        <x:v>Stades</x:v>
      </x:c>
      <x:c r="D3354" s="115" t="str">
        <x:v>Vélodrome</x:v>
      </x:c>
      <x:c r="E3354" s="115" t="n">
        <x:v>49</x:v>
      </x:c>
      <x:c r="F3354" s="115" t="str">
        <x:v>Inspection physique</x:v>
      </x:c>
      <x:c r="G3354" s="115" t="str">
        <x:v>1 niveaux ; 32 pièces ; 248 segments de mur ; 0 transitions. Inspection physique ; architecture complète encore ouverte.</x:v>
      </x:c>
      <x:c r="H3354" s="115" t="str">
        <x:v>L 482 ; l 622 ; hauteur 16 m ; choix de composition auteur ; dimensions réelles à documenter</x:v>
      </x:c>
      <x:c r="I3354" s="115" t="str">
        <x:v>À équilibrer</x:v>
      </x:c>
      <x:c r="J3354" s="115" t="str">
        <x:v>Non</x:v>
      </x:c>
      <x:c r="K3354" s="115" t="str">
        <x:v>Pièces décrites, murs, portes, niveaux et mobilier inspectables à l’échelle. Volumes réservés, raccord au seed, butin, rencontres et services de campagne restent à terminer.</x:v>
      </x:c>
    </x:row>
    <x:row r="3355" ht="96" customHeight="1">
      <x:c r="A3355" s="115" t="str">
        <x:v>EXT-MONDE-T067-V50</x:v>
      </x:c>
      <x:c r="B3355" s="115" t="str">
        <x:v>EXT-MONDE-T067</x:v>
      </x:c>
      <x:c r="C3355" s="115" t="str">
        <x:v>Stades</x:v>
      </x:c>
      <x:c r="D3355" s="115" t="str">
        <x:v>Vélodrome</x:v>
      </x:c>
      <x:c r="E3355" s="115" t="n">
        <x:v>50</x:v>
      </x:c>
      <x:c r="F3355" s="115" t="str">
        <x:v>Inspection physique</x:v>
      </x:c>
      <x:c r="G3355" s="115" t="str">
        <x:v>1 niveaux ; 32 pièces ; 248 segments de mur ; 0 transitions. Inspection physique ; architecture complète encore ouverte.</x:v>
      </x:c>
      <x:c r="H3355" s="115" t="str">
        <x:v>L 482 ; l 622 ; hauteur 16 m ; choix de composition auteur ; dimensions réelles à documenter</x:v>
      </x:c>
      <x:c r="I3355" s="115" t="str">
        <x:v>À équilibrer</x:v>
      </x:c>
      <x:c r="J3355" s="115" t="str">
        <x:v>Non</x:v>
      </x:c>
      <x:c r="K3355" s="115" t="str">
        <x:v>Pièces décrites, murs, portes, niveaux et mobilier inspectables à l’échelle. Volumes réservés, raccord au seed, butin, rencontres et services de campagne restent à terminer.</x:v>
      </x:c>
    </x:row>
    <x:row r="3356" ht="96" customHeight="1">
      <x:c r="A3356" s="115" t="str">
        <x:v>EXT-MONDE-T068-V01</x:v>
      </x:c>
      <x:c r="B3356" s="115" t="str">
        <x:v>EXT-MONDE-T068</x:v>
      </x:c>
      <x:c r="C3356" s="115" t="str">
        <x:v>Stades</x:v>
      </x:c>
      <x:c r="D3356" s="115" t="str">
        <x:v>Complexe sportif</x:v>
      </x:c>
      <x:c r="E3356" s="115" t="n">
        <x:v>1</x:v>
      </x:c>
      <x:c r="F3356" s="115" t="str">
        <x:v>Inspection physique</x:v>
      </x:c>
      <x:c r="G3356" s="115" t="str">
        <x:v>1 niveaux ; 32 pièces ; 248 segments de mur ; 0 transitions. Inspection physique ; architecture complète encore ouverte.</x:v>
      </x:c>
      <x:c r="H3356" s="115" t="str">
        <x:v>L 362 ; l 570 ; hauteur 10 m ; choix de composition auteur ; dimensions réelles à documenter</x:v>
      </x:c>
      <x:c r="I3356" s="115" t="str">
        <x:v>À équilibrer</x:v>
      </x:c>
      <x:c r="J3356" s="115" t="str">
        <x:v>Non</x:v>
      </x:c>
      <x:c r="K3356" s="115" t="str">
        <x:v>Pièces décrites, murs, portes, niveaux et mobilier inspectables à l’échelle. Volumes réservés, raccord au seed, butin, rencontres et services de campagne restent à terminer.</x:v>
      </x:c>
    </x:row>
    <x:row r="3357" ht="96" customHeight="1">
      <x:c r="A3357" s="115" t="str">
        <x:v>EXT-MONDE-T068-V02</x:v>
      </x:c>
      <x:c r="B3357" s="115" t="str">
        <x:v>EXT-MONDE-T068</x:v>
      </x:c>
      <x:c r="C3357" s="115" t="str">
        <x:v>Stades</x:v>
      </x:c>
      <x:c r="D3357" s="115" t="str">
        <x:v>Complexe sportif</x:v>
      </x:c>
      <x:c r="E3357" s="115" t="n">
        <x:v>2</x:v>
      </x:c>
      <x:c r="F3357" s="115" t="str">
        <x:v>Inspection physique</x:v>
      </x:c>
      <x:c r="G3357" s="115" t="str">
        <x:v>1 niveaux ; 32 pièces ; 248 segments de mur ; 0 transitions. Inspection physique ; architecture complète encore ouverte.</x:v>
      </x:c>
      <x:c r="H3357" s="115" t="str">
        <x:v>L 362 ; l 570 ; hauteur 10 m ; choix de composition auteur ; dimensions réelles à documenter</x:v>
      </x:c>
      <x:c r="I3357" s="115" t="str">
        <x:v>À équilibrer</x:v>
      </x:c>
      <x:c r="J3357" s="115" t="str">
        <x:v>Non</x:v>
      </x:c>
      <x:c r="K3357" s="115" t="str">
        <x:v>Pièces décrites, murs, portes, niveaux et mobilier inspectables à l’échelle. Volumes réservés, raccord au seed, butin, rencontres et services de campagne restent à terminer.</x:v>
      </x:c>
    </x:row>
    <x:row r="3358" ht="96" customHeight="1">
      <x:c r="A3358" s="115" t="str">
        <x:v>EXT-MONDE-T068-V03</x:v>
      </x:c>
      <x:c r="B3358" s="115" t="str">
        <x:v>EXT-MONDE-T068</x:v>
      </x:c>
      <x:c r="C3358" s="115" t="str">
        <x:v>Stades</x:v>
      </x:c>
      <x:c r="D3358" s="115" t="str">
        <x:v>Complexe sportif</x:v>
      </x:c>
      <x:c r="E3358" s="115" t="n">
        <x:v>3</x:v>
      </x:c>
      <x:c r="F3358" s="115" t="str">
        <x:v>Inspection physique</x:v>
      </x:c>
      <x:c r="G3358" s="115" t="str">
        <x:v>1 niveaux ; 32 pièces ; 248 segments de mur ; 0 transitions. Inspection physique ; architecture complète encore ouverte.</x:v>
      </x:c>
      <x:c r="H3358" s="115" t="str">
        <x:v>L 362 ; l 570 ; hauteur 10 m ; choix de composition auteur ; dimensions réelles à documenter</x:v>
      </x:c>
      <x:c r="I3358" s="115" t="str">
        <x:v>À équilibrer</x:v>
      </x:c>
      <x:c r="J3358" s="115" t="str">
        <x:v>Non</x:v>
      </x:c>
      <x:c r="K3358" s="115" t="str">
        <x:v>Pièces décrites, murs, portes, niveaux et mobilier inspectables à l’échelle. Volumes réservés, raccord au seed, butin, rencontres et services de campagne restent à terminer.</x:v>
      </x:c>
    </x:row>
    <x:row r="3359" ht="96" customHeight="1">
      <x:c r="A3359" s="115" t="str">
        <x:v>EXT-MONDE-T068-V04</x:v>
      </x:c>
      <x:c r="B3359" s="115" t="str">
        <x:v>EXT-MONDE-T068</x:v>
      </x:c>
      <x:c r="C3359" s="115" t="str">
        <x:v>Stades</x:v>
      </x:c>
      <x:c r="D3359" s="115" t="str">
        <x:v>Complexe sportif</x:v>
      </x:c>
      <x:c r="E3359" s="115" t="n">
        <x:v>4</x:v>
      </x:c>
      <x:c r="F3359" s="115" t="str">
        <x:v>Inspection physique</x:v>
      </x:c>
      <x:c r="G3359" s="115" t="str">
        <x:v>1 niveaux ; 32 pièces ; 248 segments de mur ; 0 transitions. Inspection physique ; architecture complète encore ouverte.</x:v>
      </x:c>
      <x:c r="H3359" s="115" t="str">
        <x:v>L 362 ; l 570 ; hauteur 10 m ; choix de composition auteur ; dimensions réelles à documenter</x:v>
      </x:c>
      <x:c r="I3359" s="115" t="str">
        <x:v>À équilibrer</x:v>
      </x:c>
      <x:c r="J3359" s="115" t="str">
        <x:v>Non</x:v>
      </x:c>
      <x:c r="K3359" s="115" t="str">
        <x:v>Pièces décrites, murs, portes, niveaux et mobilier inspectables à l’échelle. Volumes réservés, raccord au seed, butin, rencontres et services de campagne restent à terminer.</x:v>
      </x:c>
    </x:row>
    <x:row r="3360" ht="96" customHeight="1">
      <x:c r="A3360" s="115" t="str">
        <x:v>EXT-MONDE-T068-V05</x:v>
      </x:c>
      <x:c r="B3360" s="115" t="str">
        <x:v>EXT-MONDE-T068</x:v>
      </x:c>
      <x:c r="C3360" s="115" t="str">
        <x:v>Stades</x:v>
      </x:c>
      <x:c r="D3360" s="115" t="str">
        <x:v>Complexe sportif</x:v>
      </x:c>
      <x:c r="E3360" s="115" t="n">
        <x:v>5</x:v>
      </x:c>
      <x:c r="F3360" s="115" t="str">
        <x:v>Inspection physique</x:v>
      </x:c>
      <x:c r="G3360" s="115" t="str">
        <x:v>1 niveaux ; 32 pièces ; 248 segments de mur ; 0 transitions. Inspection physique ; architecture complète encore ouverte.</x:v>
      </x:c>
      <x:c r="H3360" s="115" t="str">
        <x:v>L 362 ; l 570 ; hauteur 10 m ; choix de composition auteur ; dimensions réelles à documenter</x:v>
      </x:c>
      <x:c r="I3360" s="115" t="str">
        <x:v>À équilibrer</x:v>
      </x:c>
      <x:c r="J3360" s="115" t="str">
        <x:v>Non</x:v>
      </x:c>
      <x:c r="K3360" s="115" t="str">
        <x:v>Pièces décrites, murs, portes, niveaux et mobilier inspectables à l’échelle. Volumes réservés, raccord au seed, butin, rencontres et services de campagne restent à terminer.</x:v>
      </x:c>
    </x:row>
    <x:row r="3361" ht="96" customHeight="1">
      <x:c r="A3361" s="115" t="str">
        <x:v>EXT-MONDE-T068-V06</x:v>
      </x:c>
      <x:c r="B3361" s="115" t="str">
        <x:v>EXT-MONDE-T068</x:v>
      </x:c>
      <x:c r="C3361" s="115" t="str">
        <x:v>Stades</x:v>
      </x:c>
      <x:c r="D3361" s="115" t="str">
        <x:v>Complexe sportif</x:v>
      </x:c>
      <x:c r="E3361" s="115" t="n">
        <x:v>6</x:v>
      </x:c>
      <x:c r="F3361" s="115" t="str">
        <x:v>Inspection physique</x:v>
      </x:c>
      <x:c r="G3361" s="115" t="str">
        <x:v>1 niveaux ; 32 pièces ; 248 segments de mur ; 0 transitions. Inspection physique ; architecture complète encore ouverte.</x:v>
      </x:c>
      <x:c r="H3361" s="115" t="str">
        <x:v>L 362 ; l 570 ; hauteur 10 m ; choix de composition auteur ; dimensions réelles à documenter</x:v>
      </x:c>
      <x:c r="I3361" s="115" t="str">
        <x:v>À équilibrer</x:v>
      </x:c>
      <x:c r="J3361" s="115" t="str">
        <x:v>Non</x:v>
      </x:c>
      <x:c r="K3361" s="115" t="str">
        <x:v>Pièces décrites, murs, portes, niveaux et mobilier inspectables à l’échelle. Volumes réservés, raccord au seed, butin, rencontres et services de campagne restent à terminer.</x:v>
      </x:c>
    </x:row>
    <x:row r="3362" ht="96" customHeight="1">
      <x:c r="A3362" s="115" t="str">
        <x:v>EXT-MONDE-T068-V07</x:v>
      </x:c>
      <x:c r="B3362" s="115" t="str">
        <x:v>EXT-MONDE-T068</x:v>
      </x:c>
      <x:c r="C3362" s="115" t="str">
        <x:v>Stades</x:v>
      </x:c>
      <x:c r="D3362" s="115" t="str">
        <x:v>Complexe sportif</x:v>
      </x:c>
      <x:c r="E3362" s="115" t="n">
        <x:v>7</x:v>
      </x:c>
      <x:c r="F3362" s="115" t="str">
        <x:v>Inspection physique</x:v>
      </x:c>
      <x:c r="G3362" s="115" t="str">
        <x:v>1 niveaux ; 32 pièces ; 248 segments de mur ; 0 transitions. Inspection physique ; architecture complète encore ouverte.</x:v>
      </x:c>
      <x:c r="H3362" s="115" t="str">
        <x:v>L 362 ; l 570 ; hauteur 10 m ; choix de composition auteur ; dimensions réelles à documenter</x:v>
      </x:c>
      <x:c r="I3362" s="115" t="str">
        <x:v>À équilibrer</x:v>
      </x:c>
      <x:c r="J3362" s="115" t="str">
        <x:v>Non</x:v>
      </x:c>
      <x:c r="K3362" s="115" t="str">
        <x:v>Pièces décrites, murs, portes, niveaux et mobilier inspectables à l’échelle. Volumes réservés, raccord au seed, butin, rencontres et services de campagne restent à terminer.</x:v>
      </x:c>
    </x:row>
    <x:row r="3363" ht="96" customHeight="1">
      <x:c r="A3363" s="115" t="str">
        <x:v>EXT-MONDE-T068-V08</x:v>
      </x:c>
      <x:c r="B3363" s="115" t="str">
        <x:v>EXT-MONDE-T068</x:v>
      </x:c>
      <x:c r="C3363" s="115" t="str">
        <x:v>Stades</x:v>
      </x:c>
      <x:c r="D3363" s="115" t="str">
        <x:v>Complexe sportif</x:v>
      </x:c>
      <x:c r="E3363" s="115" t="n">
        <x:v>8</x:v>
      </x:c>
      <x:c r="F3363" s="115" t="str">
        <x:v>Inspection physique</x:v>
      </x:c>
      <x:c r="G3363" s="115" t="str">
        <x:v>1 niveaux ; 32 pièces ; 248 segments de mur ; 0 transitions. Inspection physique ; architecture complète encore ouverte.</x:v>
      </x:c>
      <x:c r="H3363" s="115" t="str">
        <x:v>L 362 ; l 570 ; hauteur 10 m ; choix de composition auteur ; dimensions réelles à documenter</x:v>
      </x:c>
      <x:c r="I3363" s="115" t="str">
        <x:v>À équilibrer</x:v>
      </x:c>
      <x:c r="J3363" s="115" t="str">
        <x:v>Non</x:v>
      </x:c>
      <x:c r="K3363" s="115" t="str">
        <x:v>Pièces décrites, murs, portes, niveaux et mobilier inspectables à l’échelle. Volumes réservés, raccord au seed, butin, rencontres et services de campagne restent à terminer.</x:v>
      </x:c>
    </x:row>
    <x:row r="3364" ht="96" customHeight="1">
      <x:c r="A3364" s="115" t="str">
        <x:v>EXT-MONDE-T068-V09</x:v>
      </x:c>
      <x:c r="B3364" s="115" t="str">
        <x:v>EXT-MONDE-T068</x:v>
      </x:c>
      <x:c r="C3364" s="115" t="str">
        <x:v>Stades</x:v>
      </x:c>
      <x:c r="D3364" s="115" t="str">
        <x:v>Complexe sportif</x:v>
      </x:c>
      <x:c r="E3364" s="115" t="n">
        <x:v>9</x:v>
      </x:c>
      <x:c r="F3364" s="115" t="str">
        <x:v>Inspection physique</x:v>
      </x:c>
      <x:c r="G3364" s="115" t="str">
        <x:v>1 niveaux ; 32 pièces ; 248 segments de mur ; 0 transitions. Inspection physique ; architecture complète encore ouverte.</x:v>
      </x:c>
      <x:c r="H3364" s="115" t="str">
        <x:v>L 362 ; l 570 ; hauteur 10 m ; choix de composition auteur ; dimensions réelles à documenter</x:v>
      </x:c>
      <x:c r="I3364" s="115" t="str">
        <x:v>À équilibrer</x:v>
      </x:c>
      <x:c r="J3364" s="115" t="str">
        <x:v>Non</x:v>
      </x:c>
      <x:c r="K3364" s="115" t="str">
        <x:v>Pièces décrites, murs, portes, niveaux et mobilier inspectables à l’échelle. Volumes réservés, raccord au seed, butin, rencontres et services de campagne restent à terminer.</x:v>
      </x:c>
    </x:row>
    <x:row r="3365" ht="96" customHeight="1">
      <x:c r="A3365" s="115" t="str">
        <x:v>EXT-MONDE-T068-V10</x:v>
      </x:c>
      <x:c r="B3365" s="115" t="str">
        <x:v>EXT-MONDE-T068</x:v>
      </x:c>
      <x:c r="C3365" s="115" t="str">
        <x:v>Stades</x:v>
      </x:c>
      <x:c r="D3365" s="115" t="str">
        <x:v>Complexe sportif</x:v>
      </x:c>
      <x:c r="E3365" s="115" t="n">
        <x:v>10</x:v>
      </x:c>
      <x:c r="F3365" s="115" t="str">
        <x:v>Inspection physique</x:v>
      </x:c>
      <x:c r="G3365" s="115" t="str">
        <x:v>1 niveaux ; 32 pièces ; 248 segments de mur ; 0 transitions. Inspection physique ; architecture complète encore ouverte.</x:v>
      </x:c>
      <x:c r="H3365" s="115" t="str">
        <x:v>L 362 ; l 570 ; hauteur 10 m ; choix de composition auteur ; dimensions réelles à documenter</x:v>
      </x:c>
      <x:c r="I3365" s="115" t="str">
        <x:v>À équilibrer</x:v>
      </x:c>
      <x:c r="J3365" s="115" t="str">
        <x:v>Non</x:v>
      </x:c>
      <x:c r="K3365" s="115" t="str">
        <x:v>Pièces décrites, murs, portes, niveaux et mobilier inspectables à l’échelle. Volumes réservés, raccord au seed, butin, rencontres et services de campagne restent à terminer.</x:v>
      </x:c>
    </x:row>
    <x:row r="3366" ht="96" customHeight="1">
      <x:c r="A3366" s="115" t="str">
        <x:v>EXT-MONDE-T068-V11</x:v>
      </x:c>
      <x:c r="B3366" s="115" t="str">
        <x:v>EXT-MONDE-T068</x:v>
      </x:c>
      <x:c r="C3366" s="115" t="str">
        <x:v>Stades</x:v>
      </x:c>
      <x:c r="D3366" s="115" t="str">
        <x:v>Complexe sportif</x:v>
      </x:c>
      <x:c r="E3366" s="115" t="n">
        <x:v>11</x:v>
      </x:c>
      <x:c r="F3366" s="115" t="str">
        <x:v>Inspection physique</x:v>
      </x:c>
      <x:c r="G3366" s="115" t="str">
        <x:v>1 niveaux ; 32 pièces ; 248 segments de mur ; 0 transitions. Inspection physique ; architecture complète encore ouverte.</x:v>
      </x:c>
      <x:c r="H3366" s="115" t="str">
        <x:v>L 374 ; l 578 ; hauteur 10 m ; choix de composition auteur ; dimensions réelles à documenter</x:v>
      </x:c>
      <x:c r="I3366" s="115" t="str">
        <x:v>À équilibrer</x:v>
      </x:c>
      <x:c r="J3366" s="115" t="str">
        <x:v>Non</x:v>
      </x:c>
      <x:c r="K3366" s="115" t="str">
        <x:v>Pièces décrites, murs, portes, niveaux et mobilier inspectables à l’échelle. Volumes réservés, raccord au seed, butin, rencontres et services de campagne restent à terminer.</x:v>
      </x:c>
    </x:row>
    <x:row r="3367" ht="96" customHeight="1">
      <x:c r="A3367" s="115" t="str">
        <x:v>EXT-MONDE-T068-V12</x:v>
      </x:c>
      <x:c r="B3367" s="115" t="str">
        <x:v>EXT-MONDE-T068</x:v>
      </x:c>
      <x:c r="C3367" s="115" t="str">
        <x:v>Stades</x:v>
      </x:c>
      <x:c r="D3367" s="115" t="str">
        <x:v>Complexe sportif</x:v>
      </x:c>
      <x:c r="E3367" s="115" t="n">
        <x:v>12</x:v>
      </x:c>
      <x:c r="F3367" s="115" t="str">
        <x:v>Inspection physique</x:v>
      </x:c>
      <x:c r="G3367" s="115" t="str">
        <x:v>1 niveaux ; 32 pièces ; 248 segments de mur ; 0 transitions. Inspection physique ; architecture complète encore ouverte.</x:v>
      </x:c>
      <x:c r="H3367" s="115" t="str">
        <x:v>L 374 ; l 578 ; hauteur 10 m ; choix de composition auteur ; dimensions réelles à documenter</x:v>
      </x:c>
      <x:c r="I3367" s="115" t="str">
        <x:v>À équilibrer</x:v>
      </x:c>
      <x:c r="J3367" s="115" t="str">
        <x:v>Non</x:v>
      </x:c>
      <x:c r="K3367" s="115" t="str">
        <x:v>Pièces décrites, murs, portes, niveaux et mobilier inspectables à l’échelle. Volumes réservés, raccord au seed, butin, rencontres et services de campagne restent à terminer.</x:v>
      </x:c>
    </x:row>
    <x:row r="3368" ht="96" customHeight="1">
      <x:c r="A3368" s="115" t="str">
        <x:v>EXT-MONDE-T068-V13</x:v>
      </x:c>
      <x:c r="B3368" s="115" t="str">
        <x:v>EXT-MONDE-T068</x:v>
      </x:c>
      <x:c r="C3368" s="115" t="str">
        <x:v>Stades</x:v>
      </x:c>
      <x:c r="D3368" s="115" t="str">
        <x:v>Complexe sportif</x:v>
      </x:c>
      <x:c r="E3368" s="115" t="n">
        <x:v>13</x:v>
      </x:c>
      <x:c r="F3368" s="115" t="str">
        <x:v>Inspection physique</x:v>
      </x:c>
      <x:c r="G3368" s="115" t="str">
        <x:v>1 niveaux ; 32 pièces ; 248 segments de mur ; 0 transitions. Inspection physique ; architecture complète encore ouverte.</x:v>
      </x:c>
      <x:c r="H3368" s="115" t="str">
        <x:v>L 374 ; l 578 ; hauteur 10 m ; choix de composition auteur ; dimensions réelles à documenter</x:v>
      </x:c>
      <x:c r="I3368" s="115" t="str">
        <x:v>À équilibrer</x:v>
      </x:c>
      <x:c r="J3368" s="115" t="str">
        <x:v>Non</x:v>
      </x:c>
      <x:c r="K3368" s="115" t="str">
        <x:v>Pièces décrites, murs, portes, niveaux et mobilier inspectables à l’échelle. Volumes réservés, raccord au seed, butin, rencontres et services de campagne restent à terminer.</x:v>
      </x:c>
    </x:row>
    <x:row r="3369" ht="96" customHeight="1">
      <x:c r="A3369" s="115" t="str">
        <x:v>EXT-MONDE-T068-V14</x:v>
      </x:c>
      <x:c r="B3369" s="115" t="str">
        <x:v>EXT-MONDE-T068</x:v>
      </x:c>
      <x:c r="C3369" s="115" t="str">
        <x:v>Stades</x:v>
      </x:c>
      <x:c r="D3369" s="115" t="str">
        <x:v>Complexe sportif</x:v>
      </x:c>
      <x:c r="E3369" s="115" t="n">
        <x:v>14</x:v>
      </x:c>
      <x:c r="F3369" s="115" t="str">
        <x:v>Inspection physique</x:v>
      </x:c>
      <x:c r="G3369" s="115" t="str">
        <x:v>1 niveaux ; 32 pièces ; 248 segments de mur ; 0 transitions. Inspection physique ; architecture complète encore ouverte.</x:v>
      </x:c>
      <x:c r="H3369" s="115" t="str">
        <x:v>L 374 ; l 578 ; hauteur 10 m ; choix de composition auteur ; dimensions réelles à documenter</x:v>
      </x:c>
      <x:c r="I3369" s="115" t="str">
        <x:v>À équilibrer</x:v>
      </x:c>
      <x:c r="J3369" s="115" t="str">
        <x:v>Non</x:v>
      </x:c>
      <x:c r="K3369" s="115" t="str">
        <x:v>Pièces décrites, murs, portes, niveaux et mobilier inspectables à l’échelle. Volumes réservés, raccord au seed, butin, rencontres et services de campagne restent à terminer.</x:v>
      </x:c>
    </x:row>
    <x:row r="3370" ht="96" customHeight="1">
      <x:c r="A3370" s="115" t="str">
        <x:v>EXT-MONDE-T068-V15</x:v>
      </x:c>
      <x:c r="B3370" s="115" t="str">
        <x:v>EXT-MONDE-T068</x:v>
      </x:c>
      <x:c r="C3370" s="115" t="str">
        <x:v>Stades</x:v>
      </x:c>
      <x:c r="D3370" s="115" t="str">
        <x:v>Complexe sportif</x:v>
      </x:c>
      <x:c r="E3370" s="115" t="n">
        <x:v>15</x:v>
      </x:c>
      <x:c r="F3370" s="115" t="str">
        <x:v>Inspection physique</x:v>
      </x:c>
      <x:c r="G3370" s="115" t="str">
        <x:v>1 niveaux ; 32 pièces ; 248 segments de mur ; 0 transitions. Inspection physique ; architecture complète encore ouverte.</x:v>
      </x:c>
      <x:c r="H3370" s="115" t="str">
        <x:v>L 374 ; l 578 ; hauteur 10 m ; choix de composition auteur ; dimensions réelles à documenter</x:v>
      </x:c>
      <x:c r="I3370" s="115" t="str">
        <x:v>À équilibrer</x:v>
      </x:c>
      <x:c r="J3370" s="115" t="str">
        <x:v>Non</x:v>
      </x:c>
      <x:c r="K3370" s="115" t="str">
        <x:v>Pièces décrites, murs, portes, niveaux et mobilier inspectables à l’échelle. Volumes réservés, raccord au seed, butin, rencontres et services de campagne restent à terminer.</x:v>
      </x:c>
    </x:row>
    <x:row r="3371" ht="96" customHeight="1">
      <x:c r="A3371" s="115" t="str">
        <x:v>EXT-MONDE-T068-V16</x:v>
      </x:c>
      <x:c r="B3371" s="115" t="str">
        <x:v>EXT-MONDE-T068</x:v>
      </x:c>
      <x:c r="C3371" s="115" t="str">
        <x:v>Stades</x:v>
      </x:c>
      <x:c r="D3371" s="115" t="str">
        <x:v>Complexe sportif</x:v>
      </x:c>
      <x:c r="E3371" s="115" t="n">
        <x:v>16</x:v>
      </x:c>
      <x:c r="F3371" s="115" t="str">
        <x:v>Inspection physique</x:v>
      </x:c>
      <x:c r="G3371" s="115" t="str">
        <x:v>1 niveaux ; 32 pièces ; 248 segments de mur ; 0 transitions. Inspection physique ; architecture complète encore ouverte.</x:v>
      </x:c>
      <x:c r="H3371" s="115" t="str">
        <x:v>L 374 ; l 578 ; hauteur 10 m ; choix de composition auteur ; dimensions réelles à documenter</x:v>
      </x:c>
      <x:c r="I3371" s="115" t="str">
        <x:v>À équilibrer</x:v>
      </x:c>
      <x:c r="J3371" s="115" t="str">
        <x:v>Non</x:v>
      </x:c>
      <x:c r="K3371" s="115" t="str">
        <x:v>Pièces décrites, murs, portes, niveaux et mobilier inspectables à l’échelle. Volumes réservés, raccord au seed, butin, rencontres et services de campagne restent à terminer.</x:v>
      </x:c>
    </x:row>
    <x:row r="3372" ht="96" customHeight="1">
      <x:c r="A3372" s="115" t="str">
        <x:v>EXT-MONDE-T068-V17</x:v>
      </x:c>
      <x:c r="B3372" s="115" t="str">
        <x:v>EXT-MONDE-T068</x:v>
      </x:c>
      <x:c r="C3372" s="115" t="str">
        <x:v>Stades</x:v>
      </x:c>
      <x:c r="D3372" s="115" t="str">
        <x:v>Complexe sportif</x:v>
      </x:c>
      <x:c r="E3372" s="115" t="n">
        <x:v>17</x:v>
      </x:c>
      <x:c r="F3372" s="115" t="str">
        <x:v>Inspection physique</x:v>
      </x:c>
      <x:c r="G3372" s="115" t="str">
        <x:v>1 niveaux ; 32 pièces ; 248 segments de mur ; 0 transitions. Inspection physique ; architecture complète encore ouverte.</x:v>
      </x:c>
      <x:c r="H3372" s="115" t="str">
        <x:v>L 374 ; l 578 ; hauteur 10 m ; choix de composition auteur ; dimensions réelles à documenter</x:v>
      </x:c>
      <x:c r="I3372" s="115" t="str">
        <x:v>À équilibrer</x:v>
      </x:c>
      <x:c r="J3372" s="115" t="str">
        <x:v>Non</x:v>
      </x:c>
      <x:c r="K3372" s="115" t="str">
        <x:v>Pièces décrites, murs, portes, niveaux et mobilier inspectables à l’échelle. Volumes réservés, raccord au seed, butin, rencontres et services de campagne restent à terminer.</x:v>
      </x:c>
    </x:row>
    <x:row r="3373" ht="96" customHeight="1">
      <x:c r="A3373" s="115" t="str">
        <x:v>EXT-MONDE-T068-V18</x:v>
      </x:c>
      <x:c r="B3373" s="115" t="str">
        <x:v>EXT-MONDE-T068</x:v>
      </x:c>
      <x:c r="C3373" s="115" t="str">
        <x:v>Stades</x:v>
      </x:c>
      <x:c r="D3373" s="115" t="str">
        <x:v>Complexe sportif</x:v>
      </x:c>
      <x:c r="E3373" s="115" t="n">
        <x:v>18</x:v>
      </x:c>
      <x:c r="F3373" s="115" t="str">
        <x:v>Inspection physique</x:v>
      </x:c>
      <x:c r="G3373" s="115" t="str">
        <x:v>1 niveaux ; 32 pièces ; 248 segments de mur ; 0 transitions. Inspection physique ; architecture complète encore ouverte.</x:v>
      </x:c>
      <x:c r="H3373" s="115" t="str">
        <x:v>L 374 ; l 578 ; hauteur 10 m ; choix de composition auteur ; dimensions réelles à documenter</x:v>
      </x:c>
      <x:c r="I3373" s="115" t="str">
        <x:v>À équilibrer</x:v>
      </x:c>
      <x:c r="J3373" s="115" t="str">
        <x:v>Non</x:v>
      </x:c>
      <x:c r="K3373" s="115" t="str">
        <x:v>Pièces décrites, murs, portes, niveaux et mobilier inspectables à l’échelle. Volumes réservés, raccord au seed, butin, rencontres et services de campagne restent à terminer.</x:v>
      </x:c>
    </x:row>
    <x:row r="3374" ht="96" customHeight="1">
      <x:c r="A3374" s="115" t="str">
        <x:v>EXT-MONDE-T068-V19</x:v>
      </x:c>
      <x:c r="B3374" s="115" t="str">
        <x:v>EXT-MONDE-T068</x:v>
      </x:c>
      <x:c r="C3374" s="115" t="str">
        <x:v>Stades</x:v>
      </x:c>
      <x:c r="D3374" s="115" t="str">
        <x:v>Complexe sportif</x:v>
      </x:c>
      <x:c r="E3374" s="115" t="n">
        <x:v>19</x:v>
      </x:c>
      <x:c r="F3374" s="115" t="str">
        <x:v>Inspection physique</x:v>
      </x:c>
      <x:c r="G3374" s="115" t="str">
        <x:v>1 niveaux ; 32 pièces ; 248 segments de mur ; 0 transitions. Inspection physique ; architecture complète encore ouverte.</x:v>
      </x:c>
      <x:c r="H3374" s="115" t="str">
        <x:v>L 374 ; l 578 ; hauteur 10 m ; choix de composition auteur ; dimensions réelles à documenter</x:v>
      </x:c>
      <x:c r="I3374" s="115" t="str">
        <x:v>À équilibrer</x:v>
      </x:c>
      <x:c r="J3374" s="115" t="str">
        <x:v>Non</x:v>
      </x:c>
      <x:c r="K3374" s="115" t="str">
        <x:v>Pièces décrites, murs, portes, niveaux et mobilier inspectables à l’échelle. Volumes réservés, raccord au seed, butin, rencontres et services de campagne restent à terminer.</x:v>
      </x:c>
    </x:row>
    <x:row r="3375" ht="96" customHeight="1">
      <x:c r="A3375" s="115" t="str">
        <x:v>EXT-MONDE-T068-V20</x:v>
      </x:c>
      <x:c r="B3375" s="115" t="str">
        <x:v>EXT-MONDE-T068</x:v>
      </x:c>
      <x:c r="C3375" s="115" t="str">
        <x:v>Stades</x:v>
      </x:c>
      <x:c r="D3375" s="115" t="str">
        <x:v>Complexe sportif</x:v>
      </x:c>
      <x:c r="E3375" s="115" t="n">
        <x:v>20</x:v>
      </x:c>
      <x:c r="F3375" s="115" t="str">
        <x:v>Inspection physique</x:v>
      </x:c>
      <x:c r="G3375" s="115" t="str">
        <x:v>1 niveaux ; 32 pièces ; 248 segments de mur ; 0 transitions. Inspection physique ; architecture complète encore ouverte.</x:v>
      </x:c>
      <x:c r="H3375" s="115" t="str">
        <x:v>L 374 ; l 578 ; hauteur 10 m ; choix de composition auteur ; dimensions réelles à documenter</x:v>
      </x:c>
      <x:c r="I3375" s="115" t="str">
        <x:v>À équilibrer</x:v>
      </x:c>
      <x:c r="J3375" s="115" t="str">
        <x:v>Non</x:v>
      </x:c>
      <x:c r="K3375" s="115" t="str">
        <x:v>Pièces décrites, murs, portes, niveaux et mobilier inspectables à l’échelle. Volumes réservés, raccord au seed, butin, rencontres et services de campagne restent à terminer.</x:v>
      </x:c>
    </x:row>
    <x:row r="3376" ht="96" customHeight="1">
      <x:c r="A3376" s="115" t="str">
        <x:v>EXT-MONDE-T068-V21</x:v>
      </x:c>
      <x:c r="B3376" s="115" t="str">
        <x:v>EXT-MONDE-T068</x:v>
      </x:c>
      <x:c r="C3376" s="115" t="str">
        <x:v>Stades</x:v>
      </x:c>
      <x:c r="D3376" s="115" t="str">
        <x:v>Complexe sportif</x:v>
      </x:c>
      <x:c r="E3376" s="115" t="n">
        <x:v>21</x:v>
      </x:c>
      <x:c r="F3376" s="115" t="str">
        <x:v>Inspection physique</x:v>
      </x:c>
      <x:c r="G3376" s="115" t="str">
        <x:v>1 niveaux ; 32 pièces ; 248 segments de mur ; 0 transitions. Inspection physique ; architecture complète encore ouverte.</x:v>
      </x:c>
      <x:c r="H3376" s="115" t="str">
        <x:v>L 386 ; l 586 ; hauteur 10 m ; choix de composition auteur ; dimensions réelles à documenter</x:v>
      </x:c>
      <x:c r="I3376" s="115" t="str">
        <x:v>À équilibrer</x:v>
      </x:c>
      <x:c r="J3376" s="115" t="str">
        <x:v>Non</x:v>
      </x:c>
      <x:c r="K3376" s="115" t="str">
        <x:v>Pièces décrites, murs, portes, niveaux et mobilier inspectables à l’échelle. Volumes réservés, raccord au seed, butin, rencontres et services de campagne restent à terminer.</x:v>
      </x:c>
    </x:row>
    <x:row r="3377" ht="96" customHeight="1">
      <x:c r="A3377" s="115" t="str">
        <x:v>EXT-MONDE-T068-V22</x:v>
      </x:c>
      <x:c r="B3377" s="115" t="str">
        <x:v>EXT-MONDE-T068</x:v>
      </x:c>
      <x:c r="C3377" s="115" t="str">
        <x:v>Stades</x:v>
      </x:c>
      <x:c r="D3377" s="115" t="str">
        <x:v>Complexe sportif</x:v>
      </x:c>
      <x:c r="E3377" s="115" t="n">
        <x:v>22</x:v>
      </x:c>
      <x:c r="F3377" s="115" t="str">
        <x:v>Inspection physique</x:v>
      </x:c>
      <x:c r="G3377" s="115" t="str">
        <x:v>1 niveaux ; 32 pièces ; 248 segments de mur ; 0 transitions. Inspection physique ; architecture complète encore ouverte.</x:v>
      </x:c>
      <x:c r="H3377" s="115" t="str">
        <x:v>L 386 ; l 586 ; hauteur 10 m ; choix de composition auteur ; dimensions réelles à documenter</x:v>
      </x:c>
      <x:c r="I3377" s="115" t="str">
        <x:v>À équilibrer</x:v>
      </x:c>
      <x:c r="J3377" s="115" t="str">
        <x:v>Non</x:v>
      </x:c>
      <x:c r="K3377" s="115" t="str">
        <x:v>Pièces décrites, murs, portes, niveaux et mobilier inspectables à l’échelle. Volumes réservés, raccord au seed, butin, rencontres et services de campagne restent à terminer.</x:v>
      </x:c>
    </x:row>
    <x:row r="3378" ht="96" customHeight="1">
      <x:c r="A3378" s="115" t="str">
        <x:v>EXT-MONDE-T068-V23</x:v>
      </x:c>
      <x:c r="B3378" s="115" t="str">
        <x:v>EXT-MONDE-T068</x:v>
      </x:c>
      <x:c r="C3378" s="115" t="str">
        <x:v>Stades</x:v>
      </x:c>
      <x:c r="D3378" s="115" t="str">
        <x:v>Complexe sportif</x:v>
      </x:c>
      <x:c r="E3378" s="115" t="n">
        <x:v>23</x:v>
      </x:c>
      <x:c r="F3378" s="115" t="str">
        <x:v>Inspection physique</x:v>
      </x:c>
      <x:c r="G3378" s="115" t="str">
        <x:v>1 niveaux ; 32 pièces ; 248 segments de mur ; 0 transitions. Inspection physique ; architecture complète encore ouverte.</x:v>
      </x:c>
      <x:c r="H3378" s="115" t="str">
        <x:v>L 386 ; l 586 ; hauteur 10 m ; choix de composition auteur ; dimensions réelles à documenter</x:v>
      </x:c>
      <x:c r="I3378" s="115" t="str">
        <x:v>À équilibrer</x:v>
      </x:c>
      <x:c r="J3378" s="115" t="str">
        <x:v>Non</x:v>
      </x:c>
      <x:c r="K3378" s="115" t="str">
        <x:v>Pièces décrites, murs, portes, niveaux et mobilier inspectables à l’échelle. Volumes réservés, raccord au seed, butin, rencontres et services de campagne restent à terminer.</x:v>
      </x:c>
    </x:row>
    <x:row r="3379" ht="96" customHeight="1">
      <x:c r="A3379" s="115" t="str">
        <x:v>EXT-MONDE-T068-V24</x:v>
      </x:c>
      <x:c r="B3379" s="115" t="str">
        <x:v>EXT-MONDE-T068</x:v>
      </x:c>
      <x:c r="C3379" s="115" t="str">
        <x:v>Stades</x:v>
      </x:c>
      <x:c r="D3379" s="115" t="str">
        <x:v>Complexe sportif</x:v>
      </x:c>
      <x:c r="E3379" s="115" t="n">
        <x:v>24</x:v>
      </x:c>
      <x:c r="F3379" s="115" t="str">
        <x:v>Inspection physique</x:v>
      </x:c>
      <x:c r="G3379" s="115" t="str">
        <x:v>1 niveaux ; 32 pièces ; 248 segments de mur ; 0 transitions. Inspection physique ; architecture complète encore ouverte.</x:v>
      </x:c>
      <x:c r="H3379" s="115" t="str">
        <x:v>L 386 ; l 586 ; hauteur 10 m ; choix de composition auteur ; dimensions réelles à documenter</x:v>
      </x:c>
      <x:c r="I3379" s="115" t="str">
        <x:v>À équilibrer</x:v>
      </x:c>
      <x:c r="J3379" s="115" t="str">
        <x:v>Non</x:v>
      </x:c>
      <x:c r="K3379" s="115" t="str">
        <x:v>Pièces décrites, murs, portes, niveaux et mobilier inspectables à l’échelle. Volumes réservés, raccord au seed, butin, rencontres et services de campagne restent à terminer.</x:v>
      </x:c>
    </x:row>
    <x:row r="3380" ht="96" customHeight="1">
      <x:c r="A3380" s="115" t="str">
        <x:v>EXT-MONDE-T068-V25</x:v>
      </x:c>
      <x:c r="B3380" s="115" t="str">
        <x:v>EXT-MONDE-T068</x:v>
      </x:c>
      <x:c r="C3380" s="115" t="str">
        <x:v>Stades</x:v>
      </x:c>
      <x:c r="D3380" s="115" t="str">
        <x:v>Complexe sportif</x:v>
      </x:c>
      <x:c r="E3380" s="115" t="n">
        <x:v>25</x:v>
      </x:c>
      <x:c r="F3380" s="115" t="str">
        <x:v>Inspection physique</x:v>
      </x:c>
      <x:c r="G3380" s="115" t="str">
        <x:v>1 niveaux ; 32 pièces ; 248 segments de mur ; 0 transitions. Inspection physique ; architecture complète encore ouverte.</x:v>
      </x:c>
      <x:c r="H3380" s="115" t="str">
        <x:v>L 386 ; l 586 ; hauteur 10 m ; choix de composition auteur ; dimensions réelles à documenter</x:v>
      </x:c>
      <x:c r="I3380" s="115" t="str">
        <x:v>À équilibrer</x:v>
      </x:c>
      <x:c r="J3380" s="115" t="str">
        <x:v>Non</x:v>
      </x:c>
      <x:c r="K3380" s="115" t="str">
        <x:v>Pièces décrites, murs, portes, niveaux et mobilier inspectables à l’échelle. Volumes réservés, raccord au seed, butin, rencontres et services de campagne restent à terminer.</x:v>
      </x:c>
    </x:row>
    <x:row r="3381" ht="96" customHeight="1">
      <x:c r="A3381" s="115" t="str">
        <x:v>EXT-MONDE-T068-V26</x:v>
      </x:c>
      <x:c r="B3381" s="115" t="str">
        <x:v>EXT-MONDE-T068</x:v>
      </x:c>
      <x:c r="C3381" s="115" t="str">
        <x:v>Stades</x:v>
      </x:c>
      <x:c r="D3381" s="115" t="str">
        <x:v>Complexe sportif</x:v>
      </x:c>
      <x:c r="E3381" s="115" t="n">
        <x:v>26</x:v>
      </x:c>
      <x:c r="F3381" s="115" t="str">
        <x:v>Inspection physique</x:v>
      </x:c>
      <x:c r="G3381" s="115" t="str">
        <x:v>1 niveaux ; 32 pièces ; 248 segments de mur ; 0 transitions. Inspection physique ; architecture complète encore ouverte.</x:v>
      </x:c>
      <x:c r="H3381" s="115" t="str">
        <x:v>L 386 ; l 586 ; hauteur 10 m ; choix de composition auteur ; dimensions réelles à documenter</x:v>
      </x:c>
      <x:c r="I3381" s="115" t="str">
        <x:v>À équilibrer</x:v>
      </x:c>
      <x:c r="J3381" s="115" t="str">
        <x:v>Non</x:v>
      </x:c>
      <x:c r="K3381" s="115" t="str">
        <x:v>Pièces décrites, murs, portes, niveaux et mobilier inspectables à l’échelle. Volumes réservés, raccord au seed, butin, rencontres et services de campagne restent à terminer.</x:v>
      </x:c>
    </x:row>
    <x:row r="3382" ht="96" customHeight="1">
      <x:c r="A3382" s="115" t="str">
        <x:v>EXT-MONDE-T068-V27</x:v>
      </x:c>
      <x:c r="B3382" s="115" t="str">
        <x:v>EXT-MONDE-T068</x:v>
      </x:c>
      <x:c r="C3382" s="115" t="str">
        <x:v>Stades</x:v>
      </x:c>
      <x:c r="D3382" s="115" t="str">
        <x:v>Complexe sportif</x:v>
      </x:c>
      <x:c r="E3382" s="115" t="n">
        <x:v>27</x:v>
      </x:c>
      <x:c r="F3382" s="115" t="str">
        <x:v>Inspection physique</x:v>
      </x:c>
      <x:c r="G3382" s="115" t="str">
        <x:v>1 niveaux ; 32 pièces ; 248 segments de mur ; 0 transitions. Inspection physique ; architecture complète encore ouverte.</x:v>
      </x:c>
      <x:c r="H3382" s="115" t="str">
        <x:v>L 386 ; l 586 ; hauteur 10 m ; choix de composition auteur ; dimensions réelles à documenter</x:v>
      </x:c>
      <x:c r="I3382" s="115" t="str">
        <x:v>À équilibrer</x:v>
      </x:c>
      <x:c r="J3382" s="115" t="str">
        <x:v>Non</x:v>
      </x:c>
      <x:c r="K3382" s="115" t="str">
        <x:v>Pièces décrites, murs, portes, niveaux et mobilier inspectables à l’échelle. Volumes réservés, raccord au seed, butin, rencontres et services de campagne restent à terminer.</x:v>
      </x:c>
    </x:row>
    <x:row r="3383" ht="96" customHeight="1">
      <x:c r="A3383" s="115" t="str">
        <x:v>EXT-MONDE-T068-V28</x:v>
      </x:c>
      <x:c r="B3383" s="115" t="str">
        <x:v>EXT-MONDE-T068</x:v>
      </x:c>
      <x:c r="C3383" s="115" t="str">
        <x:v>Stades</x:v>
      </x:c>
      <x:c r="D3383" s="115" t="str">
        <x:v>Complexe sportif</x:v>
      </x:c>
      <x:c r="E3383" s="115" t="n">
        <x:v>28</x:v>
      </x:c>
      <x:c r="F3383" s="115" t="str">
        <x:v>Inspection physique</x:v>
      </x:c>
      <x:c r="G3383" s="115" t="str">
        <x:v>1 niveaux ; 32 pièces ; 248 segments de mur ; 0 transitions. Inspection physique ; architecture complète encore ouverte.</x:v>
      </x:c>
      <x:c r="H3383" s="115" t="str">
        <x:v>L 386 ; l 586 ; hauteur 10 m ; choix de composition auteur ; dimensions réelles à documenter</x:v>
      </x:c>
      <x:c r="I3383" s="115" t="str">
        <x:v>À équilibrer</x:v>
      </x:c>
      <x:c r="J3383" s="115" t="str">
        <x:v>Non</x:v>
      </x:c>
      <x:c r="K3383" s="115" t="str">
        <x:v>Pièces décrites, murs, portes, niveaux et mobilier inspectables à l’échelle. Volumes réservés, raccord au seed, butin, rencontres et services de campagne restent à terminer.</x:v>
      </x:c>
    </x:row>
    <x:row r="3384" ht="96" customHeight="1">
      <x:c r="A3384" s="115" t="str">
        <x:v>EXT-MONDE-T068-V29</x:v>
      </x:c>
      <x:c r="B3384" s="115" t="str">
        <x:v>EXT-MONDE-T068</x:v>
      </x:c>
      <x:c r="C3384" s="115" t="str">
        <x:v>Stades</x:v>
      </x:c>
      <x:c r="D3384" s="115" t="str">
        <x:v>Complexe sportif</x:v>
      </x:c>
      <x:c r="E3384" s="115" t="n">
        <x:v>29</x:v>
      </x:c>
      <x:c r="F3384" s="115" t="str">
        <x:v>Inspection physique</x:v>
      </x:c>
      <x:c r="G3384" s="115" t="str">
        <x:v>1 niveaux ; 32 pièces ; 248 segments de mur ; 0 transitions. Inspection physique ; architecture complète encore ouverte.</x:v>
      </x:c>
      <x:c r="H3384" s="115" t="str">
        <x:v>L 386 ; l 586 ; hauteur 10 m ; choix de composition auteur ; dimensions réelles à documenter</x:v>
      </x:c>
      <x:c r="I3384" s="115" t="str">
        <x:v>À équilibrer</x:v>
      </x:c>
      <x:c r="J3384" s="115" t="str">
        <x:v>Non</x:v>
      </x:c>
      <x:c r="K3384" s="115" t="str">
        <x:v>Pièces décrites, murs, portes, niveaux et mobilier inspectables à l’échelle. Volumes réservés, raccord au seed, butin, rencontres et services de campagne restent à terminer.</x:v>
      </x:c>
    </x:row>
    <x:row r="3385" ht="96" customHeight="1">
      <x:c r="A3385" s="115" t="str">
        <x:v>EXT-MONDE-T068-V30</x:v>
      </x:c>
      <x:c r="B3385" s="115" t="str">
        <x:v>EXT-MONDE-T068</x:v>
      </x:c>
      <x:c r="C3385" s="115" t="str">
        <x:v>Stades</x:v>
      </x:c>
      <x:c r="D3385" s="115" t="str">
        <x:v>Complexe sportif</x:v>
      </x:c>
      <x:c r="E3385" s="115" t="n">
        <x:v>30</x:v>
      </x:c>
      <x:c r="F3385" s="115" t="str">
        <x:v>Inspection physique</x:v>
      </x:c>
      <x:c r="G3385" s="115" t="str">
        <x:v>1 niveaux ; 32 pièces ; 248 segments de mur ; 0 transitions. Inspection physique ; architecture complète encore ouverte.</x:v>
      </x:c>
      <x:c r="H3385" s="115" t="str">
        <x:v>L 386 ; l 586 ; hauteur 10 m ; choix de composition auteur ; dimensions réelles à documenter</x:v>
      </x:c>
      <x:c r="I3385" s="115" t="str">
        <x:v>À équilibrer</x:v>
      </x:c>
      <x:c r="J3385" s="115" t="str">
        <x:v>Non</x:v>
      </x:c>
      <x:c r="K3385" s="115" t="str">
        <x:v>Pièces décrites, murs, portes, niveaux et mobilier inspectables à l’échelle. Volumes réservés, raccord au seed, butin, rencontres et services de campagne restent à terminer.</x:v>
      </x:c>
    </x:row>
    <x:row r="3386" ht="96" customHeight="1">
      <x:c r="A3386" s="115" t="str">
        <x:v>EXT-MONDE-T068-V31</x:v>
      </x:c>
      <x:c r="B3386" s="115" t="str">
        <x:v>EXT-MONDE-T068</x:v>
      </x:c>
      <x:c r="C3386" s="115" t="str">
        <x:v>Stades</x:v>
      </x:c>
      <x:c r="D3386" s="115" t="str">
        <x:v>Complexe sportif</x:v>
      </x:c>
      <x:c r="E3386" s="115" t="n">
        <x:v>31</x:v>
      </x:c>
      <x:c r="F3386" s="115" t="str">
        <x:v>Inspection physique</x:v>
      </x:c>
      <x:c r="G3386" s="115" t="str">
        <x:v>1 niveaux ; 32 pièces ; 248 segments de mur ; 0 transitions. Inspection physique ; architecture complète encore ouverte.</x:v>
      </x:c>
      <x:c r="H3386" s="115" t="str">
        <x:v>L 398 ; l 594 ; hauteur 10 m ; choix de composition auteur ; dimensions réelles à documenter</x:v>
      </x:c>
      <x:c r="I3386" s="115" t="str">
        <x:v>À équilibrer</x:v>
      </x:c>
      <x:c r="J3386" s="115" t="str">
        <x:v>Non</x:v>
      </x:c>
      <x:c r="K3386" s="115" t="str">
        <x:v>Pièces décrites, murs, portes, niveaux et mobilier inspectables à l’échelle. Volumes réservés, raccord au seed, butin, rencontres et services de campagne restent à terminer.</x:v>
      </x:c>
    </x:row>
    <x:row r="3387" ht="96" customHeight="1">
      <x:c r="A3387" s="115" t="str">
        <x:v>EXT-MONDE-T068-V32</x:v>
      </x:c>
      <x:c r="B3387" s="115" t="str">
        <x:v>EXT-MONDE-T068</x:v>
      </x:c>
      <x:c r="C3387" s="115" t="str">
        <x:v>Stades</x:v>
      </x:c>
      <x:c r="D3387" s="115" t="str">
        <x:v>Complexe sportif</x:v>
      </x:c>
      <x:c r="E3387" s="115" t="n">
        <x:v>32</x:v>
      </x:c>
      <x:c r="F3387" s="115" t="str">
        <x:v>Inspection physique</x:v>
      </x:c>
      <x:c r="G3387" s="115" t="str">
        <x:v>1 niveaux ; 32 pièces ; 248 segments de mur ; 0 transitions. Inspection physique ; architecture complète encore ouverte.</x:v>
      </x:c>
      <x:c r="H3387" s="115" t="str">
        <x:v>L 398 ; l 594 ; hauteur 10 m ; choix de composition auteur ; dimensions réelles à documenter</x:v>
      </x:c>
      <x:c r="I3387" s="115" t="str">
        <x:v>À équilibrer</x:v>
      </x:c>
      <x:c r="J3387" s="115" t="str">
        <x:v>Non</x:v>
      </x:c>
      <x:c r="K3387" s="115" t="str">
        <x:v>Pièces décrites, murs, portes, niveaux et mobilier inspectables à l’échelle. Volumes réservés, raccord au seed, butin, rencontres et services de campagne restent à terminer.</x:v>
      </x:c>
    </x:row>
    <x:row r="3388" ht="96" customHeight="1">
      <x:c r="A3388" s="115" t="str">
        <x:v>EXT-MONDE-T068-V33</x:v>
      </x:c>
      <x:c r="B3388" s="115" t="str">
        <x:v>EXT-MONDE-T068</x:v>
      </x:c>
      <x:c r="C3388" s="115" t="str">
        <x:v>Stades</x:v>
      </x:c>
      <x:c r="D3388" s="115" t="str">
        <x:v>Complexe sportif</x:v>
      </x:c>
      <x:c r="E3388" s="115" t="n">
        <x:v>33</x:v>
      </x:c>
      <x:c r="F3388" s="115" t="str">
        <x:v>Inspection physique</x:v>
      </x:c>
      <x:c r="G3388" s="115" t="str">
        <x:v>1 niveaux ; 32 pièces ; 248 segments de mur ; 0 transitions. Inspection physique ; architecture complète encore ouverte.</x:v>
      </x:c>
      <x:c r="H3388" s="115" t="str">
        <x:v>L 398 ; l 594 ; hauteur 10 m ; choix de composition auteur ; dimensions réelles à documenter</x:v>
      </x:c>
      <x:c r="I3388" s="115" t="str">
        <x:v>À équilibrer</x:v>
      </x:c>
      <x:c r="J3388" s="115" t="str">
        <x:v>Non</x:v>
      </x:c>
      <x:c r="K3388" s="115" t="str">
        <x:v>Pièces décrites, murs, portes, niveaux et mobilier inspectables à l’échelle. Volumes réservés, raccord au seed, butin, rencontres et services de campagne restent à terminer.</x:v>
      </x:c>
    </x:row>
    <x:row r="3389" ht="96" customHeight="1">
      <x:c r="A3389" s="115" t="str">
        <x:v>EXT-MONDE-T068-V34</x:v>
      </x:c>
      <x:c r="B3389" s="115" t="str">
        <x:v>EXT-MONDE-T068</x:v>
      </x:c>
      <x:c r="C3389" s="115" t="str">
        <x:v>Stades</x:v>
      </x:c>
      <x:c r="D3389" s="115" t="str">
        <x:v>Complexe sportif</x:v>
      </x:c>
      <x:c r="E3389" s="115" t="n">
        <x:v>34</x:v>
      </x:c>
      <x:c r="F3389" s="115" t="str">
        <x:v>Inspection physique</x:v>
      </x:c>
      <x:c r="G3389" s="115" t="str">
        <x:v>1 niveaux ; 32 pièces ; 248 segments de mur ; 0 transitions. Inspection physique ; architecture complète encore ouverte.</x:v>
      </x:c>
      <x:c r="H3389" s="115" t="str">
        <x:v>L 398 ; l 594 ; hauteur 10 m ; choix de composition auteur ; dimensions réelles à documenter</x:v>
      </x:c>
      <x:c r="I3389" s="115" t="str">
        <x:v>À équilibrer</x:v>
      </x:c>
      <x:c r="J3389" s="115" t="str">
        <x:v>Non</x:v>
      </x:c>
      <x:c r="K3389" s="115" t="str">
        <x:v>Pièces décrites, murs, portes, niveaux et mobilier inspectables à l’échelle. Volumes réservés, raccord au seed, butin, rencontres et services de campagne restent à terminer.</x:v>
      </x:c>
    </x:row>
    <x:row r="3390" ht="96" customHeight="1">
      <x:c r="A3390" s="115" t="str">
        <x:v>EXT-MONDE-T068-V35</x:v>
      </x:c>
      <x:c r="B3390" s="115" t="str">
        <x:v>EXT-MONDE-T068</x:v>
      </x:c>
      <x:c r="C3390" s="115" t="str">
        <x:v>Stades</x:v>
      </x:c>
      <x:c r="D3390" s="115" t="str">
        <x:v>Complexe sportif</x:v>
      </x:c>
      <x:c r="E3390" s="115" t="n">
        <x:v>35</x:v>
      </x:c>
      <x:c r="F3390" s="115" t="str">
        <x:v>Inspection physique</x:v>
      </x:c>
      <x:c r="G3390" s="115" t="str">
        <x:v>1 niveaux ; 32 pièces ; 248 segments de mur ; 0 transitions. Inspection physique ; architecture complète encore ouverte.</x:v>
      </x:c>
      <x:c r="H3390" s="115" t="str">
        <x:v>L 398 ; l 594 ; hauteur 10 m ; choix de composition auteur ; dimensions réelles à documenter</x:v>
      </x:c>
      <x:c r="I3390" s="115" t="str">
        <x:v>À équilibrer</x:v>
      </x:c>
      <x:c r="J3390" s="115" t="str">
        <x:v>Non</x:v>
      </x:c>
      <x:c r="K3390" s="115" t="str">
        <x:v>Pièces décrites, murs, portes, niveaux et mobilier inspectables à l’échelle. Volumes réservés, raccord au seed, butin, rencontres et services de campagne restent à terminer.</x:v>
      </x:c>
    </x:row>
    <x:row r="3391" ht="96" customHeight="1">
      <x:c r="A3391" s="115" t="str">
        <x:v>EXT-MONDE-T068-V36</x:v>
      </x:c>
      <x:c r="B3391" s="115" t="str">
        <x:v>EXT-MONDE-T068</x:v>
      </x:c>
      <x:c r="C3391" s="115" t="str">
        <x:v>Stades</x:v>
      </x:c>
      <x:c r="D3391" s="115" t="str">
        <x:v>Complexe sportif</x:v>
      </x:c>
      <x:c r="E3391" s="115" t="n">
        <x:v>36</x:v>
      </x:c>
      <x:c r="F3391" s="115" t="str">
        <x:v>Inspection physique</x:v>
      </x:c>
      <x:c r="G3391" s="115" t="str">
        <x:v>1 niveaux ; 32 pièces ; 248 segments de mur ; 0 transitions. Inspection physique ; architecture complète encore ouverte.</x:v>
      </x:c>
      <x:c r="H3391" s="115" t="str">
        <x:v>L 398 ; l 594 ; hauteur 10 m ; choix de composition auteur ; dimensions réelles à documenter</x:v>
      </x:c>
      <x:c r="I3391" s="115" t="str">
        <x:v>À équilibrer</x:v>
      </x:c>
      <x:c r="J3391" s="115" t="str">
        <x:v>Non</x:v>
      </x:c>
      <x:c r="K3391" s="115" t="str">
        <x:v>Pièces décrites, murs, portes, niveaux et mobilier inspectables à l’échelle. Volumes réservés, raccord au seed, butin, rencontres et services de campagne restent à terminer.</x:v>
      </x:c>
    </x:row>
    <x:row r="3392" ht="96" customHeight="1">
      <x:c r="A3392" s="115" t="str">
        <x:v>EXT-MONDE-T068-V37</x:v>
      </x:c>
      <x:c r="B3392" s="115" t="str">
        <x:v>EXT-MONDE-T068</x:v>
      </x:c>
      <x:c r="C3392" s="115" t="str">
        <x:v>Stades</x:v>
      </x:c>
      <x:c r="D3392" s="115" t="str">
        <x:v>Complexe sportif</x:v>
      </x:c>
      <x:c r="E3392" s="115" t="n">
        <x:v>37</x:v>
      </x:c>
      <x:c r="F3392" s="115" t="str">
        <x:v>Inspection physique</x:v>
      </x:c>
      <x:c r="G3392" s="115" t="str">
        <x:v>1 niveaux ; 32 pièces ; 248 segments de mur ; 0 transitions. Inspection physique ; architecture complète encore ouverte.</x:v>
      </x:c>
      <x:c r="H3392" s="115" t="str">
        <x:v>L 398 ; l 594 ; hauteur 10 m ; choix de composition auteur ; dimensions réelles à documenter</x:v>
      </x:c>
      <x:c r="I3392" s="115" t="str">
        <x:v>À équilibrer</x:v>
      </x:c>
      <x:c r="J3392" s="115" t="str">
        <x:v>Non</x:v>
      </x:c>
      <x:c r="K3392" s="115" t="str">
        <x:v>Pièces décrites, murs, portes, niveaux et mobilier inspectables à l’échelle. Volumes réservés, raccord au seed, butin, rencontres et services de campagne restent à terminer.</x:v>
      </x:c>
    </x:row>
    <x:row r="3393" ht="96" customHeight="1">
      <x:c r="A3393" s="115" t="str">
        <x:v>EXT-MONDE-T068-V38</x:v>
      </x:c>
      <x:c r="B3393" s="115" t="str">
        <x:v>EXT-MONDE-T068</x:v>
      </x:c>
      <x:c r="C3393" s="115" t="str">
        <x:v>Stades</x:v>
      </x:c>
      <x:c r="D3393" s="115" t="str">
        <x:v>Complexe sportif</x:v>
      </x:c>
      <x:c r="E3393" s="115" t="n">
        <x:v>38</x:v>
      </x:c>
      <x:c r="F3393" s="115" t="str">
        <x:v>Inspection physique</x:v>
      </x:c>
      <x:c r="G3393" s="115" t="str">
        <x:v>1 niveaux ; 32 pièces ; 248 segments de mur ; 0 transitions. Inspection physique ; architecture complète encore ouverte.</x:v>
      </x:c>
      <x:c r="H3393" s="115" t="str">
        <x:v>L 398 ; l 594 ; hauteur 10 m ; choix de composition auteur ; dimensions réelles à documenter</x:v>
      </x:c>
      <x:c r="I3393" s="115" t="str">
        <x:v>À équilibrer</x:v>
      </x:c>
      <x:c r="J3393" s="115" t="str">
        <x:v>Non</x:v>
      </x:c>
      <x:c r="K3393" s="115" t="str">
        <x:v>Pièces décrites, murs, portes, niveaux et mobilier inspectables à l’échelle. Volumes réservés, raccord au seed, butin, rencontres et services de campagne restent à terminer.</x:v>
      </x:c>
    </x:row>
    <x:row r="3394" ht="96" customHeight="1">
      <x:c r="A3394" s="115" t="str">
        <x:v>EXT-MONDE-T068-V39</x:v>
      </x:c>
      <x:c r="B3394" s="115" t="str">
        <x:v>EXT-MONDE-T068</x:v>
      </x:c>
      <x:c r="C3394" s="115" t="str">
        <x:v>Stades</x:v>
      </x:c>
      <x:c r="D3394" s="115" t="str">
        <x:v>Complexe sportif</x:v>
      </x:c>
      <x:c r="E3394" s="115" t="n">
        <x:v>39</x:v>
      </x:c>
      <x:c r="F3394" s="115" t="str">
        <x:v>Inspection physique</x:v>
      </x:c>
      <x:c r="G3394" s="115" t="str">
        <x:v>1 niveaux ; 32 pièces ; 248 segments de mur ; 0 transitions. Inspection physique ; architecture complète encore ouverte.</x:v>
      </x:c>
      <x:c r="H3394" s="115" t="str">
        <x:v>L 398 ; l 594 ; hauteur 10 m ; choix de composition auteur ; dimensions réelles à documenter</x:v>
      </x:c>
      <x:c r="I3394" s="115" t="str">
        <x:v>À équilibrer</x:v>
      </x:c>
      <x:c r="J3394" s="115" t="str">
        <x:v>Non</x:v>
      </x:c>
      <x:c r="K3394" s="115" t="str">
        <x:v>Pièces décrites, murs, portes, niveaux et mobilier inspectables à l’échelle. Volumes réservés, raccord au seed, butin, rencontres et services de campagne restent à terminer.</x:v>
      </x:c>
    </x:row>
    <x:row r="3395" ht="96" customHeight="1">
      <x:c r="A3395" s="115" t="str">
        <x:v>EXT-MONDE-T068-V40</x:v>
      </x:c>
      <x:c r="B3395" s="115" t="str">
        <x:v>EXT-MONDE-T068</x:v>
      </x:c>
      <x:c r="C3395" s="115" t="str">
        <x:v>Stades</x:v>
      </x:c>
      <x:c r="D3395" s="115" t="str">
        <x:v>Complexe sportif</x:v>
      </x:c>
      <x:c r="E3395" s="115" t="n">
        <x:v>40</x:v>
      </x:c>
      <x:c r="F3395" s="115" t="str">
        <x:v>Inspection physique</x:v>
      </x:c>
      <x:c r="G3395" s="115" t="str">
        <x:v>1 niveaux ; 32 pièces ; 248 segments de mur ; 0 transitions. Inspection physique ; architecture complète encore ouverte.</x:v>
      </x:c>
      <x:c r="H3395" s="115" t="str">
        <x:v>L 398 ; l 594 ; hauteur 10 m ; choix de composition auteur ; dimensions réelles à documenter</x:v>
      </x:c>
      <x:c r="I3395" s="115" t="str">
        <x:v>À équilibrer</x:v>
      </x:c>
      <x:c r="J3395" s="115" t="str">
        <x:v>Non</x:v>
      </x:c>
      <x:c r="K3395" s="115" t="str">
        <x:v>Pièces décrites, murs, portes, niveaux et mobilier inspectables à l’échelle. Volumes réservés, raccord au seed, butin, rencontres et services de campagne restent à terminer.</x:v>
      </x:c>
    </x:row>
    <x:row r="3396" ht="96" customHeight="1">
      <x:c r="A3396" s="115" t="str">
        <x:v>EXT-MONDE-T068-V41</x:v>
      </x:c>
      <x:c r="B3396" s="115" t="str">
        <x:v>EXT-MONDE-T068</x:v>
      </x:c>
      <x:c r="C3396" s="115" t="str">
        <x:v>Stades</x:v>
      </x:c>
      <x:c r="D3396" s="115" t="str">
        <x:v>Complexe sportif</x:v>
      </x:c>
      <x:c r="E3396" s="115" t="n">
        <x:v>41</x:v>
      </x:c>
      <x:c r="F3396" s="115" t="str">
        <x:v>Inspection physique</x:v>
      </x:c>
      <x:c r="G3396" s="115" t="str">
        <x:v>1 niveaux ; 32 pièces ; 248 segments de mur ; 0 transitions. Inspection physique ; architecture complète encore ouverte.</x:v>
      </x:c>
      <x:c r="H3396" s="115" t="str">
        <x:v>L 410 ; l 602 ; hauteur 10 m ; choix de composition auteur ; dimensions réelles à documenter</x:v>
      </x:c>
      <x:c r="I3396" s="115" t="str">
        <x:v>À équilibrer</x:v>
      </x:c>
      <x:c r="J3396" s="115" t="str">
        <x:v>Non</x:v>
      </x:c>
      <x:c r="K3396" s="115" t="str">
        <x:v>Pièces décrites, murs, portes, niveaux et mobilier inspectables à l’échelle. Volumes réservés, raccord au seed, butin, rencontres et services de campagne restent à terminer.</x:v>
      </x:c>
    </x:row>
    <x:row r="3397" ht="96" customHeight="1">
      <x:c r="A3397" s="115" t="str">
        <x:v>EXT-MONDE-T068-V42</x:v>
      </x:c>
      <x:c r="B3397" s="115" t="str">
        <x:v>EXT-MONDE-T068</x:v>
      </x:c>
      <x:c r="C3397" s="115" t="str">
        <x:v>Stades</x:v>
      </x:c>
      <x:c r="D3397" s="115" t="str">
        <x:v>Complexe sportif</x:v>
      </x:c>
      <x:c r="E3397" s="115" t="n">
        <x:v>42</x:v>
      </x:c>
      <x:c r="F3397" s="115" t="str">
        <x:v>Inspection physique</x:v>
      </x:c>
      <x:c r="G3397" s="115" t="str">
        <x:v>1 niveaux ; 32 pièces ; 248 segments de mur ; 0 transitions. Inspection physique ; architecture complète encore ouverte.</x:v>
      </x:c>
      <x:c r="H3397" s="115" t="str">
        <x:v>L 410 ; l 602 ; hauteur 10 m ; choix de composition auteur ; dimensions réelles à documenter</x:v>
      </x:c>
      <x:c r="I3397" s="115" t="str">
        <x:v>À équilibrer</x:v>
      </x:c>
      <x:c r="J3397" s="115" t="str">
        <x:v>Non</x:v>
      </x:c>
      <x:c r="K3397" s="115" t="str">
        <x:v>Pièces décrites, murs, portes, niveaux et mobilier inspectables à l’échelle. Volumes réservés, raccord au seed, butin, rencontres et services de campagne restent à terminer.</x:v>
      </x:c>
    </x:row>
    <x:row r="3398" ht="96" customHeight="1">
      <x:c r="A3398" s="115" t="str">
        <x:v>EXT-MONDE-T068-V43</x:v>
      </x:c>
      <x:c r="B3398" s="115" t="str">
        <x:v>EXT-MONDE-T068</x:v>
      </x:c>
      <x:c r="C3398" s="115" t="str">
        <x:v>Stades</x:v>
      </x:c>
      <x:c r="D3398" s="115" t="str">
        <x:v>Complexe sportif</x:v>
      </x:c>
      <x:c r="E3398" s="115" t="n">
        <x:v>43</x:v>
      </x:c>
      <x:c r="F3398" s="115" t="str">
        <x:v>Inspection physique</x:v>
      </x:c>
      <x:c r="G3398" s="115" t="str">
        <x:v>1 niveaux ; 32 pièces ; 248 segments de mur ; 0 transitions. Inspection physique ; architecture complète encore ouverte.</x:v>
      </x:c>
      <x:c r="H3398" s="115" t="str">
        <x:v>L 410 ; l 602 ; hauteur 10 m ; choix de composition auteur ; dimensions réelles à documenter</x:v>
      </x:c>
      <x:c r="I3398" s="115" t="str">
        <x:v>À équilibrer</x:v>
      </x:c>
      <x:c r="J3398" s="115" t="str">
        <x:v>Non</x:v>
      </x:c>
      <x:c r="K3398" s="115" t="str">
        <x:v>Pièces décrites, murs, portes, niveaux et mobilier inspectables à l’échelle. Volumes réservés, raccord au seed, butin, rencontres et services de campagne restent à terminer.</x:v>
      </x:c>
    </x:row>
    <x:row r="3399" ht="96" customHeight="1">
      <x:c r="A3399" s="115" t="str">
        <x:v>EXT-MONDE-T068-V44</x:v>
      </x:c>
      <x:c r="B3399" s="115" t="str">
        <x:v>EXT-MONDE-T068</x:v>
      </x:c>
      <x:c r="C3399" s="115" t="str">
        <x:v>Stades</x:v>
      </x:c>
      <x:c r="D3399" s="115" t="str">
        <x:v>Complexe sportif</x:v>
      </x:c>
      <x:c r="E3399" s="115" t="n">
        <x:v>44</x:v>
      </x:c>
      <x:c r="F3399" s="115" t="str">
        <x:v>Inspection physique</x:v>
      </x:c>
      <x:c r="G3399" s="115" t="str">
        <x:v>1 niveaux ; 32 pièces ; 248 segments de mur ; 0 transitions. Inspection physique ; architecture complète encore ouverte.</x:v>
      </x:c>
      <x:c r="H3399" s="115" t="str">
        <x:v>L 410 ; l 602 ; hauteur 10 m ; choix de composition auteur ; dimensions réelles à documenter</x:v>
      </x:c>
      <x:c r="I3399" s="115" t="str">
        <x:v>À équilibrer</x:v>
      </x:c>
      <x:c r="J3399" s="115" t="str">
        <x:v>Non</x:v>
      </x:c>
      <x:c r="K3399" s="115" t="str">
        <x:v>Pièces décrites, murs, portes, niveaux et mobilier inspectables à l’échelle. Volumes réservés, raccord au seed, butin, rencontres et services de campagne restent à terminer.</x:v>
      </x:c>
    </x:row>
    <x:row r="3400" ht="96" customHeight="1">
      <x:c r="A3400" s="115" t="str">
        <x:v>EXT-MONDE-T068-V45</x:v>
      </x:c>
      <x:c r="B3400" s="115" t="str">
        <x:v>EXT-MONDE-T068</x:v>
      </x:c>
      <x:c r="C3400" s="115" t="str">
        <x:v>Stades</x:v>
      </x:c>
      <x:c r="D3400" s="115" t="str">
        <x:v>Complexe sportif</x:v>
      </x:c>
      <x:c r="E3400" s="115" t="n">
        <x:v>45</x:v>
      </x:c>
      <x:c r="F3400" s="115" t="str">
        <x:v>Inspection physique</x:v>
      </x:c>
      <x:c r="G3400" s="115" t="str">
        <x:v>1 niveaux ; 32 pièces ; 248 segments de mur ; 0 transitions. Inspection physique ; architecture complète encore ouverte.</x:v>
      </x:c>
      <x:c r="H3400" s="115" t="str">
        <x:v>L 410 ; l 602 ; hauteur 10 m ; choix de composition auteur ; dimensions réelles à documenter</x:v>
      </x:c>
      <x:c r="I3400" s="115" t="str">
        <x:v>À équilibrer</x:v>
      </x:c>
      <x:c r="J3400" s="115" t="str">
        <x:v>Non</x:v>
      </x:c>
      <x:c r="K3400" s="115" t="str">
        <x:v>Pièces décrites, murs, portes, niveaux et mobilier inspectables à l’échelle. Volumes réservés, raccord au seed, butin, rencontres et services de campagne restent à terminer.</x:v>
      </x:c>
    </x:row>
    <x:row r="3401" ht="96" customHeight="1">
      <x:c r="A3401" s="115" t="str">
        <x:v>EXT-MONDE-T068-V46</x:v>
      </x:c>
      <x:c r="B3401" s="115" t="str">
        <x:v>EXT-MONDE-T068</x:v>
      </x:c>
      <x:c r="C3401" s="115" t="str">
        <x:v>Stades</x:v>
      </x:c>
      <x:c r="D3401" s="115" t="str">
        <x:v>Complexe sportif</x:v>
      </x:c>
      <x:c r="E3401" s="115" t="n">
        <x:v>46</x:v>
      </x:c>
      <x:c r="F3401" s="115" t="str">
        <x:v>Inspection physique</x:v>
      </x:c>
      <x:c r="G3401" s="115" t="str">
        <x:v>1 niveaux ; 32 pièces ; 248 segments de mur ; 0 transitions. Inspection physique ; architecture complète encore ouverte.</x:v>
      </x:c>
      <x:c r="H3401" s="115" t="str">
        <x:v>L 410 ; l 602 ; hauteur 10 m ; choix de composition auteur ; dimensions réelles à documenter</x:v>
      </x:c>
      <x:c r="I3401" s="115" t="str">
        <x:v>À équilibrer</x:v>
      </x:c>
      <x:c r="J3401" s="115" t="str">
        <x:v>Non</x:v>
      </x:c>
      <x:c r="K3401" s="115" t="str">
        <x:v>Pièces décrites, murs, portes, niveaux et mobilier inspectables à l’échelle. Volumes réservés, raccord au seed, butin, rencontres et services de campagne restent à terminer.</x:v>
      </x:c>
    </x:row>
    <x:row r="3402" ht="96" customHeight="1">
      <x:c r="A3402" s="115" t="str">
        <x:v>EXT-MONDE-T068-V47</x:v>
      </x:c>
      <x:c r="B3402" s="115" t="str">
        <x:v>EXT-MONDE-T068</x:v>
      </x:c>
      <x:c r="C3402" s="115" t="str">
        <x:v>Stades</x:v>
      </x:c>
      <x:c r="D3402" s="115" t="str">
        <x:v>Complexe sportif</x:v>
      </x:c>
      <x:c r="E3402" s="115" t="n">
        <x:v>47</x:v>
      </x:c>
      <x:c r="F3402" s="115" t="str">
        <x:v>Inspection physique</x:v>
      </x:c>
      <x:c r="G3402" s="115" t="str">
        <x:v>1 niveaux ; 32 pièces ; 248 segments de mur ; 0 transitions. Inspection physique ; architecture complète encore ouverte.</x:v>
      </x:c>
      <x:c r="H3402" s="115" t="str">
        <x:v>L 410 ; l 602 ; hauteur 10 m ; choix de composition auteur ; dimensions réelles à documenter</x:v>
      </x:c>
      <x:c r="I3402" s="115" t="str">
        <x:v>À équilibrer</x:v>
      </x:c>
      <x:c r="J3402" s="115" t="str">
        <x:v>Non</x:v>
      </x:c>
      <x:c r="K3402" s="115" t="str">
        <x:v>Pièces décrites, murs, portes, niveaux et mobilier inspectables à l’échelle. Volumes réservés, raccord au seed, butin, rencontres et services de campagne restent à terminer.</x:v>
      </x:c>
    </x:row>
    <x:row r="3403" ht="96" customHeight="1">
      <x:c r="A3403" s="115" t="str">
        <x:v>EXT-MONDE-T068-V48</x:v>
      </x:c>
      <x:c r="B3403" s="115" t="str">
        <x:v>EXT-MONDE-T068</x:v>
      </x:c>
      <x:c r="C3403" s="115" t="str">
        <x:v>Stades</x:v>
      </x:c>
      <x:c r="D3403" s="115" t="str">
        <x:v>Complexe sportif</x:v>
      </x:c>
      <x:c r="E3403" s="115" t="n">
        <x:v>48</x:v>
      </x:c>
      <x:c r="F3403" s="115" t="str">
        <x:v>Inspection physique</x:v>
      </x:c>
      <x:c r="G3403" s="115" t="str">
        <x:v>1 niveaux ; 32 pièces ; 248 segments de mur ; 0 transitions. Inspection physique ; architecture complète encore ouverte.</x:v>
      </x:c>
      <x:c r="H3403" s="115" t="str">
        <x:v>L 410 ; l 602 ; hauteur 10 m ; choix de composition auteur ; dimensions réelles à documenter</x:v>
      </x:c>
      <x:c r="I3403" s="115" t="str">
        <x:v>À équilibrer</x:v>
      </x:c>
      <x:c r="J3403" s="115" t="str">
        <x:v>Non</x:v>
      </x:c>
      <x:c r="K3403" s="115" t="str">
        <x:v>Pièces décrites, murs, portes, niveaux et mobilier inspectables à l’échelle. Volumes réservés, raccord au seed, butin, rencontres et services de campagne restent à terminer.</x:v>
      </x:c>
    </x:row>
    <x:row r="3404" ht="96" customHeight="1">
      <x:c r="A3404" s="115" t="str">
        <x:v>EXT-MONDE-T068-V49</x:v>
      </x:c>
      <x:c r="B3404" s="115" t="str">
        <x:v>EXT-MONDE-T068</x:v>
      </x:c>
      <x:c r="C3404" s="115" t="str">
        <x:v>Stades</x:v>
      </x:c>
      <x:c r="D3404" s="115" t="str">
        <x:v>Complexe sportif</x:v>
      </x:c>
      <x:c r="E3404" s="115" t="n">
        <x:v>49</x:v>
      </x:c>
      <x:c r="F3404" s="115" t="str">
        <x:v>Inspection physique</x:v>
      </x:c>
      <x:c r="G3404" s="115" t="str">
        <x:v>1 niveaux ; 32 pièces ; 248 segments de mur ; 0 transitions. Inspection physique ; architecture complète encore ouverte.</x:v>
      </x:c>
      <x:c r="H3404" s="115" t="str">
        <x:v>L 410 ; l 602 ; hauteur 10 m ; choix de composition auteur ; dimensions réelles à documenter</x:v>
      </x:c>
      <x:c r="I3404" s="115" t="str">
        <x:v>À équilibrer</x:v>
      </x:c>
      <x:c r="J3404" s="115" t="str">
        <x:v>Non</x:v>
      </x:c>
      <x:c r="K3404" s="115" t="str">
        <x:v>Pièces décrites, murs, portes, niveaux et mobilier inspectables à l’échelle. Volumes réservés, raccord au seed, butin, rencontres et services de campagne restent à terminer.</x:v>
      </x:c>
    </x:row>
    <x:row r="3405" ht="96" customHeight="1">
      <x:c r="A3405" s="115" t="str">
        <x:v>EXT-MONDE-T068-V50</x:v>
      </x:c>
      <x:c r="B3405" s="115" t="str">
        <x:v>EXT-MONDE-T068</x:v>
      </x:c>
      <x:c r="C3405" s="115" t="str">
        <x:v>Stades</x:v>
      </x:c>
      <x:c r="D3405" s="115" t="str">
        <x:v>Complexe sportif</x:v>
      </x:c>
      <x:c r="E3405" s="115" t="n">
        <x:v>50</x:v>
      </x:c>
      <x:c r="F3405" s="115" t="str">
        <x:v>Inspection physique</x:v>
      </x:c>
      <x:c r="G3405" s="115" t="str">
        <x:v>1 niveaux ; 32 pièces ; 248 segments de mur ; 0 transitions. Inspection physique ; architecture complète encore ouverte.</x:v>
      </x:c>
      <x:c r="H3405" s="115" t="str">
        <x:v>L 410 ; l 602 ; hauteur 10 m ; choix de composition auteur ; dimensions réelles à documenter</x:v>
      </x:c>
      <x:c r="I3405" s="115" t="str">
        <x:v>À équilibrer</x:v>
      </x:c>
      <x:c r="J3405" s="115" t="str">
        <x:v>Non</x:v>
      </x:c>
      <x:c r="K3405" s="115" t="str">
        <x:v>Pièces décrites, murs, portes, niveaux et mobilier inspectables à l’échelle. Volumes réservés, raccord au seed, butin, rencontres et services de campagne restent à terminer.</x:v>
      </x:c>
    </x:row>
    <x:row r="3406" ht="96" customHeight="1">
      <x:c r="A3406" s="115" t="str">
        <x:v>EXT-MONDE-T069-V01</x:v>
      </x:c>
      <x:c r="B3406" s="115" t="str">
        <x:v>EXT-MONDE-T069</x:v>
      </x:c>
      <x:c r="C3406" s="115" t="str">
        <x:v>Aéroports</x:v>
      </x:c>
      <x:c r="D3406" s="115" t="str">
        <x:v>Aérodrome régional</x:v>
      </x:c>
      <x:c r="E3406" s="115" t="n">
        <x:v>1</x:v>
      </x:c>
      <x:c r="F3406" s="115" t="str">
        <x:v>Inspection physique</x:v>
      </x:c>
      <x:c r="G3406" s="115" t="str">
        <x:v>1 niveaux ; 36 pièces ; 265 segments de mur ; 0 transitions. Inspection physique ; architecture complète encore ouverte.</x:v>
      </x:c>
      <x:c r="H3406" s="115" t="str">
        <x:v>L 1100 ; l 1600 ; hauteur 18 m ; choix de composition auteur ; dimensions réelles à documenter</x:v>
      </x:c>
      <x:c r="I3406" s="115" t="str">
        <x:v>À équilibrer</x:v>
      </x:c>
      <x:c r="J3406" s="115" t="str">
        <x:v>Non</x:v>
      </x:c>
      <x:c r="K3406" s="115" t="str">
        <x:v>Pièces décrites, murs, portes, niveaux et mobilier inspectables à l’échelle. Volumes réservés, raccord au seed, butin, rencontres et services de campagne restent à terminer.</x:v>
      </x:c>
    </x:row>
    <x:row r="3407" ht="96" customHeight="1">
      <x:c r="A3407" s="115" t="str">
        <x:v>EXT-MONDE-T069-V02</x:v>
      </x:c>
      <x:c r="B3407" s="115" t="str">
        <x:v>EXT-MONDE-T069</x:v>
      </x:c>
      <x:c r="C3407" s="115" t="str">
        <x:v>Aéroports</x:v>
      </x:c>
      <x:c r="D3407" s="115" t="str">
        <x:v>Aérodrome régional</x:v>
      </x:c>
      <x:c r="E3407" s="115" t="n">
        <x:v>2</x:v>
      </x:c>
      <x:c r="F3407" s="115" t="str">
        <x:v>Inspection physique</x:v>
      </x:c>
      <x:c r="G3407" s="115" t="str">
        <x:v>1 niveaux ; 36 pièces ; 265 segments de mur ; 0 transitions. Inspection physique ; architecture complète encore ouverte.</x:v>
      </x:c>
      <x:c r="H3407" s="115" t="str">
        <x:v>L 1100 ; l 1600 ; hauteur 18 m ; choix de composition auteur ; dimensions réelles à documenter</x:v>
      </x:c>
      <x:c r="I3407" s="115" t="str">
        <x:v>À équilibrer</x:v>
      </x:c>
      <x:c r="J3407" s="115" t="str">
        <x:v>Non</x:v>
      </x:c>
      <x:c r="K3407" s="115" t="str">
        <x:v>Pièces décrites, murs, portes, niveaux et mobilier inspectables à l’échelle. Volumes réservés, raccord au seed, butin, rencontres et services de campagne restent à terminer.</x:v>
      </x:c>
    </x:row>
    <x:row r="3408" ht="96" customHeight="1">
      <x:c r="A3408" s="115" t="str">
        <x:v>EXT-MONDE-T069-V03</x:v>
      </x:c>
      <x:c r="B3408" s="115" t="str">
        <x:v>EXT-MONDE-T069</x:v>
      </x:c>
      <x:c r="C3408" s="115" t="str">
        <x:v>Aéroports</x:v>
      </x:c>
      <x:c r="D3408" s="115" t="str">
        <x:v>Aérodrome régional</x:v>
      </x:c>
      <x:c r="E3408" s="115" t="n">
        <x:v>3</x:v>
      </x:c>
      <x:c r="F3408" s="115" t="str">
        <x:v>Inspection physique</x:v>
      </x:c>
      <x:c r="G3408" s="115" t="str">
        <x:v>1 niveaux ; 36 pièces ; 265 segments de mur ; 0 transitions. Inspection physique ; architecture complète encore ouverte.</x:v>
      </x:c>
      <x:c r="H3408" s="115" t="str">
        <x:v>L 1100 ; l 1600 ; hauteur 18 m ; choix de composition auteur ; dimensions réelles à documenter</x:v>
      </x:c>
      <x:c r="I3408" s="115" t="str">
        <x:v>À équilibrer</x:v>
      </x:c>
      <x:c r="J3408" s="115" t="str">
        <x:v>Non</x:v>
      </x:c>
      <x:c r="K3408" s="115" t="str">
        <x:v>Pièces décrites, murs, portes, niveaux et mobilier inspectables à l’échelle. Volumes réservés, raccord au seed, butin, rencontres et services de campagne restent à terminer.</x:v>
      </x:c>
    </x:row>
    <x:row r="3409" ht="96" customHeight="1">
      <x:c r="A3409" s="115" t="str">
        <x:v>EXT-MONDE-T069-V04</x:v>
      </x:c>
      <x:c r="B3409" s="115" t="str">
        <x:v>EXT-MONDE-T069</x:v>
      </x:c>
      <x:c r="C3409" s="115" t="str">
        <x:v>Aéroports</x:v>
      </x:c>
      <x:c r="D3409" s="115" t="str">
        <x:v>Aérodrome régional</x:v>
      </x:c>
      <x:c r="E3409" s="115" t="n">
        <x:v>4</x:v>
      </x:c>
      <x:c r="F3409" s="115" t="str">
        <x:v>Inspection physique</x:v>
      </x:c>
      <x:c r="G3409" s="115" t="str">
        <x:v>1 niveaux ; 36 pièces ; 265 segments de mur ; 0 transitions. Inspection physique ; architecture complète encore ouverte.</x:v>
      </x:c>
      <x:c r="H3409" s="115" t="str">
        <x:v>L 1100 ; l 1600 ; hauteur 18 m ; choix de composition auteur ; dimensions réelles à documenter</x:v>
      </x:c>
      <x:c r="I3409" s="115" t="str">
        <x:v>À équilibrer</x:v>
      </x:c>
      <x:c r="J3409" s="115" t="str">
        <x:v>Non</x:v>
      </x:c>
      <x:c r="K3409" s="115" t="str">
        <x:v>Pièces décrites, murs, portes, niveaux et mobilier inspectables à l’échelle. Volumes réservés, raccord au seed, butin, rencontres et services de campagne restent à terminer.</x:v>
      </x:c>
    </x:row>
    <x:row r="3410" ht="96" customHeight="1">
      <x:c r="A3410" s="115" t="str">
        <x:v>EXT-MONDE-T069-V05</x:v>
      </x:c>
      <x:c r="B3410" s="115" t="str">
        <x:v>EXT-MONDE-T069</x:v>
      </x:c>
      <x:c r="C3410" s="115" t="str">
        <x:v>Aéroports</x:v>
      </x:c>
      <x:c r="D3410" s="115" t="str">
        <x:v>Aérodrome régional</x:v>
      </x:c>
      <x:c r="E3410" s="115" t="n">
        <x:v>5</x:v>
      </x:c>
      <x:c r="F3410" s="115" t="str">
        <x:v>Inspection physique</x:v>
      </x:c>
      <x:c r="G3410" s="115" t="str">
        <x:v>1 niveaux ; 36 pièces ; 265 segments de mur ; 0 transitions. Inspection physique ; architecture complète encore ouverte.</x:v>
      </x:c>
      <x:c r="H3410" s="115" t="str">
        <x:v>L 1100 ; l 1600 ; hauteur 18 m ; choix de composition auteur ; dimensions réelles à documenter</x:v>
      </x:c>
      <x:c r="I3410" s="115" t="str">
        <x:v>À équilibrer</x:v>
      </x:c>
      <x:c r="J3410" s="115" t="str">
        <x:v>Non</x:v>
      </x:c>
      <x:c r="K3410" s="115" t="str">
        <x:v>Pièces décrites, murs, portes, niveaux et mobilier inspectables à l’échelle. Volumes réservés, raccord au seed, butin, rencontres et services de campagne restent à terminer.</x:v>
      </x:c>
    </x:row>
    <x:row r="3411" ht="96" customHeight="1">
      <x:c r="A3411" s="115" t="str">
        <x:v>EXT-MONDE-T069-V06</x:v>
      </x:c>
      <x:c r="B3411" s="115" t="str">
        <x:v>EXT-MONDE-T069</x:v>
      </x:c>
      <x:c r="C3411" s="115" t="str">
        <x:v>Aéroports</x:v>
      </x:c>
      <x:c r="D3411" s="115" t="str">
        <x:v>Aérodrome régional</x:v>
      </x:c>
      <x:c r="E3411" s="115" t="n">
        <x:v>6</x:v>
      </x:c>
      <x:c r="F3411" s="115" t="str">
        <x:v>Inspection physique</x:v>
      </x:c>
      <x:c r="G3411" s="115" t="str">
        <x:v>1 niveaux ; 36 pièces ; 265 segments de mur ; 0 transitions. Inspection physique ; architecture complète encore ouverte.</x:v>
      </x:c>
      <x:c r="H3411" s="115" t="str">
        <x:v>L 1100 ; l 1600 ; hauteur 18 m ; choix de composition auteur ; dimensions réelles à documenter</x:v>
      </x:c>
      <x:c r="I3411" s="115" t="str">
        <x:v>À équilibrer</x:v>
      </x:c>
      <x:c r="J3411" s="115" t="str">
        <x:v>Non</x:v>
      </x:c>
      <x:c r="K3411" s="115" t="str">
        <x:v>Pièces décrites, murs, portes, niveaux et mobilier inspectables à l’échelle. Volumes réservés, raccord au seed, butin, rencontres et services de campagne restent à terminer.</x:v>
      </x:c>
    </x:row>
    <x:row r="3412" ht="96" customHeight="1">
      <x:c r="A3412" s="115" t="str">
        <x:v>EXT-MONDE-T069-V07</x:v>
      </x:c>
      <x:c r="B3412" s="115" t="str">
        <x:v>EXT-MONDE-T069</x:v>
      </x:c>
      <x:c r="C3412" s="115" t="str">
        <x:v>Aéroports</x:v>
      </x:c>
      <x:c r="D3412" s="115" t="str">
        <x:v>Aérodrome régional</x:v>
      </x:c>
      <x:c r="E3412" s="115" t="n">
        <x:v>7</x:v>
      </x:c>
      <x:c r="F3412" s="115" t="str">
        <x:v>Inspection physique</x:v>
      </x:c>
      <x:c r="G3412" s="115" t="str">
        <x:v>1 niveaux ; 36 pièces ; 265 segments de mur ; 0 transitions. Inspection physique ; architecture complète encore ouverte.</x:v>
      </x:c>
      <x:c r="H3412" s="115" t="str">
        <x:v>L 1100 ; l 1600 ; hauteur 18 m ; choix de composition auteur ; dimensions réelles à documenter</x:v>
      </x:c>
      <x:c r="I3412" s="115" t="str">
        <x:v>À équilibrer</x:v>
      </x:c>
      <x:c r="J3412" s="115" t="str">
        <x:v>Non</x:v>
      </x:c>
      <x:c r="K3412" s="115" t="str">
        <x:v>Pièces décrites, murs, portes, niveaux et mobilier inspectables à l’échelle. Volumes réservés, raccord au seed, butin, rencontres et services de campagne restent à terminer.</x:v>
      </x:c>
    </x:row>
    <x:row r="3413" ht="96" customHeight="1">
      <x:c r="A3413" s="115" t="str">
        <x:v>EXT-MONDE-T069-V08</x:v>
      </x:c>
      <x:c r="B3413" s="115" t="str">
        <x:v>EXT-MONDE-T069</x:v>
      </x:c>
      <x:c r="C3413" s="115" t="str">
        <x:v>Aéroports</x:v>
      </x:c>
      <x:c r="D3413" s="115" t="str">
        <x:v>Aérodrome régional</x:v>
      </x:c>
      <x:c r="E3413" s="115" t="n">
        <x:v>8</x:v>
      </x:c>
      <x:c r="F3413" s="115" t="str">
        <x:v>Inspection physique</x:v>
      </x:c>
      <x:c r="G3413" s="115" t="str">
        <x:v>1 niveaux ; 36 pièces ; 265 segments de mur ; 0 transitions. Inspection physique ; architecture complète encore ouverte.</x:v>
      </x:c>
      <x:c r="H3413" s="115" t="str">
        <x:v>L 1100 ; l 1600 ; hauteur 18 m ; choix de composition auteur ; dimensions réelles à documenter</x:v>
      </x:c>
      <x:c r="I3413" s="115" t="str">
        <x:v>À équilibrer</x:v>
      </x:c>
      <x:c r="J3413" s="115" t="str">
        <x:v>Non</x:v>
      </x:c>
      <x:c r="K3413" s="115" t="str">
        <x:v>Pièces décrites, murs, portes, niveaux et mobilier inspectables à l’échelle. Volumes réservés, raccord au seed, butin, rencontres et services de campagne restent à terminer.</x:v>
      </x:c>
    </x:row>
    <x:row r="3414" ht="96" customHeight="1">
      <x:c r="A3414" s="115" t="str">
        <x:v>EXT-MONDE-T069-V09</x:v>
      </x:c>
      <x:c r="B3414" s="115" t="str">
        <x:v>EXT-MONDE-T069</x:v>
      </x:c>
      <x:c r="C3414" s="115" t="str">
        <x:v>Aéroports</x:v>
      </x:c>
      <x:c r="D3414" s="115" t="str">
        <x:v>Aérodrome régional</x:v>
      </x:c>
      <x:c r="E3414" s="115" t="n">
        <x:v>9</x:v>
      </x:c>
      <x:c r="F3414" s="115" t="str">
        <x:v>Inspection physique</x:v>
      </x:c>
      <x:c r="G3414" s="115" t="str">
        <x:v>1 niveaux ; 36 pièces ; 265 segments de mur ; 0 transitions. Inspection physique ; architecture complète encore ouverte.</x:v>
      </x:c>
      <x:c r="H3414" s="115" t="str">
        <x:v>L 1100 ; l 1600 ; hauteur 18 m ; choix de composition auteur ; dimensions réelles à documenter</x:v>
      </x:c>
      <x:c r="I3414" s="115" t="str">
        <x:v>À équilibrer</x:v>
      </x:c>
      <x:c r="J3414" s="115" t="str">
        <x:v>Non</x:v>
      </x:c>
      <x:c r="K3414" s="115" t="str">
        <x:v>Pièces décrites, murs, portes, niveaux et mobilier inspectables à l’échelle. Volumes réservés, raccord au seed, butin, rencontres et services de campagne restent à terminer.</x:v>
      </x:c>
    </x:row>
    <x:row r="3415" ht="96" customHeight="1">
      <x:c r="A3415" s="115" t="str">
        <x:v>EXT-MONDE-T069-V10</x:v>
      </x:c>
      <x:c r="B3415" s="115" t="str">
        <x:v>EXT-MONDE-T069</x:v>
      </x:c>
      <x:c r="C3415" s="115" t="str">
        <x:v>Aéroports</x:v>
      </x:c>
      <x:c r="D3415" s="115" t="str">
        <x:v>Aérodrome régional</x:v>
      </x:c>
      <x:c r="E3415" s="115" t="n">
        <x:v>10</x:v>
      </x:c>
      <x:c r="F3415" s="115" t="str">
        <x:v>Inspection physique</x:v>
      </x:c>
      <x:c r="G3415" s="115" t="str">
        <x:v>1 niveaux ; 36 pièces ; 265 segments de mur ; 0 transitions. Inspection physique ; architecture complète encore ouverte.</x:v>
      </x:c>
      <x:c r="H3415" s="115" t="str">
        <x:v>L 1100 ; l 1600 ; hauteur 18 m ; choix de composition auteur ; dimensions réelles à documenter</x:v>
      </x:c>
      <x:c r="I3415" s="115" t="str">
        <x:v>À équilibrer</x:v>
      </x:c>
      <x:c r="J3415" s="115" t="str">
        <x:v>Non</x:v>
      </x:c>
      <x:c r="K3415" s="115" t="str">
        <x:v>Pièces décrites, murs, portes, niveaux et mobilier inspectables à l’échelle. Volumes réservés, raccord au seed, butin, rencontres et services de campagne restent à terminer.</x:v>
      </x:c>
    </x:row>
    <x:row r="3416" ht="96" customHeight="1">
      <x:c r="A3416" s="115" t="str">
        <x:v>EXT-MONDE-T069-V11</x:v>
      </x:c>
      <x:c r="B3416" s="115" t="str">
        <x:v>EXT-MONDE-T069</x:v>
      </x:c>
      <x:c r="C3416" s="115" t="str">
        <x:v>Aéroports</x:v>
      </x:c>
      <x:c r="D3416" s="115" t="str">
        <x:v>Aérodrome régional</x:v>
      </x:c>
      <x:c r="E3416" s="115" t="n">
        <x:v>11</x:v>
      </x:c>
      <x:c r="F3416" s="115" t="str">
        <x:v>Inspection physique</x:v>
      </x:c>
      <x:c r="G3416" s="115" t="str">
        <x:v>1 niveaux ; 36 pièces ; 265 segments de mur ; 0 transitions. Inspection physique ; architecture complète encore ouverte.</x:v>
      </x:c>
      <x:c r="H3416" s="115" t="str">
        <x:v>L 1100 ; l 1700 ; hauteur 20 m ; choix de composition auteur ; dimensions réelles à documenter</x:v>
      </x:c>
      <x:c r="I3416" s="115" t="str">
        <x:v>À équilibrer</x:v>
      </x:c>
      <x:c r="J3416" s="115" t="str">
        <x:v>Non</x:v>
      </x:c>
      <x:c r="K3416" s="115" t="str">
        <x:v>Pièces décrites, murs, portes, niveaux et mobilier inspectables à l’échelle. Volumes réservés, raccord au seed, butin, rencontres et services de campagne restent à terminer.</x:v>
      </x:c>
    </x:row>
    <x:row r="3417" ht="96" customHeight="1">
      <x:c r="A3417" s="115" t="str">
        <x:v>EXT-MONDE-T069-V12</x:v>
      </x:c>
      <x:c r="B3417" s="115" t="str">
        <x:v>EXT-MONDE-T069</x:v>
      </x:c>
      <x:c r="C3417" s="115" t="str">
        <x:v>Aéroports</x:v>
      </x:c>
      <x:c r="D3417" s="115" t="str">
        <x:v>Aérodrome régional</x:v>
      </x:c>
      <x:c r="E3417" s="115" t="n">
        <x:v>12</x:v>
      </x:c>
      <x:c r="F3417" s="115" t="str">
        <x:v>Inspection physique</x:v>
      </x:c>
      <x:c r="G3417" s="115" t="str">
        <x:v>1 niveaux ; 36 pièces ; 265 segments de mur ; 0 transitions. Inspection physique ; architecture complète encore ouverte.</x:v>
      </x:c>
      <x:c r="H3417" s="115" t="str">
        <x:v>L 1100 ; l 1700 ; hauteur 20 m ; choix de composition auteur ; dimensions réelles à documenter</x:v>
      </x:c>
      <x:c r="I3417" s="115" t="str">
        <x:v>À équilibrer</x:v>
      </x:c>
      <x:c r="J3417" s="115" t="str">
        <x:v>Non</x:v>
      </x:c>
      <x:c r="K3417" s="115" t="str">
        <x:v>Pièces décrites, murs, portes, niveaux et mobilier inspectables à l’échelle. Volumes réservés, raccord au seed, butin, rencontres et services de campagne restent à terminer.</x:v>
      </x:c>
    </x:row>
    <x:row r="3418" ht="96" customHeight="1">
      <x:c r="A3418" s="115" t="str">
        <x:v>EXT-MONDE-T069-V13</x:v>
      </x:c>
      <x:c r="B3418" s="115" t="str">
        <x:v>EXT-MONDE-T069</x:v>
      </x:c>
      <x:c r="C3418" s="115" t="str">
        <x:v>Aéroports</x:v>
      </x:c>
      <x:c r="D3418" s="115" t="str">
        <x:v>Aérodrome régional</x:v>
      </x:c>
      <x:c r="E3418" s="115" t="n">
        <x:v>13</x:v>
      </x:c>
      <x:c r="F3418" s="115" t="str">
        <x:v>Inspection physique</x:v>
      </x:c>
      <x:c r="G3418" s="115" t="str">
        <x:v>1 niveaux ; 36 pièces ; 265 segments de mur ; 0 transitions. Inspection physique ; architecture complète encore ouverte.</x:v>
      </x:c>
      <x:c r="H3418" s="115" t="str">
        <x:v>L 1100 ; l 1700 ; hauteur 20 m ; choix de composition auteur ; dimensions réelles à documenter</x:v>
      </x:c>
      <x:c r="I3418" s="115" t="str">
        <x:v>À équilibrer</x:v>
      </x:c>
      <x:c r="J3418" s="115" t="str">
        <x:v>Non</x:v>
      </x:c>
      <x:c r="K3418" s="115" t="str">
        <x:v>Pièces décrites, murs, portes, niveaux et mobilier inspectables à l’échelle. Volumes réservés, raccord au seed, butin, rencontres et services de campagne restent à terminer.</x:v>
      </x:c>
    </x:row>
    <x:row r="3419" ht="96" customHeight="1">
      <x:c r="A3419" s="115" t="str">
        <x:v>EXT-MONDE-T069-V14</x:v>
      </x:c>
      <x:c r="B3419" s="115" t="str">
        <x:v>EXT-MONDE-T069</x:v>
      </x:c>
      <x:c r="C3419" s="115" t="str">
        <x:v>Aéroports</x:v>
      </x:c>
      <x:c r="D3419" s="115" t="str">
        <x:v>Aérodrome régional</x:v>
      </x:c>
      <x:c r="E3419" s="115" t="n">
        <x:v>14</x:v>
      </x:c>
      <x:c r="F3419" s="115" t="str">
        <x:v>Inspection physique</x:v>
      </x:c>
      <x:c r="G3419" s="115" t="str">
        <x:v>1 niveaux ; 36 pièces ; 265 segments de mur ; 0 transitions. Inspection physique ; architecture complète encore ouverte.</x:v>
      </x:c>
      <x:c r="H3419" s="115" t="str">
        <x:v>L 1100 ; l 1700 ; hauteur 20 m ; choix de composition auteur ; dimensions réelles à documenter</x:v>
      </x:c>
      <x:c r="I3419" s="115" t="str">
        <x:v>À équilibrer</x:v>
      </x:c>
      <x:c r="J3419" s="115" t="str">
        <x:v>Non</x:v>
      </x:c>
      <x:c r="K3419" s="115" t="str">
        <x:v>Pièces décrites, murs, portes, niveaux et mobilier inspectables à l’échelle. Volumes réservés, raccord au seed, butin, rencontres et services de campagne restent à terminer.</x:v>
      </x:c>
    </x:row>
    <x:row r="3420" ht="96" customHeight="1">
      <x:c r="A3420" s="115" t="str">
        <x:v>EXT-MONDE-T069-V15</x:v>
      </x:c>
      <x:c r="B3420" s="115" t="str">
        <x:v>EXT-MONDE-T069</x:v>
      </x:c>
      <x:c r="C3420" s="115" t="str">
        <x:v>Aéroports</x:v>
      </x:c>
      <x:c r="D3420" s="115" t="str">
        <x:v>Aérodrome régional</x:v>
      </x:c>
      <x:c r="E3420" s="115" t="n">
        <x:v>15</x:v>
      </x:c>
      <x:c r="F3420" s="115" t="str">
        <x:v>Inspection physique</x:v>
      </x:c>
      <x:c r="G3420" s="115" t="str">
        <x:v>1 niveaux ; 36 pièces ; 265 segments de mur ; 0 transitions. Inspection physique ; architecture complète encore ouverte.</x:v>
      </x:c>
      <x:c r="H3420" s="115" t="str">
        <x:v>L 1100 ; l 1700 ; hauteur 20 m ; choix de composition auteur ; dimensions réelles à documenter</x:v>
      </x:c>
      <x:c r="I3420" s="115" t="str">
        <x:v>À équilibrer</x:v>
      </x:c>
      <x:c r="J3420" s="115" t="str">
        <x:v>Non</x:v>
      </x:c>
      <x:c r="K3420" s="115" t="str">
        <x:v>Pièces décrites, murs, portes, niveaux et mobilier inspectables à l’échelle. Volumes réservés, raccord au seed, butin, rencontres et services de campagne restent à terminer.</x:v>
      </x:c>
    </x:row>
    <x:row r="3421" ht="96" customHeight="1">
      <x:c r="A3421" s="115" t="str">
        <x:v>EXT-MONDE-T069-V16</x:v>
      </x:c>
      <x:c r="B3421" s="115" t="str">
        <x:v>EXT-MONDE-T069</x:v>
      </x:c>
      <x:c r="C3421" s="115" t="str">
        <x:v>Aéroports</x:v>
      </x:c>
      <x:c r="D3421" s="115" t="str">
        <x:v>Aérodrome régional</x:v>
      </x:c>
      <x:c r="E3421" s="115" t="n">
        <x:v>16</x:v>
      </x:c>
      <x:c r="F3421" s="115" t="str">
        <x:v>Inspection physique</x:v>
      </x:c>
      <x:c r="G3421" s="115" t="str">
        <x:v>1 niveaux ; 36 pièces ; 265 segments de mur ; 0 transitions. Inspection physique ; architecture complète encore ouverte.</x:v>
      </x:c>
      <x:c r="H3421" s="115" t="str">
        <x:v>L 1100 ; l 1700 ; hauteur 20 m ; choix de composition auteur ; dimensions réelles à documenter</x:v>
      </x:c>
      <x:c r="I3421" s="115" t="str">
        <x:v>À équilibrer</x:v>
      </x:c>
      <x:c r="J3421" s="115" t="str">
        <x:v>Non</x:v>
      </x:c>
      <x:c r="K3421" s="115" t="str">
        <x:v>Pièces décrites, murs, portes, niveaux et mobilier inspectables à l’échelle. Volumes réservés, raccord au seed, butin, rencontres et services de campagne restent à terminer.</x:v>
      </x:c>
    </x:row>
    <x:row r="3422" ht="96" customHeight="1">
      <x:c r="A3422" s="115" t="str">
        <x:v>EXT-MONDE-T069-V17</x:v>
      </x:c>
      <x:c r="B3422" s="115" t="str">
        <x:v>EXT-MONDE-T069</x:v>
      </x:c>
      <x:c r="C3422" s="115" t="str">
        <x:v>Aéroports</x:v>
      </x:c>
      <x:c r="D3422" s="115" t="str">
        <x:v>Aérodrome régional</x:v>
      </x:c>
      <x:c r="E3422" s="115" t="n">
        <x:v>17</x:v>
      </x:c>
      <x:c r="F3422" s="115" t="str">
        <x:v>Inspection physique</x:v>
      </x:c>
      <x:c r="G3422" s="115" t="str">
        <x:v>1 niveaux ; 36 pièces ; 265 segments de mur ; 0 transitions. Inspection physique ; architecture complète encore ouverte.</x:v>
      </x:c>
      <x:c r="H3422" s="115" t="str">
        <x:v>L 1100 ; l 1700 ; hauteur 20 m ; choix de composition auteur ; dimensions réelles à documenter</x:v>
      </x:c>
      <x:c r="I3422" s="115" t="str">
        <x:v>À équilibrer</x:v>
      </x:c>
      <x:c r="J3422" s="115" t="str">
        <x:v>Non</x:v>
      </x:c>
      <x:c r="K3422" s="115" t="str">
        <x:v>Pièces décrites, murs, portes, niveaux et mobilier inspectables à l’échelle. Volumes réservés, raccord au seed, butin, rencontres et services de campagne restent à terminer.</x:v>
      </x:c>
    </x:row>
    <x:row r="3423" ht="96" customHeight="1">
      <x:c r="A3423" s="115" t="str">
        <x:v>EXT-MONDE-T069-V18</x:v>
      </x:c>
      <x:c r="B3423" s="115" t="str">
        <x:v>EXT-MONDE-T069</x:v>
      </x:c>
      <x:c r="C3423" s="115" t="str">
        <x:v>Aéroports</x:v>
      </x:c>
      <x:c r="D3423" s="115" t="str">
        <x:v>Aérodrome régional</x:v>
      </x:c>
      <x:c r="E3423" s="115" t="n">
        <x:v>18</x:v>
      </x:c>
      <x:c r="F3423" s="115" t="str">
        <x:v>Inspection physique</x:v>
      </x:c>
      <x:c r="G3423" s="115" t="str">
        <x:v>1 niveaux ; 36 pièces ; 265 segments de mur ; 0 transitions. Inspection physique ; architecture complète encore ouverte.</x:v>
      </x:c>
      <x:c r="H3423" s="115" t="str">
        <x:v>L 1100 ; l 1700 ; hauteur 20 m ; choix de composition auteur ; dimensions réelles à documenter</x:v>
      </x:c>
      <x:c r="I3423" s="115" t="str">
        <x:v>À équilibrer</x:v>
      </x:c>
      <x:c r="J3423" s="115" t="str">
        <x:v>Non</x:v>
      </x:c>
      <x:c r="K3423" s="115" t="str">
        <x:v>Pièces décrites, murs, portes, niveaux et mobilier inspectables à l’échelle. Volumes réservés, raccord au seed, butin, rencontres et services de campagne restent à terminer.</x:v>
      </x:c>
    </x:row>
    <x:row r="3424" ht="96" customHeight="1">
      <x:c r="A3424" s="115" t="str">
        <x:v>EXT-MONDE-T069-V19</x:v>
      </x:c>
      <x:c r="B3424" s="115" t="str">
        <x:v>EXT-MONDE-T069</x:v>
      </x:c>
      <x:c r="C3424" s="115" t="str">
        <x:v>Aéroports</x:v>
      </x:c>
      <x:c r="D3424" s="115" t="str">
        <x:v>Aérodrome régional</x:v>
      </x:c>
      <x:c r="E3424" s="115" t="n">
        <x:v>19</x:v>
      </x:c>
      <x:c r="F3424" s="115" t="str">
        <x:v>Inspection physique</x:v>
      </x:c>
      <x:c r="G3424" s="115" t="str">
        <x:v>1 niveaux ; 36 pièces ; 265 segments de mur ; 0 transitions. Inspection physique ; architecture complète encore ouverte.</x:v>
      </x:c>
      <x:c r="H3424" s="115" t="str">
        <x:v>L 1100 ; l 1700 ; hauteur 20 m ; choix de composition auteur ; dimensions réelles à documenter</x:v>
      </x:c>
      <x:c r="I3424" s="115" t="str">
        <x:v>À équilibrer</x:v>
      </x:c>
      <x:c r="J3424" s="115" t="str">
        <x:v>Non</x:v>
      </x:c>
      <x:c r="K3424" s="115" t="str">
        <x:v>Pièces décrites, murs, portes, niveaux et mobilier inspectables à l’échelle. Volumes réservés, raccord au seed, butin, rencontres et services de campagne restent à terminer.</x:v>
      </x:c>
    </x:row>
    <x:row r="3425" ht="96" customHeight="1">
      <x:c r="A3425" s="115" t="str">
        <x:v>EXT-MONDE-T069-V20</x:v>
      </x:c>
      <x:c r="B3425" s="115" t="str">
        <x:v>EXT-MONDE-T069</x:v>
      </x:c>
      <x:c r="C3425" s="115" t="str">
        <x:v>Aéroports</x:v>
      </x:c>
      <x:c r="D3425" s="115" t="str">
        <x:v>Aérodrome régional</x:v>
      </x:c>
      <x:c r="E3425" s="115" t="n">
        <x:v>20</x:v>
      </x:c>
      <x:c r="F3425" s="115" t="str">
        <x:v>Inspection physique</x:v>
      </x:c>
      <x:c r="G3425" s="115" t="str">
        <x:v>1 niveaux ; 36 pièces ; 265 segments de mur ; 0 transitions. Inspection physique ; architecture complète encore ouverte.</x:v>
      </x:c>
      <x:c r="H3425" s="115" t="str">
        <x:v>L 1100 ; l 1700 ; hauteur 20 m ; choix de composition auteur ; dimensions réelles à documenter</x:v>
      </x:c>
      <x:c r="I3425" s="115" t="str">
        <x:v>À équilibrer</x:v>
      </x:c>
      <x:c r="J3425" s="115" t="str">
        <x:v>Non</x:v>
      </x:c>
      <x:c r="K3425" s="115" t="str">
        <x:v>Pièces décrites, murs, portes, niveaux et mobilier inspectables à l’échelle. Volumes réservés, raccord au seed, butin, rencontres et services de campagne restent à terminer.</x:v>
      </x:c>
    </x:row>
    <x:row r="3426" ht="96" customHeight="1">
      <x:c r="A3426" s="115" t="str">
        <x:v>EXT-MONDE-T069-V21</x:v>
      </x:c>
      <x:c r="B3426" s="115" t="str">
        <x:v>EXT-MONDE-T069</x:v>
      </x:c>
      <x:c r="C3426" s="115" t="str">
        <x:v>Aéroports</x:v>
      </x:c>
      <x:c r="D3426" s="115" t="str">
        <x:v>Aérodrome régional</x:v>
      </x:c>
      <x:c r="E3426" s="115" t="n">
        <x:v>21</x:v>
      </x:c>
      <x:c r="F3426" s="115" t="str">
        <x:v>Inspection physique</x:v>
      </x:c>
      <x:c r="G3426" s="115" t="str">
        <x:v>1 niveaux ; 36 pièces ; 265 segments de mur ; 0 transitions. Inspection physique ; architecture complète encore ouverte.</x:v>
      </x:c>
      <x:c r="H3426" s="115" t="str">
        <x:v>L 1100 ; l 1800 ; hauteur 22 m ; choix de composition auteur ; dimensions réelles à documenter</x:v>
      </x:c>
      <x:c r="I3426" s="115" t="str">
        <x:v>À équilibrer</x:v>
      </x:c>
      <x:c r="J3426" s="115" t="str">
        <x:v>Non</x:v>
      </x:c>
      <x:c r="K3426" s="115" t="str">
        <x:v>Pièces décrites, murs, portes, niveaux et mobilier inspectables à l’échelle. Volumes réservés, raccord au seed, butin, rencontres et services de campagne restent à terminer.</x:v>
      </x:c>
    </x:row>
    <x:row r="3427" ht="96" customHeight="1">
      <x:c r="A3427" s="115" t="str">
        <x:v>EXT-MONDE-T069-V22</x:v>
      </x:c>
      <x:c r="B3427" s="115" t="str">
        <x:v>EXT-MONDE-T069</x:v>
      </x:c>
      <x:c r="C3427" s="115" t="str">
        <x:v>Aéroports</x:v>
      </x:c>
      <x:c r="D3427" s="115" t="str">
        <x:v>Aérodrome régional</x:v>
      </x:c>
      <x:c r="E3427" s="115" t="n">
        <x:v>22</x:v>
      </x:c>
      <x:c r="F3427" s="115" t="str">
        <x:v>Inspection physique</x:v>
      </x:c>
      <x:c r="G3427" s="115" t="str">
        <x:v>1 niveaux ; 36 pièces ; 265 segments de mur ; 0 transitions. Inspection physique ; architecture complète encore ouverte.</x:v>
      </x:c>
      <x:c r="H3427" s="115" t="str">
        <x:v>L 1100 ; l 1800 ; hauteur 22 m ; choix de composition auteur ; dimensions réelles à documenter</x:v>
      </x:c>
      <x:c r="I3427" s="115" t="str">
        <x:v>À équilibrer</x:v>
      </x:c>
      <x:c r="J3427" s="115" t="str">
        <x:v>Non</x:v>
      </x:c>
      <x:c r="K3427" s="115" t="str">
        <x:v>Pièces décrites, murs, portes, niveaux et mobilier inspectables à l’échelle. Volumes réservés, raccord au seed, butin, rencontres et services de campagne restent à terminer.</x:v>
      </x:c>
    </x:row>
    <x:row r="3428" ht="96" customHeight="1">
      <x:c r="A3428" s="115" t="str">
        <x:v>EXT-MONDE-T069-V23</x:v>
      </x:c>
      <x:c r="B3428" s="115" t="str">
        <x:v>EXT-MONDE-T069</x:v>
      </x:c>
      <x:c r="C3428" s="115" t="str">
        <x:v>Aéroports</x:v>
      </x:c>
      <x:c r="D3428" s="115" t="str">
        <x:v>Aérodrome régional</x:v>
      </x:c>
      <x:c r="E3428" s="115" t="n">
        <x:v>23</x:v>
      </x:c>
      <x:c r="F3428" s="115" t="str">
        <x:v>Inspection physique</x:v>
      </x:c>
      <x:c r="G3428" s="115" t="str">
        <x:v>1 niveaux ; 36 pièces ; 265 segments de mur ; 0 transitions. Inspection physique ; architecture complète encore ouverte.</x:v>
      </x:c>
      <x:c r="H3428" s="115" t="str">
        <x:v>L 1100 ; l 1800 ; hauteur 22 m ; choix de composition auteur ; dimensions réelles à documenter</x:v>
      </x:c>
      <x:c r="I3428" s="115" t="str">
        <x:v>À équilibrer</x:v>
      </x:c>
      <x:c r="J3428" s="115" t="str">
        <x:v>Non</x:v>
      </x:c>
      <x:c r="K3428" s="115" t="str">
        <x:v>Pièces décrites, murs, portes, niveaux et mobilier inspectables à l’échelle. Volumes réservés, raccord au seed, butin, rencontres et services de campagne restent à terminer.</x:v>
      </x:c>
    </x:row>
    <x:row r="3429" ht="96" customHeight="1">
      <x:c r="A3429" s="115" t="str">
        <x:v>EXT-MONDE-T069-V24</x:v>
      </x:c>
      <x:c r="B3429" s="115" t="str">
        <x:v>EXT-MONDE-T069</x:v>
      </x:c>
      <x:c r="C3429" s="115" t="str">
        <x:v>Aéroports</x:v>
      </x:c>
      <x:c r="D3429" s="115" t="str">
        <x:v>Aérodrome régional</x:v>
      </x:c>
      <x:c r="E3429" s="115" t="n">
        <x:v>24</x:v>
      </x:c>
      <x:c r="F3429" s="115" t="str">
        <x:v>Inspection physique</x:v>
      </x:c>
      <x:c r="G3429" s="115" t="str">
        <x:v>1 niveaux ; 36 pièces ; 265 segments de mur ; 0 transitions. Inspection physique ; architecture complète encore ouverte.</x:v>
      </x:c>
      <x:c r="H3429" s="115" t="str">
        <x:v>L 1100 ; l 1800 ; hauteur 22 m ; choix de composition auteur ; dimensions réelles à documenter</x:v>
      </x:c>
      <x:c r="I3429" s="115" t="str">
        <x:v>À équilibrer</x:v>
      </x:c>
      <x:c r="J3429" s="115" t="str">
        <x:v>Non</x:v>
      </x:c>
      <x:c r="K3429" s="115" t="str">
        <x:v>Pièces décrites, murs, portes, niveaux et mobilier inspectables à l’échelle. Volumes réservés, raccord au seed, butin, rencontres et services de campagne restent à terminer.</x:v>
      </x:c>
    </x:row>
    <x:row r="3430" ht="96" customHeight="1">
      <x:c r="A3430" s="115" t="str">
        <x:v>EXT-MONDE-T069-V25</x:v>
      </x:c>
      <x:c r="B3430" s="115" t="str">
        <x:v>EXT-MONDE-T069</x:v>
      </x:c>
      <x:c r="C3430" s="115" t="str">
        <x:v>Aéroports</x:v>
      </x:c>
      <x:c r="D3430" s="115" t="str">
        <x:v>Aérodrome régional</x:v>
      </x:c>
      <x:c r="E3430" s="115" t="n">
        <x:v>25</x:v>
      </x:c>
      <x:c r="F3430" s="115" t="str">
        <x:v>Inspection physique</x:v>
      </x:c>
      <x:c r="G3430" s="115" t="str">
        <x:v>1 niveaux ; 36 pièces ; 265 segments de mur ; 0 transitions. Inspection physique ; architecture complète encore ouverte.</x:v>
      </x:c>
      <x:c r="H3430" s="115" t="str">
        <x:v>L 1100 ; l 1800 ; hauteur 22 m ; choix de composition auteur ; dimensions réelles à documenter</x:v>
      </x:c>
      <x:c r="I3430" s="115" t="str">
        <x:v>À équilibrer</x:v>
      </x:c>
      <x:c r="J3430" s="115" t="str">
        <x:v>Non</x:v>
      </x:c>
      <x:c r="K3430" s="115" t="str">
        <x:v>Pièces décrites, murs, portes, niveaux et mobilier inspectables à l’échelle. Volumes réservés, raccord au seed, butin, rencontres et services de campagne restent à terminer.</x:v>
      </x:c>
    </x:row>
    <x:row r="3431" ht="96" customHeight="1">
      <x:c r="A3431" s="115" t="str">
        <x:v>EXT-MONDE-T069-V26</x:v>
      </x:c>
      <x:c r="B3431" s="115" t="str">
        <x:v>EXT-MONDE-T069</x:v>
      </x:c>
      <x:c r="C3431" s="115" t="str">
        <x:v>Aéroports</x:v>
      </x:c>
      <x:c r="D3431" s="115" t="str">
        <x:v>Aérodrome régional</x:v>
      </x:c>
      <x:c r="E3431" s="115" t="n">
        <x:v>26</x:v>
      </x:c>
      <x:c r="F3431" s="115" t="str">
        <x:v>Inspection physique</x:v>
      </x:c>
      <x:c r="G3431" s="115" t="str">
        <x:v>1 niveaux ; 36 pièces ; 265 segments de mur ; 0 transitions. Inspection physique ; architecture complète encore ouverte.</x:v>
      </x:c>
      <x:c r="H3431" s="115" t="str">
        <x:v>L 1100 ; l 1800 ; hauteur 22 m ; choix de composition auteur ; dimensions réelles à documenter</x:v>
      </x:c>
      <x:c r="I3431" s="115" t="str">
        <x:v>À équilibrer</x:v>
      </x:c>
      <x:c r="J3431" s="115" t="str">
        <x:v>Non</x:v>
      </x:c>
      <x:c r="K3431" s="115" t="str">
        <x:v>Pièces décrites, murs, portes, niveaux et mobilier inspectables à l’échelle. Volumes réservés, raccord au seed, butin, rencontres et services de campagne restent à terminer.</x:v>
      </x:c>
    </x:row>
    <x:row r="3432" ht="96" customHeight="1">
      <x:c r="A3432" s="115" t="str">
        <x:v>EXT-MONDE-T069-V27</x:v>
      </x:c>
      <x:c r="B3432" s="115" t="str">
        <x:v>EXT-MONDE-T069</x:v>
      </x:c>
      <x:c r="C3432" s="115" t="str">
        <x:v>Aéroports</x:v>
      </x:c>
      <x:c r="D3432" s="115" t="str">
        <x:v>Aérodrome régional</x:v>
      </x:c>
      <x:c r="E3432" s="115" t="n">
        <x:v>27</x:v>
      </x:c>
      <x:c r="F3432" s="115" t="str">
        <x:v>Inspection physique</x:v>
      </x:c>
      <x:c r="G3432" s="115" t="str">
        <x:v>1 niveaux ; 36 pièces ; 265 segments de mur ; 0 transitions. Inspection physique ; architecture complète encore ouverte.</x:v>
      </x:c>
      <x:c r="H3432" s="115" t="str">
        <x:v>L 1100 ; l 1800 ; hauteur 22 m ; choix de composition auteur ; dimensions réelles à documenter</x:v>
      </x:c>
      <x:c r="I3432" s="115" t="str">
        <x:v>À équilibrer</x:v>
      </x:c>
      <x:c r="J3432" s="115" t="str">
        <x:v>Non</x:v>
      </x:c>
      <x:c r="K3432" s="115" t="str">
        <x:v>Pièces décrites, murs, portes, niveaux et mobilier inspectables à l’échelle. Volumes réservés, raccord au seed, butin, rencontres et services de campagne restent à terminer.</x:v>
      </x:c>
    </x:row>
    <x:row r="3433" ht="96" customHeight="1">
      <x:c r="A3433" s="115" t="str">
        <x:v>EXT-MONDE-T069-V28</x:v>
      </x:c>
      <x:c r="B3433" s="115" t="str">
        <x:v>EXT-MONDE-T069</x:v>
      </x:c>
      <x:c r="C3433" s="115" t="str">
        <x:v>Aéroports</x:v>
      </x:c>
      <x:c r="D3433" s="115" t="str">
        <x:v>Aérodrome régional</x:v>
      </x:c>
      <x:c r="E3433" s="115" t="n">
        <x:v>28</x:v>
      </x:c>
      <x:c r="F3433" s="115" t="str">
        <x:v>Inspection physique</x:v>
      </x:c>
      <x:c r="G3433" s="115" t="str">
        <x:v>1 niveaux ; 36 pièces ; 265 segments de mur ; 0 transitions. Inspection physique ; architecture complète encore ouverte.</x:v>
      </x:c>
      <x:c r="H3433" s="115" t="str">
        <x:v>L 1100 ; l 1800 ; hauteur 22 m ; choix de composition auteur ; dimensions réelles à documenter</x:v>
      </x:c>
      <x:c r="I3433" s="115" t="str">
        <x:v>À équilibrer</x:v>
      </x:c>
      <x:c r="J3433" s="115" t="str">
        <x:v>Non</x:v>
      </x:c>
      <x:c r="K3433" s="115" t="str">
        <x:v>Pièces décrites, murs, portes, niveaux et mobilier inspectables à l’échelle. Volumes réservés, raccord au seed, butin, rencontres et services de campagne restent à terminer.</x:v>
      </x:c>
    </x:row>
    <x:row r="3434" ht="96" customHeight="1">
      <x:c r="A3434" s="115" t="str">
        <x:v>EXT-MONDE-T069-V29</x:v>
      </x:c>
      <x:c r="B3434" s="115" t="str">
        <x:v>EXT-MONDE-T069</x:v>
      </x:c>
      <x:c r="C3434" s="115" t="str">
        <x:v>Aéroports</x:v>
      </x:c>
      <x:c r="D3434" s="115" t="str">
        <x:v>Aérodrome régional</x:v>
      </x:c>
      <x:c r="E3434" s="115" t="n">
        <x:v>29</x:v>
      </x:c>
      <x:c r="F3434" s="115" t="str">
        <x:v>Inspection physique</x:v>
      </x:c>
      <x:c r="G3434" s="115" t="str">
        <x:v>1 niveaux ; 36 pièces ; 265 segments de mur ; 0 transitions. Inspection physique ; architecture complète encore ouverte.</x:v>
      </x:c>
      <x:c r="H3434" s="115" t="str">
        <x:v>L 1100 ; l 1800 ; hauteur 22 m ; choix de composition auteur ; dimensions réelles à documenter</x:v>
      </x:c>
      <x:c r="I3434" s="115" t="str">
        <x:v>À équilibrer</x:v>
      </x:c>
      <x:c r="J3434" s="115" t="str">
        <x:v>Non</x:v>
      </x:c>
      <x:c r="K3434" s="115" t="str">
        <x:v>Pièces décrites, murs, portes, niveaux et mobilier inspectables à l’échelle. Volumes réservés, raccord au seed, butin, rencontres et services de campagne restent à terminer.</x:v>
      </x:c>
    </x:row>
    <x:row r="3435" ht="96" customHeight="1">
      <x:c r="A3435" s="115" t="str">
        <x:v>EXT-MONDE-T069-V30</x:v>
      </x:c>
      <x:c r="B3435" s="115" t="str">
        <x:v>EXT-MONDE-T069</x:v>
      </x:c>
      <x:c r="C3435" s="115" t="str">
        <x:v>Aéroports</x:v>
      </x:c>
      <x:c r="D3435" s="115" t="str">
        <x:v>Aérodrome régional</x:v>
      </x:c>
      <x:c r="E3435" s="115" t="n">
        <x:v>30</x:v>
      </x:c>
      <x:c r="F3435" s="115" t="str">
        <x:v>Inspection physique</x:v>
      </x:c>
      <x:c r="G3435" s="115" t="str">
        <x:v>1 niveaux ; 36 pièces ; 265 segments de mur ; 0 transitions. Inspection physique ; architecture complète encore ouverte.</x:v>
      </x:c>
      <x:c r="H3435" s="115" t="str">
        <x:v>L 1100 ; l 1800 ; hauteur 22 m ; choix de composition auteur ; dimensions réelles à documenter</x:v>
      </x:c>
      <x:c r="I3435" s="115" t="str">
        <x:v>À équilibrer</x:v>
      </x:c>
      <x:c r="J3435" s="115" t="str">
        <x:v>Non</x:v>
      </x:c>
      <x:c r="K3435" s="115" t="str">
        <x:v>Pièces décrites, murs, portes, niveaux et mobilier inspectables à l’échelle. Volumes réservés, raccord au seed, butin, rencontres et services de campagne restent à terminer.</x:v>
      </x:c>
    </x:row>
    <x:row r="3436" ht="96" customHeight="1">
      <x:c r="A3436" s="115" t="str">
        <x:v>EXT-MONDE-T069-V31</x:v>
      </x:c>
      <x:c r="B3436" s="115" t="str">
        <x:v>EXT-MONDE-T069</x:v>
      </x:c>
      <x:c r="C3436" s="115" t="str">
        <x:v>Aéroports</x:v>
      </x:c>
      <x:c r="D3436" s="115" t="str">
        <x:v>Aérodrome régional</x:v>
      </x:c>
      <x:c r="E3436" s="115" t="n">
        <x:v>31</x:v>
      </x:c>
      <x:c r="F3436" s="115" t="str">
        <x:v>Inspection physique</x:v>
      </x:c>
      <x:c r="G3436" s="115" t="str">
        <x:v>1 niveaux ; 36 pièces ; 265 segments de mur ; 0 transitions. Inspection physique ; architecture complète encore ouverte.</x:v>
      </x:c>
      <x:c r="H3436" s="115" t="str">
        <x:v>L 1100 ; l 1900 ; hauteur 24 m ; choix de composition auteur ; dimensions réelles à documenter</x:v>
      </x:c>
      <x:c r="I3436" s="115" t="str">
        <x:v>À équilibrer</x:v>
      </x:c>
      <x:c r="J3436" s="115" t="str">
        <x:v>Non</x:v>
      </x:c>
      <x:c r="K3436" s="115" t="str">
        <x:v>Pièces décrites, murs, portes, niveaux et mobilier inspectables à l’échelle. Volumes réservés, raccord au seed, butin, rencontres et services de campagne restent à terminer.</x:v>
      </x:c>
    </x:row>
    <x:row r="3437" ht="96" customHeight="1">
      <x:c r="A3437" s="115" t="str">
        <x:v>EXT-MONDE-T069-V32</x:v>
      </x:c>
      <x:c r="B3437" s="115" t="str">
        <x:v>EXT-MONDE-T069</x:v>
      </x:c>
      <x:c r="C3437" s="115" t="str">
        <x:v>Aéroports</x:v>
      </x:c>
      <x:c r="D3437" s="115" t="str">
        <x:v>Aérodrome régional</x:v>
      </x:c>
      <x:c r="E3437" s="115" t="n">
        <x:v>32</x:v>
      </x:c>
      <x:c r="F3437" s="115" t="str">
        <x:v>Inspection physique</x:v>
      </x:c>
      <x:c r="G3437" s="115" t="str">
        <x:v>1 niveaux ; 36 pièces ; 265 segments de mur ; 0 transitions. Inspection physique ; architecture complète encore ouverte.</x:v>
      </x:c>
      <x:c r="H3437" s="115" t="str">
        <x:v>L 1100 ; l 1900 ; hauteur 24 m ; choix de composition auteur ; dimensions réelles à documenter</x:v>
      </x:c>
      <x:c r="I3437" s="115" t="str">
        <x:v>À équilibrer</x:v>
      </x:c>
      <x:c r="J3437" s="115" t="str">
        <x:v>Non</x:v>
      </x:c>
      <x:c r="K3437" s="115" t="str">
        <x:v>Pièces décrites, murs, portes, niveaux et mobilier inspectables à l’échelle. Volumes réservés, raccord au seed, butin, rencontres et services de campagne restent à terminer.</x:v>
      </x:c>
    </x:row>
    <x:row r="3438" ht="96" customHeight="1">
      <x:c r="A3438" s="115" t="str">
        <x:v>EXT-MONDE-T069-V33</x:v>
      </x:c>
      <x:c r="B3438" s="115" t="str">
        <x:v>EXT-MONDE-T069</x:v>
      </x:c>
      <x:c r="C3438" s="115" t="str">
        <x:v>Aéroports</x:v>
      </x:c>
      <x:c r="D3438" s="115" t="str">
        <x:v>Aérodrome régional</x:v>
      </x:c>
      <x:c r="E3438" s="115" t="n">
        <x:v>33</x:v>
      </x:c>
      <x:c r="F3438" s="115" t="str">
        <x:v>Inspection physique</x:v>
      </x:c>
      <x:c r="G3438" s="115" t="str">
        <x:v>1 niveaux ; 36 pièces ; 265 segments de mur ; 0 transitions. Inspection physique ; architecture complète encore ouverte.</x:v>
      </x:c>
      <x:c r="H3438" s="115" t="str">
        <x:v>L 1100 ; l 1900 ; hauteur 24 m ; choix de composition auteur ; dimensions réelles à documenter</x:v>
      </x:c>
      <x:c r="I3438" s="115" t="str">
        <x:v>À équilibrer</x:v>
      </x:c>
      <x:c r="J3438" s="115" t="str">
        <x:v>Non</x:v>
      </x:c>
      <x:c r="K3438" s="115" t="str">
        <x:v>Pièces décrites, murs, portes, niveaux et mobilier inspectables à l’échelle. Volumes réservés, raccord au seed, butin, rencontres et services de campagne restent à terminer.</x:v>
      </x:c>
    </x:row>
    <x:row r="3439" ht="96" customHeight="1">
      <x:c r="A3439" s="115" t="str">
        <x:v>EXT-MONDE-T069-V34</x:v>
      </x:c>
      <x:c r="B3439" s="115" t="str">
        <x:v>EXT-MONDE-T069</x:v>
      </x:c>
      <x:c r="C3439" s="115" t="str">
        <x:v>Aéroports</x:v>
      </x:c>
      <x:c r="D3439" s="115" t="str">
        <x:v>Aérodrome régional</x:v>
      </x:c>
      <x:c r="E3439" s="115" t="n">
        <x:v>34</x:v>
      </x:c>
      <x:c r="F3439" s="115" t="str">
        <x:v>Inspection physique</x:v>
      </x:c>
      <x:c r="G3439" s="115" t="str">
        <x:v>1 niveaux ; 36 pièces ; 265 segments de mur ; 0 transitions. Inspection physique ; architecture complète encore ouverte.</x:v>
      </x:c>
      <x:c r="H3439" s="115" t="str">
        <x:v>L 1100 ; l 1900 ; hauteur 24 m ; choix de composition auteur ; dimensions réelles à documenter</x:v>
      </x:c>
      <x:c r="I3439" s="115" t="str">
        <x:v>À équilibrer</x:v>
      </x:c>
      <x:c r="J3439" s="115" t="str">
        <x:v>Non</x:v>
      </x:c>
      <x:c r="K3439" s="115" t="str">
        <x:v>Pièces décrites, murs, portes, niveaux et mobilier inspectables à l’échelle. Volumes réservés, raccord au seed, butin, rencontres et services de campagne restent à terminer.</x:v>
      </x:c>
    </x:row>
    <x:row r="3440" ht="96" customHeight="1">
      <x:c r="A3440" s="115" t="str">
        <x:v>EXT-MONDE-T069-V35</x:v>
      </x:c>
      <x:c r="B3440" s="115" t="str">
        <x:v>EXT-MONDE-T069</x:v>
      </x:c>
      <x:c r="C3440" s="115" t="str">
        <x:v>Aéroports</x:v>
      </x:c>
      <x:c r="D3440" s="115" t="str">
        <x:v>Aérodrome régional</x:v>
      </x:c>
      <x:c r="E3440" s="115" t="n">
        <x:v>35</x:v>
      </x:c>
      <x:c r="F3440" s="115" t="str">
        <x:v>Inspection physique</x:v>
      </x:c>
      <x:c r="G3440" s="115" t="str">
        <x:v>1 niveaux ; 36 pièces ; 265 segments de mur ; 0 transitions. Inspection physique ; architecture complète encore ouverte.</x:v>
      </x:c>
      <x:c r="H3440" s="115" t="str">
        <x:v>L 1100 ; l 1900 ; hauteur 24 m ; choix de composition auteur ; dimensions réelles à documenter</x:v>
      </x:c>
      <x:c r="I3440" s="115" t="str">
        <x:v>À équilibrer</x:v>
      </x:c>
      <x:c r="J3440" s="115" t="str">
        <x:v>Non</x:v>
      </x:c>
      <x:c r="K3440" s="115" t="str">
        <x:v>Pièces décrites, murs, portes, niveaux et mobilier inspectables à l’échelle. Volumes réservés, raccord au seed, butin, rencontres et services de campagne restent à terminer.</x:v>
      </x:c>
    </x:row>
    <x:row r="3441" ht="96" customHeight="1">
      <x:c r="A3441" s="115" t="str">
        <x:v>EXT-MONDE-T069-V36</x:v>
      </x:c>
      <x:c r="B3441" s="115" t="str">
        <x:v>EXT-MONDE-T069</x:v>
      </x:c>
      <x:c r="C3441" s="115" t="str">
        <x:v>Aéroports</x:v>
      </x:c>
      <x:c r="D3441" s="115" t="str">
        <x:v>Aérodrome régional</x:v>
      </x:c>
      <x:c r="E3441" s="115" t="n">
        <x:v>36</x:v>
      </x:c>
      <x:c r="F3441" s="115" t="str">
        <x:v>Inspection physique</x:v>
      </x:c>
      <x:c r="G3441" s="115" t="str">
        <x:v>1 niveaux ; 36 pièces ; 265 segments de mur ; 0 transitions. Inspection physique ; architecture complète encore ouverte.</x:v>
      </x:c>
      <x:c r="H3441" s="115" t="str">
        <x:v>L 1100 ; l 1900 ; hauteur 24 m ; choix de composition auteur ; dimensions réelles à documenter</x:v>
      </x:c>
      <x:c r="I3441" s="115" t="str">
        <x:v>À équilibrer</x:v>
      </x:c>
      <x:c r="J3441" s="115" t="str">
        <x:v>Non</x:v>
      </x:c>
      <x:c r="K3441" s="115" t="str">
        <x:v>Pièces décrites, murs, portes, niveaux et mobilier inspectables à l’échelle. Volumes réservés, raccord au seed, butin, rencontres et services de campagne restent à terminer.</x:v>
      </x:c>
    </x:row>
    <x:row r="3442" ht="96" customHeight="1">
      <x:c r="A3442" s="115" t="str">
        <x:v>EXT-MONDE-T069-V37</x:v>
      </x:c>
      <x:c r="B3442" s="115" t="str">
        <x:v>EXT-MONDE-T069</x:v>
      </x:c>
      <x:c r="C3442" s="115" t="str">
        <x:v>Aéroports</x:v>
      </x:c>
      <x:c r="D3442" s="115" t="str">
        <x:v>Aérodrome régional</x:v>
      </x:c>
      <x:c r="E3442" s="115" t="n">
        <x:v>37</x:v>
      </x:c>
      <x:c r="F3442" s="115" t="str">
        <x:v>Inspection physique</x:v>
      </x:c>
      <x:c r="G3442" s="115" t="str">
        <x:v>1 niveaux ; 36 pièces ; 265 segments de mur ; 0 transitions. Inspection physique ; architecture complète encore ouverte.</x:v>
      </x:c>
      <x:c r="H3442" s="115" t="str">
        <x:v>L 1100 ; l 1900 ; hauteur 24 m ; choix de composition auteur ; dimensions réelles à documenter</x:v>
      </x:c>
      <x:c r="I3442" s="115" t="str">
        <x:v>À équilibrer</x:v>
      </x:c>
      <x:c r="J3442" s="115" t="str">
        <x:v>Non</x:v>
      </x:c>
      <x:c r="K3442" s="115" t="str">
        <x:v>Pièces décrites, murs, portes, niveaux et mobilier inspectables à l’échelle. Volumes réservés, raccord au seed, butin, rencontres et services de campagne restent à terminer.</x:v>
      </x:c>
    </x:row>
    <x:row r="3443" ht="96" customHeight="1">
      <x:c r="A3443" s="115" t="str">
        <x:v>EXT-MONDE-T069-V38</x:v>
      </x:c>
      <x:c r="B3443" s="115" t="str">
        <x:v>EXT-MONDE-T069</x:v>
      </x:c>
      <x:c r="C3443" s="115" t="str">
        <x:v>Aéroports</x:v>
      </x:c>
      <x:c r="D3443" s="115" t="str">
        <x:v>Aérodrome régional</x:v>
      </x:c>
      <x:c r="E3443" s="115" t="n">
        <x:v>38</x:v>
      </x:c>
      <x:c r="F3443" s="115" t="str">
        <x:v>Inspection physique</x:v>
      </x:c>
      <x:c r="G3443" s="115" t="str">
        <x:v>1 niveaux ; 36 pièces ; 265 segments de mur ; 0 transitions. Inspection physique ; architecture complète encore ouverte.</x:v>
      </x:c>
      <x:c r="H3443" s="115" t="str">
        <x:v>L 1100 ; l 1900 ; hauteur 24 m ; choix de composition auteur ; dimensions réelles à documenter</x:v>
      </x:c>
      <x:c r="I3443" s="115" t="str">
        <x:v>À équilibrer</x:v>
      </x:c>
      <x:c r="J3443" s="115" t="str">
        <x:v>Non</x:v>
      </x:c>
      <x:c r="K3443" s="115" t="str">
        <x:v>Pièces décrites, murs, portes, niveaux et mobilier inspectables à l’échelle. Volumes réservés, raccord au seed, butin, rencontres et services de campagne restent à terminer.</x:v>
      </x:c>
    </x:row>
    <x:row r="3444" ht="96" customHeight="1">
      <x:c r="A3444" s="115" t="str">
        <x:v>EXT-MONDE-T069-V39</x:v>
      </x:c>
      <x:c r="B3444" s="115" t="str">
        <x:v>EXT-MONDE-T069</x:v>
      </x:c>
      <x:c r="C3444" s="115" t="str">
        <x:v>Aéroports</x:v>
      </x:c>
      <x:c r="D3444" s="115" t="str">
        <x:v>Aérodrome régional</x:v>
      </x:c>
      <x:c r="E3444" s="115" t="n">
        <x:v>39</x:v>
      </x:c>
      <x:c r="F3444" s="115" t="str">
        <x:v>Inspection physique</x:v>
      </x:c>
      <x:c r="G3444" s="115" t="str">
        <x:v>1 niveaux ; 36 pièces ; 265 segments de mur ; 0 transitions. Inspection physique ; architecture complète encore ouverte.</x:v>
      </x:c>
      <x:c r="H3444" s="115" t="str">
        <x:v>L 1100 ; l 1900 ; hauteur 24 m ; choix de composition auteur ; dimensions réelles à documenter</x:v>
      </x:c>
      <x:c r="I3444" s="115" t="str">
        <x:v>À équilibrer</x:v>
      </x:c>
      <x:c r="J3444" s="115" t="str">
        <x:v>Non</x:v>
      </x:c>
      <x:c r="K3444" s="115" t="str">
        <x:v>Pièces décrites, murs, portes, niveaux et mobilier inspectables à l’échelle. Volumes réservés, raccord au seed, butin, rencontres et services de campagne restent à terminer.</x:v>
      </x:c>
    </x:row>
    <x:row r="3445" ht="96" customHeight="1">
      <x:c r="A3445" s="115" t="str">
        <x:v>EXT-MONDE-T069-V40</x:v>
      </x:c>
      <x:c r="B3445" s="115" t="str">
        <x:v>EXT-MONDE-T069</x:v>
      </x:c>
      <x:c r="C3445" s="115" t="str">
        <x:v>Aéroports</x:v>
      </x:c>
      <x:c r="D3445" s="115" t="str">
        <x:v>Aérodrome régional</x:v>
      </x:c>
      <x:c r="E3445" s="115" t="n">
        <x:v>40</x:v>
      </x:c>
      <x:c r="F3445" s="115" t="str">
        <x:v>Inspection physique</x:v>
      </x:c>
      <x:c r="G3445" s="115" t="str">
        <x:v>1 niveaux ; 36 pièces ; 265 segments de mur ; 0 transitions. Inspection physique ; architecture complète encore ouverte.</x:v>
      </x:c>
      <x:c r="H3445" s="115" t="str">
        <x:v>L 1100 ; l 1900 ; hauteur 24 m ; choix de composition auteur ; dimensions réelles à documenter</x:v>
      </x:c>
      <x:c r="I3445" s="115" t="str">
        <x:v>À équilibrer</x:v>
      </x:c>
      <x:c r="J3445" s="115" t="str">
        <x:v>Non</x:v>
      </x:c>
      <x:c r="K3445" s="115" t="str">
        <x:v>Pièces décrites, murs, portes, niveaux et mobilier inspectables à l’échelle. Volumes réservés, raccord au seed, butin, rencontres et services de campagne restent à terminer.</x:v>
      </x:c>
    </x:row>
    <x:row r="3446" ht="96" customHeight="1">
      <x:c r="A3446" s="115" t="str">
        <x:v>EXT-MONDE-T069-V41</x:v>
      </x:c>
      <x:c r="B3446" s="115" t="str">
        <x:v>EXT-MONDE-T069</x:v>
      </x:c>
      <x:c r="C3446" s="115" t="str">
        <x:v>Aéroports</x:v>
      </x:c>
      <x:c r="D3446" s="115" t="str">
        <x:v>Aérodrome régional</x:v>
      </x:c>
      <x:c r="E3446" s="115" t="n">
        <x:v>41</x:v>
      </x:c>
      <x:c r="F3446" s="115" t="str">
        <x:v>Inspection physique</x:v>
      </x:c>
      <x:c r="G3446" s="115" t="str">
        <x:v>1 niveaux ; 36 pièces ; 265 segments de mur ; 0 transitions. Inspection physique ; architecture complète encore ouverte.</x:v>
      </x:c>
      <x:c r="H3446" s="115" t="str">
        <x:v>L 1100 ; l 2000 ; hauteur 26 m ; choix de composition auteur ; dimensions réelles à documenter</x:v>
      </x:c>
      <x:c r="I3446" s="115" t="str">
        <x:v>À équilibrer</x:v>
      </x:c>
      <x:c r="J3446" s="115" t="str">
        <x:v>Non</x:v>
      </x:c>
      <x:c r="K3446" s="115" t="str">
        <x:v>Pièces décrites, murs, portes, niveaux et mobilier inspectables à l’échelle. Volumes réservés, raccord au seed, butin, rencontres et services de campagne restent à terminer.</x:v>
      </x:c>
    </x:row>
    <x:row r="3447" ht="96" customHeight="1">
      <x:c r="A3447" s="115" t="str">
        <x:v>EXT-MONDE-T069-V42</x:v>
      </x:c>
      <x:c r="B3447" s="115" t="str">
        <x:v>EXT-MONDE-T069</x:v>
      </x:c>
      <x:c r="C3447" s="115" t="str">
        <x:v>Aéroports</x:v>
      </x:c>
      <x:c r="D3447" s="115" t="str">
        <x:v>Aérodrome régional</x:v>
      </x:c>
      <x:c r="E3447" s="115" t="n">
        <x:v>42</x:v>
      </x:c>
      <x:c r="F3447" s="115" t="str">
        <x:v>Inspection physique</x:v>
      </x:c>
      <x:c r="G3447" s="115" t="str">
        <x:v>1 niveaux ; 36 pièces ; 265 segments de mur ; 0 transitions. Inspection physique ; architecture complète encore ouverte.</x:v>
      </x:c>
      <x:c r="H3447" s="115" t="str">
        <x:v>L 1100 ; l 2000 ; hauteur 26 m ; choix de composition auteur ; dimensions réelles à documenter</x:v>
      </x:c>
      <x:c r="I3447" s="115" t="str">
        <x:v>À équilibrer</x:v>
      </x:c>
      <x:c r="J3447" s="115" t="str">
        <x:v>Non</x:v>
      </x:c>
      <x:c r="K3447" s="115" t="str">
        <x:v>Pièces décrites, murs, portes, niveaux et mobilier inspectables à l’échelle. Volumes réservés, raccord au seed, butin, rencontres et services de campagne restent à terminer.</x:v>
      </x:c>
    </x:row>
    <x:row r="3448" ht="96" customHeight="1">
      <x:c r="A3448" s="115" t="str">
        <x:v>EXT-MONDE-T069-V43</x:v>
      </x:c>
      <x:c r="B3448" s="115" t="str">
        <x:v>EXT-MONDE-T069</x:v>
      </x:c>
      <x:c r="C3448" s="115" t="str">
        <x:v>Aéroports</x:v>
      </x:c>
      <x:c r="D3448" s="115" t="str">
        <x:v>Aérodrome régional</x:v>
      </x:c>
      <x:c r="E3448" s="115" t="n">
        <x:v>43</x:v>
      </x:c>
      <x:c r="F3448" s="115" t="str">
        <x:v>Inspection physique</x:v>
      </x:c>
      <x:c r="G3448" s="115" t="str">
        <x:v>1 niveaux ; 36 pièces ; 265 segments de mur ; 0 transitions. Inspection physique ; architecture complète encore ouverte.</x:v>
      </x:c>
      <x:c r="H3448" s="115" t="str">
        <x:v>L 1100 ; l 2000 ; hauteur 26 m ; choix de composition auteur ; dimensions réelles à documenter</x:v>
      </x:c>
      <x:c r="I3448" s="115" t="str">
        <x:v>À équilibrer</x:v>
      </x:c>
      <x:c r="J3448" s="115" t="str">
        <x:v>Non</x:v>
      </x:c>
      <x:c r="K3448" s="115" t="str">
        <x:v>Pièces décrites, murs, portes, niveaux et mobilier inspectables à l’échelle. Volumes réservés, raccord au seed, butin, rencontres et services de campagne restent à terminer.</x:v>
      </x:c>
    </x:row>
    <x:row r="3449" ht="96" customHeight="1">
      <x:c r="A3449" s="115" t="str">
        <x:v>EXT-MONDE-T069-V44</x:v>
      </x:c>
      <x:c r="B3449" s="115" t="str">
        <x:v>EXT-MONDE-T069</x:v>
      </x:c>
      <x:c r="C3449" s="115" t="str">
        <x:v>Aéroports</x:v>
      </x:c>
      <x:c r="D3449" s="115" t="str">
        <x:v>Aérodrome régional</x:v>
      </x:c>
      <x:c r="E3449" s="115" t="n">
        <x:v>44</x:v>
      </x:c>
      <x:c r="F3449" s="115" t="str">
        <x:v>Inspection physique</x:v>
      </x:c>
      <x:c r="G3449" s="115" t="str">
        <x:v>1 niveaux ; 36 pièces ; 265 segments de mur ; 0 transitions. Inspection physique ; architecture complète encore ouverte.</x:v>
      </x:c>
      <x:c r="H3449" s="115" t="str">
        <x:v>L 1100 ; l 2000 ; hauteur 26 m ; choix de composition auteur ; dimensions réelles à documenter</x:v>
      </x:c>
      <x:c r="I3449" s="115" t="str">
        <x:v>À équilibrer</x:v>
      </x:c>
      <x:c r="J3449" s="115" t="str">
        <x:v>Non</x:v>
      </x:c>
      <x:c r="K3449" s="115" t="str">
        <x:v>Pièces décrites, murs, portes, niveaux et mobilier inspectables à l’échelle. Volumes réservés, raccord au seed, butin, rencontres et services de campagne restent à terminer.</x:v>
      </x:c>
    </x:row>
    <x:row r="3450" ht="96" customHeight="1">
      <x:c r="A3450" s="115" t="str">
        <x:v>EXT-MONDE-T069-V45</x:v>
      </x:c>
      <x:c r="B3450" s="115" t="str">
        <x:v>EXT-MONDE-T069</x:v>
      </x:c>
      <x:c r="C3450" s="115" t="str">
        <x:v>Aéroports</x:v>
      </x:c>
      <x:c r="D3450" s="115" t="str">
        <x:v>Aérodrome régional</x:v>
      </x:c>
      <x:c r="E3450" s="115" t="n">
        <x:v>45</x:v>
      </x:c>
      <x:c r="F3450" s="115" t="str">
        <x:v>Inspection physique</x:v>
      </x:c>
      <x:c r="G3450" s="115" t="str">
        <x:v>1 niveaux ; 36 pièces ; 265 segments de mur ; 0 transitions. Inspection physique ; architecture complète encore ouverte.</x:v>
      </x:c>
      <x:c r="H3450" s="115" t="str">
        <x:v>L 1100 ; l 2000 ; hauteur 26 m ; choix de composition auteur ; dimensions réelles à documenter</x:v>
      </x:c>
      <x:c r="I3450" s="115" t="str">
        <x:v>À équilibrer</x:v>
      </x:c>
      <x:c r="J3450" s="115" t="str">
        <x:v>Non</x:v>
      </x:c>
      <x:c r="K3450" s="115" t="str">
        <x:v>Pièces décrites, murs, portes, niveaux et mobilier inspectables à l’échelle. Volumes réservés, raccord au seed, butin, rencontres et services de campagne restent à terminer.</x:v>
      </x:c>
    </x:row>
    <x:row r="3451" ht="96" customHeight="1">
      <x:c r="A3451" s="115" t="str">
        <x:v>EXT-MONDE-T069-V46</x:v>
      </x:c>
      <x:c r="B3451" s="115" t="str">
        <x:v>EXT-MONDE-T069</x:v>
      </x:c>
      <x:c r="C3451" s="115" t="str">
        <x:v>Aéroports</x:v>
      </x:c>
      <x:c r="D3451" s="115" t="str">
        <x:v>Aérodrome régional</x:v>
      </x:c>
      <x:c r="E3451" s="115" t="n">
        <x:v>46</x:v>
      </x:c>
      <x:c r="F3451" s="115" t="str">
        <x:v>Inspection physique</x:v>
      </x:c>
      <x:c r="G3451" s="115" t="str">
        <x:v>1 niveaux ; 36 pièces ; 265 segments de mur ; 0 transitions. Inspection physique ; architecture complète encore ouverte.</x:v>
      </x:c>
      <x:c r="H3451" s="115" t="str">
        <x:v>L 1100 ; l 2000 ; hauteur 26 m ; choix de composition auteur ; dimensions réelles à documenter</x:v>
      </x:c>
      <x:c r="I3451" s="115" t="str">
        <x:v>À équilibrer</x:v>
      </x:c>
      <x:c r="J3451" s="115" t="str">
        <x:v>Non</x:v>
      </x:c>
      <x:c r="K3451" s="115" t="str">
        <x:v>Pièces décrites, murs, portes, niveaux et mobilier inspectables à l’échelle. Volumes réservés, raccord au seed, butin, rencontres et services de campagne restent à terminer.</x:v>
      </x:c>
    </x:row>
    <x:row r="3452" ht="96" customHeight="1">
      <x:c r="A3452" s="115" t="str">
        <x:v>EXT-MONDE-T069-V47</x:v>
      </x:c>
      <x:c r="B3452" s="115" t="str">
        <x:v>EXT-MONDE-T069</x:v>
      </x:c>
      <x:c r="C3452" s="115" t="str">
        <x:v>Aéroports</x:v>
      </x:c>
      <x:c r="D3452" s="115" t="str">
        <x:v>Aérodrome régional</x:v>
      </x:c>
      <x:c r="E3452" s="115" t="n">
        <x:v>47</x:v>
      </x:c>
      <x:c r="F3452" s="115" t="str">
        <x:v>Inspection physique</x:v>
      </x:c>
      <x:c r="G3452" s="115" t="str">
        <x:v>1 niveaux ; 36 pièces ; 265 segments de mur ; 0 transitions. Inspection physique ; architecture complète encore ouverte.</x:v>
      </x:c>
      <x:c r="H3452" s="115" t="str">
        <x:v>L 1100 ; l 2000 ; hauteur 26 m ; choix de composition auteur ; dimensions réelles à documenter</x:v>
      </x:c>
      <x:c r="I3452" s="115" t="str">
        <x:v>À équilibrer</x:v>
      </x:c>
      <x:c r="J3452" s="115" t="str">
        <x:v>Non</x:v>
      </x:c>
      <x:c r="K3452" s="115" t="str">
        <x:v>Pièces décrites, murs, portes, niveaux et mobilier inspectables à l’échelle. Volumes réservés, raccord au seed, butin, rencontres et services de campagne restent à terminer.</x:v>
      </x:c>
    </x:row>
    <x:row r="3453" ht="96" customHeight="1">
      <x:c r="A3453" s="115" t="str">
        <x:v>EXT-MONDE-T069-V48</x:v>
      </x:c>
      <x:c r="B3453" s="115" t="str">
        <x:v>EXT-MONDE-T069</x:v>
      </x:c>
      <x:c r="C3453" s="115" t="str">
        <x:v>Aéroports</x:v>
      </x:c>
      <x:c r="D3453" s="115" t="str">
        <x:v>Aérodrome régional</x:v>
      </x:c>
      <x:c r="E3453" s="115" t="n">
        <x:v>48</x:v>
      </x:c>
      <x:c r="F3453" s="115" t="str">
        <x:v>Inspection physique</x:v>
      </x:c>
      <x:c r="G3453" s="115" t="str">
        <x:v>1 niveaux ; 36 pièces ; 265 segments de mur ; 0 transitions. Inspection physique ; architecture complète encore ouverte.</x:v>
      </x:c>
      <x:c r="H3453" s="115" t="str">
        <x:v>L 1100 ; l 2000 ; hauteur 26 m ; choix de composition auteur ; dimensions réelles à documenter</x:v>
      </x:c>
      <x:c r="I3453" s="115" t="str">
        <x:v>À équilibrer</x:v>
      </x:c>
      <x:c r="J3453" s="115" t="str">
        <x:v>Non</x:v>
      </x:c>
      <x:c r="K3453" s="115" t="str">
        <x:v>Pièces décrites, murs, portes, niveaux et mobilier inspectables à l’échelle. Volumes réservés, raccord au seed, butin, rencontres et services de campagne restent à terminer.</x:v>
      </x:c>
    </x:row>
    <x:row r="3454" ht="96" customHeight="1">
      <x:c r="A3454" s="115" t="str">
        <x:v>EXT-MONDE-T069-V49</x:v>
      </x:c>
      <x:c r="B3454" s="115" t="str">
        <x:v>EXT-MONDE-T069</x:v>
      </x:c>
      <x:c r="C3454" s="115" t="str">
        <x:v>Aéroports</x:v>
      </x:c>
      <x:c r="D3454" s="115" t="str">
        <x:v>Aérodrome régional</x:v>
      </x:c>
      <x:c r="E3454" s="115" t="n">
        <x:v>49</x:v>
      </x:c>
      <x:c r="F3454" s="115" t="str">
        <x:v>Inspection physique</x:v>
      </x:c>
      <x:c r="G3454" s="115" t="str">
        <x:v>1 niveaux ; 36 pièces ; 265 segments de mur ; 0 transitions. Inspection physique ; architecture complète encore ouverte.</x:v>
      </x:c>
      <x:c r="H3454" s="115" t="str">
        <x:v>L 1100 ; l 2000 ; hauteur 26 m ; choix de composition auteur ; dimensions réelles à documenter</x:v>
      </x:c>
      <x:c r="I3454" s="115" t="str">
        <x:v>À équilibrer</x:v>
      </x:c>
      <x:c r="J3454" s="115" t="str">
        <x:v>Non</x:v>
      </x:c>
      <x:c r="K3454" s="115" t="str">
        <x:v>Pièces décrites, murs, portes, niveaux et mobilier inspectables à l’échelle. Volumes réservés, raccord au seed, butin, rencontres et services de campagne restent à terminer.</x:v>
      </x:c>
    </x:row>
    <x:row r="3455" ht="96" customHeight="1">
      <x:c r="A3455" s="115" t="str">
        <x:v>EXT-MONDE-T069-V50</x:v>
      </x:c>
      <x:c r="B3455" s="115" t="str">
        <x:v>EXT-MONDE-T069</x:v>
      </x:c>
      <x:c r="C3455" s="115" t="str">
        <x:v>Aéroports</x:v>
      </x:c>
      <x:c r="D3455" s="115" t="str">
        <x:v>Aérodrome régional</x:v>
      </x:c>
      <x:c r="E3455" s="115" t="n">
        <x:v>50</x:v>
      </x:c>
      <x:c r="F3455" s="115" t="str">
        <x:v>Inspection physique</x:v>
      </x:c>
      <x:c r="G3455" s="115" t="str">
        <x:v>1 niveaux ; 36 pièces ; 265 segments de mur ; 0 transitions. Inspection physique ; architecture complète encore ouverte.</x:v>
      </x:c>
      <x:c r="H3455" s="115" t="str">
        <x:v>L 1100 ; l 2000 ; hauteur 26 m ; choix de composition auteur ; dimensions réelles à documenter</x:v>
      </x:c>
      <x:c r="I3455" s="115" t="str">
        <x:v>À équilibrer</x:v>
      </x:c>
      <x:c r="J3455" s="115" t="str">
        <x:v>Non</x:v>
      </x:c>
      <x:c r="K3455" s="115" t="str">
        <x:v>Pièces décrites, murs, portes, niveaux et mobilier inspectables à l’échelle. Volumes réservés, raccord au seed, butin, rencontres et services de campagne restent à terminer.</x:v>
      </x:c>
    </x:row>
    <x:row r="3456" ht="96" customHeight="1">
      <x:c r="A3456" s="115" t="str">
        <x:v>EXT-MONDE-T070-V01</x:v>
      </x:c>
      <x:c r="B3456" s="115" t="str">
        <x:v>EXT-MONDE-T070</x:v>
      </x:c>
      <x:c r="C3456" s="115" t="str">
        <x:v>Aéroports</x:v>
      </x:c>
      <x:c r="D3456" s="115" t="str">
        <x:v>Aéroport international</x:v>
      </x:c>
      <x:c r="E3456" s="115" t="n">
        <x:v>1</x:v>
      </x:c>
      <x:c r="F3456" s="115" t="str">
        <x:v>Inspection physique</x:v>
      </x:c>
      <x:c r="G3456" s="115" t="str">
        <x:v>1 niveaux ; 36 pièces ; 265 segments de mur ; 0 transitions. Inspection physique ; architecture complète encore ouverte.</x:v>
      </x:c>
      <x:c r="H3456" s="115" t="str">
        <x:v>L 1460 ; l 3000 ; hauteur 36 m ; choix de composition auteur ; dimensions réelles à documenter</x:v>
      </x:c>
      <x:c r="I3456" s="115" t="str">
        <x:v>À équilibrer</x:v>
      </x:c>
      <x:c r="J3456" s="115" t="str">
        <x:v>Non</x:v>
      </x:c>
      <x:c r="K3456" s="115" t="str">
        <x:v>Pièces décrites, murs, portes, niveaux et mobilier inspectables à l’échelle. Volumes réservés, raccord au seed, butin, rencontres et services de campagne restent à terminer.</x:v>
      </x:c>
    </x:row>
    <x:row r="3457" ht="96" customHeight="1">
      <x:c r="A3457" s="115" t="str">
        <x:v>EXT-MONDE-T070-V02</x:v>
      </x:c>
      <x:c r="B3457" s="115" t="str">
        <x:v>EXT-MONDE-T070</x:v>
      </x:c>
      <x:c r="C3457" s="115" t="str">
        <x:v>Aéroports</x:v>
      </x:c>
      <x:c r="D3457" s="115" t="str">
        <x:v>Aéroport international</x:v>
      </x:c>
      <x:c r="E3457" s="115" t="n">
        <x:v>2</x:v>
      </x:c>
      <x:c r="F3457" s="115" t="str">
        <x:v>Inspection physique</x:v>
      </x:c>
      <x:c r="G3457" s="115" t="str">
        <x:v>1 niveaux ; 36 pièces ; 265 segments de mur ; 0 transitions. Inspection physique ; architecture complète encore ouverte.</x:v>
      </x:c>
      <x:c r="H3457" s="115" t="str">
        <x:v>L 1460 ; l 3000 ; hauteur 36 m ; choix de composition auteur ; dimensions réelles à documenter</x:v>
      </x:c>
      <x:c r="I3457" s="115" t="str">
        <x:v>À équilibrer</x:v>
      </x:c>
      <x:c r="J3457" s="115" t="str">
        <x:v>Non</x:v>
      </x:c>
      <x:c r="K3457" s="115" t="str">
        <x:v>Pièces décrites, murs, portes, niveaux et mobilier inspectables à l’échelle. Volumes réservés, raccord au seed, butin, rencontres et services de campagne restent à terminer.</x:v>
      </x:c>
    </x:row>
    <x:row r="3458" ht="96" customHeight="1">
      <x:c r="A3458" s="115" t="str">
        <x:v>EXT-MONDE-T070-V03</x:v>
      </x:c>
      <x:c r="B3458" s="115" t="str">
        <x:v>EXT-MONDE-T070</x:v>
      </x:c>
      <x:c r="C3458" s="115" t="str">
        <x:v>Aéroports</x:v>
      </x:c>
      <x:c r="D3458" s="115" t="str">
        <x:v>Aéroport international</x:v>
      </x:c>
      <x:c r="E3458" s="115" t="n">
        <x:v>3</x:v>
      </x:c>
      <x:c r="F3458" s="115" t="str">
        <x:v>Inspection physique</x:v>
      </x:c>
      <x:c r="G3458" s="115" t="str">
        <x:v>1 niveaux ; 36 pièces ; 265 segments de mur ; 0 transitions. Inspection physique ; architecture complète encore ouverte.</x:v>
      </x:c>
      <x:c r="H3458" s="115" t="str">
        <x:v>L 1460 ; l 3000 ; hauteur 36 m ; choix de composition auteur ; dimensions réelles à documenter</x:v>
      </x:c>
      <x:c r="I3458" s="115" t="str">
        <x:v>À équilibrer</x:v>
      </x:c>
      <x:c r="J3458" s="115" t="str">
        <x:v>Non</x:v>
      </x:c>
      <x:c r="K3458" s="115" t="str">
        <x:v>Pièces décrites, murs, portes, niveaux et mobilier inspectables à l’échelle. Volumes réservés, raccord au seed, butin, rencontres et services de campagne restent à terminer.</x:v>
      </x:c>
    </x:row>
    <x:row r="3459" ht="96" customHeight="1">
      <x:c r="A3459" s="115" t="str">
        <x:v>EXT-MONDE-T070-V04</x:v>
      </x:c>
      <x:c r="B3459" s="115" t="str">
        <x:v>EXT-MONDE-T070</x:v>
      </x:c>
      <x:c r="C3459" s="115" t="str">
        <x:v>Aéroports</x:v>
      </x:c>
      <x:c r="D3459" s="115" t="str">
        <x:v>Aéroport international</x:v>
      </x:c>
      <x:c r="E3459" s="115" t="n">
        <x:v>4</x:v>
      </x:c>
      <x:c r="F3459" s="115" t="str">
        <x:v>Inspection physique</x:v>
      </x:c>
      <x:c r="G3459" s="115" t="str">
        <x:v>1 niveaux ; 36 pièces ; 265 segments de mur ; 0 transitions. Inspection physique ; architecture complète encore ouverte.</x:v>
      </x:c>
      <x:c r="H3459" s="115" t="str">
        <x:v>L 1460 ; l 3000 ; hauteur 36 m ; choix de composition auteur ; dimensions réelles à documenter</x:v>
      </x:c>
      <x:c r="I3459" s="115" t="str">
        <x:v>À équilibrer</x:v>
      </x:c>
      <x:c r="J3459" s="115" t="str">
        <x:v>Non</x:v>
      </x:c>
      <x:c r="K3459" s="115" t="str">
        <x:v>Pièces décrites, murs, portes, niveaux et mobilier inspectables à l’échelle. Volumes réservés, raccord au seed, butin, rencontres et services de campagne restent à terminer.</x:v>
      </x:c>
    </x:row>
    <x:row r="3460" ht="96" customHeight="1">
      <x:c r="A3460" s="115" t="str">
        <x:v>EXT-MONDE-T070-V05</x:v>
      </x:c>
      <x:c r="B3460" s="115" t="str">
        <x:v>EXT-MONDE-T070</x:v>
      </x:c>
      <x:c r="C3460" s="115" t="str">
        <x:v>Aéroports</x:v>
      </x:c>
      <x:c r="D3460" s="115" t="str">
        <x:v>Aéroport international</x:v>
      </x:c>
      <x:c r="E3460" s="115" t="n">
        <x:v>5</x:v>
      </x:c>
      <x:c r="F3460" s="115" t="str">
        <x:v>Inspection physique</x:v>
      </x:c>
      <x:c r="G3460" s="115" t="str">
        <x:v>1 niveaux ; 36 pièces ; 265 segments de mur ; 0 transitions. Inspection physique ; architecture complète encore ouverte.</x:v>
      </x:c>
      <x:c r="H3460" s="115" t="str">
        <x:v>L 1460 ; l 3000 ; hauteur 36 m ; choix de composition auteur ; dimensions réelles à documenter</x:v>
      </x:c>
      <x:c r="I3460" s="115" t="str">
        <x:v>À équilibrer</x:v>
      </x:c>
      <x:c r="J3460" s="115" t="str">
        <x:v>Non</x:v>
      </x:c>
      <x:c r="K3460" s="115" t="str">
        <x:v>Pièces décrites, murs, portes, niveaux et mobilier inspectables à l’échelle. Volumes réservés, raccord au seed, butin, rencontres et services de campagne restent à terminer.</x:v>
      </x:c>
    </x:row>
    <x:row r="3461" ht="96" customHeight="1">
      <x:c r="A3461" s="115" t="str">
        <x:v>EXT-MONDE-T070-V06</x:v>
      </x:c>
      <x:c r="B3461" s="115" t="str">
        <x:v>EXT-MONDE-T070</x:v>
      </x:c>
      <x:c r="C3461" s="115" t="str">
        <x:v>Aéroports</x:v>
      </x:c>
      <x:c r="D3461" s="115" t="str">
        <x:v>Aéroport international</x:v>
      </x:c>
      <x:c r="E3461" s="115" t="n">
        <x:v>6</x:v>
      </x:c>
      <x:c r="F3461" s="115" t="str">
        <x:v>Inspection physique</x:v>
      </x:c>
      <x:c r="G3461" s="115" t="str">
        <x:v>1 niveaux ; 36 pièces ; 265 segments de mur ; 0 transitions. Inspection physique ; architecture complète encore ouverte.</x:v>
      </x:c>
      <x:c r="H3461" s="115" t="str">
        <x:v>L 1460 ; l 3000 ; hauteur 36 m ; choix de composition auteur ; dimensions réelles à documenter</x:v>
      </x:c>
      <x:c r="I3461" s="115" t="str">
        <x:v>À équilibrer</x:v>
      </x:c>
      <x:c r="J3461" s="115" t="str">
        <x:v>Non</x:v>
      </x:c>
      <x:c r="K3461" s="115" t="str">
        <x:v>Pièces décrites, murs, portes, niveaux et mobilier inspectables à l’échelle. Volumes réservés, raccord au seed, butin, rencontres et services de campagne restent à terminer.</x:v>
      </x:c>
    </x:row>
    <x:row r="3462" ht="96" customHeight="1">
      <x:c r="A3462" s="115" t="str">
        <x:v>EXT-MONDE-T070-V07</x:v>
      </x:c>
      <x:c r="B3462" s="115" t="str">
        <x:v>EXT-MONDE-T070</x:v>
      </x:c>
      <x:c r="C3462" s="115" t="str">
        <x:v>Aéroports</x:v>
      </x:c>
      <x:c r="D3462" s="115" t="str">
        <x:v>Aéroport international</x:v>
      </x:c>
      <x:c r="E3462" s="115" t="n">
        <x:v>7</x:v>
      </x:c>
      <x:c r="F3462" s="115" t="str">
        <x:v>Inspection physique</x:v>
      </x:c>
      <x:c r="G3462" s="115" t="str">
        <x:v>1 niveaux ; 36 pièces ; 265 segments de mur ; 0 transitions. Inspection physique ; architecture complète encore ouverte.</x:v>
      </x:c>
      <x:c r="H3462" s="115" t="str">
        <x:v>L 1460 ; l 3000 ; hauteur 36 m ; choix de composition auteur ; dimensions réelles à documenter</x:v>
      </x:c>
      <x:c r="I3462" s="115" t="str">
        <x:v>À équilibrer</x:v>
      </x:c>
      <x:c r="J3462" s="115" t="str">
        <x:v>Non</x:v>
      </x:c>
      <x:c r="K3462" s="115" t="str">
        <x:v>Pièces décrites, murs, portes, niveaux et mobilier inspectables à l’échelle. Volumes réservés, raccord au seed, butin, rencontres et services de campagne restent à terminer.</x:v>
      </x:c>
    </x:row>
    <x:row r="3463" ht="96" customHeight="1">
      <x:c r="A3463" s="115" t="str">
        <x:v>EXT-MONDE-T070-V08</x:v>
      </x:c>
      <x:c r="B3463" s="115" t="str">
        <x:v>EXT-MONDE-T070</x:v>
      </x:c>
      <x:c r="C3463" s="115" t="str">
        <x:v>Aéroports</x:v>
      </x:c>
      <x:c r="D3463" s="115" t="str">
        <x:v>Aéroport international</x:v>
      </x:c>
      <x:c r="E3463" s="115" t="n">
        <x:v>8</x:v>
      </x:c>
      <x:c r="F3463" s="115" t="str">
        <x:v>Inspection physique</x:v>
      </x:c>
      <x:c r="G3463" s="115" t="str">
        <x:v>1 niveaux ; 36 pièces ; 265 segments de mur ; 0 transitions. Inspection physique ; architecture complète encore ouverte.</x:v>
      </x:c>
      <x:c r="H3463" s="115" t="str">
        <x:v>L 1460 ; l 3000 ; hauteur 36 m ; choix de composition auteur ; dimensions réelles à documenter</x:v>
      </x:c>
      <x:c r="I3463" s="115" t="str">
        <x:v>À équilibrer</x:v>
      </x:c>
      <x:c r="J3463" s="115" t="str">
        <x:v>Non</x:v>
      </x:c>
      <x:c r="K3463" s="115" t="str">
        <x:v>Pièces décrites, murs, portes, niveaux et mobilier inspectables à l’échelle. Volumes réservés, raccord au seed, butin, rencontres et services de campagne restent à terminer.</x:v>
      </x:c>
    </x:row>
    <x:row r="3464" ht="96" customHeight="1">
      <x:c r="A3464" s="115" t="str">
        <x:v>EXT-MONDE-T070-V09</x:v>
      </x:c>
      <x:c r="B3464" s="115" t="str">
        <x:v>EXT-MONDE-T070</x:v>
      </x:c>
      <x:c r="C3464" s="115" t="str">
        <x:v>Aéroports</x:v>
      </x:c>
      <x:c r="D3464" s="115" t="str">
        <x:v>Aéroport international</x:v>
      </x:c>
      <x:c r="E3464" s="115" t="n">
        <x:v>9</x:v>
      </x:c>
      <x:c r="F3464" s="115" t="str">
        <x:v>Inspection physique</x:v>
      </x:c>
      <x:c r="G3464" s="115" t="str">
        <x:v>1 niveaux ; 36 pièces ; 265 segments de mur ; 0 transitions. Inspection physique ; architecture complète encore ouverte.</x:v>
      </x:c>
      <x:c r="H3464" s="115" t="str">
        <x:v>L 1460 ; l 3000 ; hauteur 36 m ; choix de composition auteur ; dimensions réelles à documenter</x:v>
      </x:c>
      <x:c r="I3464" s="115" t="str">
        <x:v>À équilibrer</x:v>
      </x:c>
      <x:c r="J3464" s="115" t="str">
        <x:v>Non</x:v>
      </x:c>
      <x:c r="K3464" s="115" t="str">
        <x:v>Pièces décrites, murs, portes, niveaux et mobilier inspectables à l’échelle. Volumes réservés, raccord au seed, butin, rencontres et services de campagne restent à terminer.</x:v>
      </x:c>
    </x:row>
    <x:row r="3465" ht="96" customHeight="1">
      <x:c r="A3465" s="115" t="str">
        <x:v>EXT-MONDE-T070-V10</x:v>
      </x:c>
      <x:c r="B3465" s="115" t="str">
        <x:v>EXT-MONDE-T070</x:v>
      </x:c>
      <x:c r="C3465" s="115" t="str">
        <x:v>Aéroports</x:v>
      </x:c>
      <x:c r="D3465" s="115" t="str">
        <x:v>Aéroport international</x:v>
      </x:c>
      <x:c r="E3465" s="115" t="n">
        <x:v>10</x:v>
      </x:c>
      <x:c r="F3465" s="115" t="str">
        <x:v>Inspection physique</x:v>
      </x:c>
      <x:c r="G3465" s="115" t="str">
        <x:v>1 niveaux ; 36 pièces ; 265 segments de mur ; 0 transitions. Inspection physique ; architecture complète encore ouverte.</x:v>
      </x:c>
      <x:c r="H3465" s="115" t="str">
        <x:v>L 1460 ; l 3000 ; hauteur 36 m ; choix de composition auteur ; dimensions réelles à documenter</x:v>
      </x:c>
      <x:c r="I3465" s="115" t="str">
        <x:v>À équilibrer</x:v>
      </x:c>
      <x:c r="J3465" s="115" t="str">
        <x:v>Non</x:v>
      </x:c>
      <x:c r="K3465" s="115" t="str">
        <x:v>Pièces décrites, murs, portes, niveaux et mobilier inspectables à l’échelle. Volumes réservés, raccord au seed, butin, rencontres et services de campagne restent à terminer.</x:v>
      </x:c>
    </x:row>
    <x:row r="3466" ht="96" customHeight="1">
      <x:c r="A3466" s="115" t="str">
        <x:v>EXT-MONDE-T070-V11</x:v>
      </x:c>
      <x:c r="B3466" s="115" t="str">
        <x:v>EXT-MONDE-T070</x:v>
      </x:c>
      <x:c r="C3466" s="115" t="str">
        <x:v>Aéroports</x:v>
      </x:c>
      <x:c r="D3466" s="115" t="str">
        <x:v>Aéroport international</x:v>
      </x:c>
      <x:c r="E3466" s="115" t="n">
        <x:v>11</x:v>
      </x:c>
      <x:c r="F3466" s="115" t="str">
        <x:v>Inspection physique</x:v>
      </x:c>
      <x:c r="G3466" s="115" t="str">
        <x:v>1 niveaux ; 36 pièces ; 265 segments de mur ; 0 transitions. Inspection physique ; architecture complète encore ouverte.</x:v>
      </x:c>
      <x:c r="H3466" s="115" t="str">
        <x:v>L 1460 ; l 3200 ; hauteur 38 m ; choix de composition auteur ; dimensions réelles à documenter</x:v>
      </x:c>
      <x:c r="I3466" s="115" t="str">
        <x:v>À équilibrer</x:v>
      </x:c>
      <x:c r="J3466" s="115" t="str">
        <x:v>Non</x:v>
      </x:c>
      <x:c r="K3466" s="115" t="str">
        <x:v>Pièces décrites, murs, portes, niveaux et mobilier inspectables à l’échelle. Volumes réservés, raccord au seed, butin, rencontres et services de campagne restent à terminer.</x:v>
      </x:c>
    </x:row>
    <x:row r="3467" ht="96" customHeight="1">
      <x:c r="A3467" s="115" t="str">
        <x:v>EXT-MONDE-T070-V12</x:v>
      </x:c>
      <x:c r="B3467" s="115" t="str">
        <x:v>EXT-MONDE-T070</x:v>
      </x:c>
      <x:c r="C3467" s="115" t="str">
        <x:v>Aéroports</x:v>
      </x:c>
      <x:c r="D3467" s="115" t="str">
        <x:v>Aéroport international</x:v>
      </x:c>
      <x:c r="E3467" s="115" t="n">
        <x:v>12</x:v>
      </x:c>
      <x:c r="F3467" s="115" t="str">
        <x:v>Inspection physique</x:v>
      </x:c>
      <x:c r="G3467" s="115" t="str">
        <x:v>1 niveaux ; 36 pièces ; 265 segments de mur ; 0 transitions. Inspection physique ; architecture complète encore ouverte.</x:v>
      </x:c>
      <x:c r="H3467" s="115" t="str">
        <x:v>L 1460 ; l 3200 ; hauteur 38 m ; choix de composition auteur ; dimensions réelles à documenter</x:v>
      </x:c>
      <x:c r="I3467" s="115" t="str">
        <x:v>À équilibrer</x:v>
      </x:c>
      <x:c r="J3467" s="115" t="str">
        <x:v>Non</x:v>
      </x:c>
      <x:c r="K3467" s="115" t="str">
        <x:v>Pièces décrites, murs, portes, niveaux et mobilier inspectables à l’échelle. Volumes réservés, raccord au seed, butin, rencontres et services de campagne restent à terminer.</x:v>
      </x:c>
    </x:row>
    <x:row r="3468" ht="96" customHeight="1">
      <x:c r="A3468" s="115" t="str">
        <x:v>EXT-MONDE-T070-V13</x:v>
      </x:c>
      <x:c r="B3468" s="115" t="str">
        <x:v>EXT-MONDE-T070</x:v>
      </x:c>
      <x:c r="C3468" s="115" t="str">
        <x:v>Aéroports</x:v>
      </x:c>
      <x:c r="D3468" s="115" t="str">
        <x:v>Aéroport international</x:v>
      </x:c>
      <x:c r="E3468" s="115" t="n">
        <x:v>13</x:v>
      </x:c>
      <x:c r="F3468" s="115" t="str">
        <x:v>Inspection physique</x:v>
      </x:c>
      <x:c r="G3468" s="115" t="str">
        <x:v>1 niveaux ; 36 pièces ; 265 segments de mur ; 0 transitions. Inspection physique ; architecture complète encore ouverte.</x:v>
      </x:c>
      <x:c r="H3468" s="115" t="str">
        <x:v>L 1460 ; l 3200 ; hauteur 38 m ; choix de composition auteur ; dimensions réelles à documenter</x:v>
      </x:c>
      <x:c r="I3468" s="115" t="str">
        <x:v>À équilibrer</x:v>
      </x:c>
      <x:c r="J3468" s="115" t="str">
        <x:v>Non</x:v>
      </x:c>
      <x:c r="K3468" s="115" t="str">
        <x:v>Pièces décrites, murs, portes, niveaux et mobilier inspectables à l’échelle. Volumes réservés, raccord au seed, butin, rencontres et services de campagne restent à terminer.</x:v>
      </x:c>
    </x:row>
    <x:row r="3469" ht="96" customHeight="1">
      <x:c r="A3469" s="115" t="str">
        <x:v>EXT-MONDE-T070-V14</x:v>
      </x:c>
      <x:c r="B3469" s="115" t="str">
        <x:v>EXT-MONDE-T070</x:v>
      </x:c>
      <x:c r="C3469" s="115" t="str">
        <x:v>Aéroports</x:v>
      </x:c>
      <x:c r="D3469" s="115" t="str">
        <x:v>Aéroport international</x:v>
      </x:c>
      <x:c r="E3469" s="115" t="n">
        <x:v>14</x:v>
      </x:c>
      <x:c r="F3469" s="115" t="str">
        <x:v>Inspection physique</x:v>
      </x:c>
      <x:c r="G3469" s="115" t="str">
        <x:v>1 niveaux ; 36 pièces ; 265 segments de mur ; 0 transitions. Inspection physique ; architecture complète encore ouverte.</x:v>
      </x:c>
      <x:c r="H3469" s="115" t="str">
        <x:v>L 1460 ; l 3200 ; hauteur 38 m ; choix de composition auteur ; dimensions réelles à documenter</x:v>
      </x:c>
      <x:c r="I3469" s="115" t="str">
        <x:v>À équilibrer</x:v>
      </x:c>
      <x:c r="J3469" s="115" t="str">
        <x:v>Non</x:v>
      </x:c>
      <x:c r="K3469" s="115" t="str">
        <x:v>Pièces décrites, murs, portes, niveaux et mobilier inspectables à l’échelle. Volumes réservés, raccord au seed, butin, rencontres et services de campagne restent à terminer.</x:v>
      </x:c>
    </x:row>
    <x:row r="3470" ht="96" customHeight="1">
      <x:c r="A3470" s="115" t="str">
        <x:v>EXT-MONDE-T070-V15</x:v>
      </x:c>
      <x:c r="B3470" s="115" t="str">
        <x:v>EXT-MONDE-T070</x:v>
      </x:c>
      <x:c r="C3470" s="115" t="str">
        <x:v>Aéroports</x:v>
      </x:c>
      <x:c r="D3470" s="115" t="str">
        <x:v>Aéroport international</x:v>
      </x:c>
      <x:c r="E3470" s="115" t="n">
        <x:v>15</x:v>
      </x:c>
      <x:c r="F3470" s="115" t="str">
        <x:v>Inspection physique</x:v>
      </x:c>
      <x:c r="G3470" s="115" t="str">
        <x:v>1 niveaux ; 36 pièces ; 265 segments de mur ; 0 transitions. Inspection physique ; architecture complète encore ouverte.</x:v>
      </x:c>
      <x:c r="H3470" s="115" t="str">
        <x:v>L 1460 ; l 3200 ; hauteur 38 m ; choix de composition auteur ; dimensions réelles à documenter</x:v>
      </x:c>
      <x:c r="I3470" s="115" t="str">
        <x:v>À équilibrer</x:v>
      </x:c>
      <x:c r="J3470" s="115" t="str">
        <x:v>Non</x:v>
      </x:c>
      <x:c r="K3470" s="115" t="str">
        <x:v>Pièces décrites, murs, portes, niveaux et mobilier inspectables à l’échelle. Volumes réservés, raccord au seed, butin, rencontres et services de campagne restent à terminer.</x:v>
      </x:c>
    </x:row>
    <x:row r="3471" ht="96" customHeight="1">
      <x:c r="A3471" s="115" t="str">
        <x:v>EXT-MONDE-T070-V16</x:v>
      </x:c>
      <x:c r="B3471" s="115" t="str">
        <x:v>EXT-MONDE-T070</x:v>
      </x:c>
      <x:c r="C3471" s="115" t="str">
        <x:v>Aéroports</x:v>
      </x:c>
      <x:c r="D3471" s="115" t="str">
        <x:v>Aéroport international</x:v>
      </x:c>
      <x:c r="E3471" s="115" t="n">
        <x:v>16</x:v>
      </x:c>
      <x:c r="F3471" s="115" t="str">
        <x:v>Inspection physique</x:v>
      </x:c>
      <x:c r="G3471" s="115" t="str">
        <x:v>1 niveaux ; 36 pièces ; 265 segments de mur ; 0 transitions. Inspection physique ; architecture complète encore ouverte.</x:v>
      </x:c>
      <x:c r="H3471" s="115" t="str">
        <x:v>L 1460 ; l 3200 ; hauteur 38 m ; choix de composition auteur ; dimensions réelles à documenter</x:v>
      </x:c>
      <x:c r="I3471" s="115" t="str">
        <x:v>À équilibrer</x:v>
      </x:c>
      <x:c r="J3471" s="115" t="str">
        <x:v>Non</x:v>
      </x:c>
      <x:c r="K3471" s="115" t="str">
        <x:v>Pièces décrites, murs, portes, niveaux et mobilier inspectables à l’échelle. Volumes réservés, raccord au seed, butin, rencontres et services de campagne restent à terminer.</x:v>
      </x:c>
    </x:row>
    <x:row r="3472" ht="96" customHeight="1">
      <x:c r="A3472" s="115" t="str">
        <x:v>EXT-MONDE-T070-V17</x:v>
      </x:c>
      <x:c r="B3472" s="115" t="str">
        <x:v>EXT-MONDE-T070</x:v>
      </x:c>
      <x:c r="C3472" s="115" t="str">
        <x:v>Aéroports</x:v>
      </x:c>
      <x:c r="D3472" s="115" t="str">
        <x:v>Aéroport international</x:v>
      </x:c>
      <x:c r="E3472" s="115" t="n">
        <x:v>17</x:v>
      </x:c>
      <x:c r="F3472" s="115" t="str">
        <x:v>Inspection physique</x:v>
      </x:c>
      <x:c r="G3472" s="115" t="str">
        <x:v>1 niveaux ; 36 pièces ; 265 segments de mur ; 0 transitions. Inspection physique ; architecture complète encore ouverte.</x:v>
      </x:c>
      <x:c r="H3472" s="115" t="str">
        <x:v>L 1460 ; l 3200 ; hauteur 38 m ; choix de composition auteur ; dimensions réelles à documenter</x:v>
      </x:c>
      <x:c r="I3472" s="115" t="str">
        <x:v>À équilibrer</x:v>
      </x:c>
      <x:c r="J3472" s="115" t="str">
        <x:v>Non</x:v>
      </x:c>
      <x:c r="K3472" s="115" t="str">
        <x:v>Pièces décrites, murs, portes, niveaux et mobilier inspectables à l’échelle. Volumes réservés, raccord au seed, butin, rencontres et services de campagne restent à terminer.</x:v>
      </x:c>
    </x:row>
    <x:row r="3473" ht="96" customHeight="1">
      <x:c r="A3473" s="115" t="str">
        <x:v>EXT-MONDE-T070-V18</x:v>
      </x:c>
      <x:c r="B3473" s="115" t="str">
        <x:v>EXT-MONDE-T070</x:v>
      </x:c>
      <x:c r="C3473" s="115" t="str">
        <x:v>Aéroports</x:v>
      </x:c>
      <x:c r="D3473" s="115" t="str">
        <x:v>Aéroport international</x:v>
      </x:c>
      <x:c r="E3473" s="115" t="n">
        <x:v>18</x:v>
      </x:c>
      <x:c r="F3473" s="115" t="str">
        <x:v>Inspection physique</x:v>
      </x:c>
      <x:c r="G3473" s="115" t="str">
        <x:v>1 niveaux ; 36 pièces ; 265 segments de mur ; 0 transitions. Inspection physique ; architecture complète encore ouverte.</x:v>
      </x:c>
      <x:c r="H3473" s="115" t="str">
        <x:v>L 1460 ; l 3200 ; hauteur 38 m ; choix de composition auteur ; dimensions réelles à documenter</x:v>
      </x:c>
      <x:c r="I3473" s="115" t="str">
        <x:v>À équilibrer</x:v>
      </x:c>
      <x:c r="J3473" s="115" t="str">
        <x:v>Non</x:v>
      </x:c>
      <x:c r="K3473" s="115" t="str">
        <x:v>Pièces décrites, murs, portes, niveaux et mobilier inspectables à l’échelle. Volumes réservés, raccord au seed, butin, rencontres et services de campagne restent à terminer.</x:v>
      </x:c>
    </x:row>
    <x:row r="3474" ht="96" customHeight="1">
      <x:c r="A3474" s="115" t="str">
        <x:v>EXT-MONDE-T070-V19</x:v>
      </x:c>
      <x:c r="B3474" s="115" t="str">
        <x:v>EXT-MONDE-T070</x:v>
      </x:c>
      <x:c r="C3474" s="115" t="str">
        <x:v>Aéroports</x:v>
      </x:c>
      <x:c r="D3474" s="115" t="str">
        <x:v>Aéroport international</x:v>
      </x:c>
      <x:c r="E3474" s="115" t="n">
        <x:v>19</x:v>
      </x:c>
      <x:c r="F3474" s="115" t="str">
        <x:v>Inspection physique</x:v>
      </x:c>
      <x:c r="G3474" s="115" t="str">
        <x:v>1 niveaux ; 36 pièces ; 265 segments de mur ; 0 transitions. Inspection physique ; architecture complète encore ouverte.</x:v>
      </x:c>
      <x:c r="H3474" s="115" t="str">
        <x:v>L 1460 ; l 3200 ; hauteur 38 m ; choix de composition auteur ; dimensions réelles à documenter</x:v>
      </x:c>
      <x:c r="I3474" s="115" t="str">
        <x:v>À équilibrer</x:v>
      </x:c>
      <x:c r="J3474" s="115" t="str">
        <x:v>Non</x:v>
      </x:c>
      <x:c r="K3474" s="115" t="str">
        <x:v>Pièces décrites, murs, portes, niveaux et mobilier inspectables à l’échelle. Volumes réservés, raccord au seed, butin, rencontres et services de campagne restent à terminer.</x:v>
      </x:c>
    </x:row>
    <x:row r="3475" ht="96" customHeight="1">
      <x:c r="A3475" s="115" t="str">
        <x:v>EXT-MONDE-T070-V20</x:v>
      </x:c>
      <x:c r="B3475" s="115" t="str">
        <x:v>EXT-MONDE-T070</x:v>
      </x:c>
      <x:c r="C3475" s="115" t="str">
        <x:v>Aéroports</x:v>
      </x:c>
      <x:c r="D3475" s="115" t="str">
        <x:v>Aéroport international</x:v>
      </x:c>
      <x:c r="E3475" s="115" t="n">
        <x:v>20</x:v>
      </x:c>
      <x:c r="F3475" s="115" t="str">
        <x:v>Inspection physique</x:v>
      </x:c>
      <x:c r="G3475" s="115" t="str">
        <x:v>1 niveaux ; 36 pièces ; 265 segments de mur ; 0 transitions. Inspection physique ; architecture complète encore ouverte.</x:v>
      </x:c>
      <x:c r="H3475" s="115" t="str">
        <x:v>L 1460 ; l 3200 ; hauteur 38 m ; choix de composition auteur ; dimensions réelles à documenter</x:v>
      </x:c>
      <x:c r="I3475" s="115" t="str">
        <x:v>À équilibrer</x:v>
      </x:c>
      <x:c r="J3475" s="115" t="str">
        <x:v>Non</x:v>
      </x:c>
      <x:c r="K3475" s="115" t="str">
        <x:v>Pièces décrites, murs, portes, niveaux et mobilier inspectables à l’échelle. Volumes réservés, raccord au seed, butin, rencontres et services de campagne restent à terminer.</x:v>
      </x:c>
    </x:row>
    <x:row r="3476" ht="96" customHeight="1">
      <x:c r="A3476" s="115" t="str">
        <x:v>EXT-MONDE-T070-V21</x:v>
      </x:c>
      <x:c r="B3476" s="115" t="str">
        <x:v>EXT-MONDE-T070</x:v>
      </x:c>
      <x:c r="C3476" s="115" t="str">
        <x:v>Aéroports</x:v>
      </x:c>
      <x:c r="D3476" s="115" t="str">
        <x:v>Aéroport international</x:v>
      </x:c>
      <x:c r="E3476" s="115" t="n">
        <x:v>21</x:v>
      </x:c>
      <x:c r="F3476" s="115" t="str">
        <x:v>Inspection physique</x:v>
      </x:c>
      <x:c r="G3476" s="115" t="str">
        <x:v>1 niveaux ; 36 pièces ; 265 segments de mur ; 0 transitions. Inspection physique ; architecture complète encore ouverte.</x:v>
      </x:c>
      <x:c r="H3476" s="115" t="str">
        <x:v>L 1460 ; l 3400 ; hauteur 40 m ; choix de composition auteur ; dimensions réelles à documenter</x:v>
      </x:c>
      <x:c r="I3476" s="115" t="str">
        <x:v>À équilibrer</x:v>
      </x:c>
      <x:c r="J3476" s="115" t="str">
        <x:v>Non</x:v>
      </x:c>
      <x:c r="K3476" s="115" t="str">
        <x:v>Pièces décrites, murs, portes, niveaux et mobilier inspectables à l’échelle. Volumes réservés, raccord au seed, butin, rencontres et services de campagne restent à terminer.</x:v>
      </x:c>
    </x:row>
    <x:row r="3477" ht="96" customHeight="1">
      <x:c r="A3477" s="115" t="str">
        <x:v>EXT-MONDE-T070-V22</x:v>
      </x:c>
      <x:c r="B3477" s="115" t="str">
        <x:v>EXT-MONDE-T070</x:v>
      </x:c>
      <x:c r="C3477" s="115" t="str">
        <x:v>Aéroports</x:v>
      </x:c>
      <x:c r="D3477" s="115" t="str">
        <x:v>Aéroport international</x:v>
      </x:c>
      <x:c r="E3477" s="115" t="n">
        <x:v>22</x:v>
      </x:c>
      <x:c r="F3477" s="115" t="str">
        <x:v>Inspection physique</x:v>
      </x:c>
      <x:c r="G3477" s="115" t="str">
        <x:v>1 niveaux ; 36 pièces ; 265 segments de mur ; 0 transitions. Inspection physique ; architecture complète encore ouverte.</x:v>
      </x:c>
      <x:c r="H3477" s="115" t="str">
        <x:v>L 1460 ; l 3400 ; hauteur 40 m ; choix de composition auteur ; dimensions réelles à documenter</x:v>
      </x:c>
      <x:c r="I3477" s="115" t="str">
        <x:v>À équilibrer</x:v>
      </x:c>
      <x:c r="J3477" s="115" t="str">
        <x:v>Non</x:v>
      </x:c>
      <x:c r="K3477" s="115" t="str">
        <x:v>Pièces décrites, murs, portes, niveaux et mobilier inspectables à l’échelle. Volumes réservés, raccord au seed, butin, rencontres et services de campagne restent à terminer.</x:v>
      </x:c>
    </x:row>
    <x:row r="3478" ht="96" customHeight="1">
      <x:c r="A3478" s="115" t="str">
        <x:v>EXT-MONDE-T070-V23</x:v>
      </x:c>
      <x:c r="B3478" s="115" t="str">
        <x:v>EXT-MONDE-T070</x:v>
      </x:c>
      <x:c r="C3478" s="115" t="str">
        <x:v>Aéroports</x:v>
      </x:c>
      <x:c r="D3478" s="115" t="str">
        <x:v>Aéroport international</x:v>
      </x:c>
      <x:c r="E3478" s="115" t="n">
        <x:v>23</x:v>
      </x:c>
      <x:c r="F3478" s="115" t="str">
        <x:v>Inspection physique</x:v>
      </x:c>
      <x:c r="G3478" s="115" t="str">
        <x:v>1 niveaux ; 36 pièces ; 265 segments de mur ; 0 transitions. Inspection physique ; architecture complète encore ouverte.</x:v>
      </x:c>
      <x:c r="H3478" s="115" t="str">
        <x:v>L 1460 ; l 3400 ; hauteur 40 m ; choix de composition auteur ; dimensions réelles à documenter</x:v>
      </x:c>
      <x:c r="I3478" s="115" t="str">
        <x:v>À équilibrer</x:v>
      </x:c>
      <x:c r="J3478" s="115" t="str">
        <x:v>Non</x:v>
      </x:c>
      <x:c r="K3478" s="115" t="str">
        <x:v>Pièces décrites, murs, portes, niveaux et mobilier inspectables à l’échelle. Volumes réservés, raccord au seed, butin, rencontres et services de campagne restent à terminer.</x:v>
      </x:c>
    </x:row>
    <x:row r="3479" ht="96" customHeight="1">
      <x:c r="A3479" s="115" t="str">
        <x:v>EXT-MONDE-T070-V24</x:v>
      </x:c>
      <x:c r="B3479" s="115" t="str">
        <x:v>EXT-MONDE-T070</x:v>
      </x:c>
      <x:c r="C3479" s="115" t="str">
        <x:v>Aéroports</x:v>
      </x:c>
      <x:c r="D3479" s="115" t="str">
        <x:v>Aéroport international</x:v>
      </x:c>
      <x:c r="E3479" s="115" t="n">
        <x:v>24</x:v>
      </x:c>
      <x:c r="F3479" s="115" t="str">
        <x:v>Inspection physique</x:v>
      </x:c>
      <x:c r="G3479" s="115" t="str">
        <x:v>1 niveaux ; 36 pièces ; 265 segments de mur ; 0 transitions. Inspection physique ; architecture complète encore ouverte.</x:v>
      </x:c>
      <x:c r="H3479" s="115" t="str">
        <x:v>L 1460 ; l 3400 ; hauteur 40 m ; choix de composition auteur ; dimensions réelles à documenter</x:v>
      </x:c>
      <x:c r="I3479" s="115" t="str">
        <x:v>À équilibrer</x:v>
      </x:c>
      <x:c r="J3479" s="115" t="str">
        <x:v>Non</x:v>
      </x:c>
      <x:c r="K3479" s="115" t="str">
        <x:v>Pièces décrites, murs, portes, niveaux et mobilier inspectables à l’échelle. Volumes réservés, raccord au seed, butin, rencontres et services de campagne restent à terminer.</x:v>
      </x:c>
    </x:row>
    <x:row r="3480" ht="96" customHeight="1">
      <x:c r="A3480" s="115" t="str">
        <x:v>EXT-MONDE-T070-V25</x:v>
      </x:c>
      <x:c r="B3480" s="115" t="str">
        <x:v>EXT-MONDE-T070</x:v>
      </x:c>
      <x:c r="C3480" s="115" t="str">
        <x:v>Aéroports</x:v>
      </x:c>
      <x:c r="D3480" s="115" t="str">
        <x:v>Aéroport international</x:v>
      </x:c>
      <x:c r="E3480" s="115" t="n">
        <x:v>25</x:v>
      </x:c>
      <x:c r="F3480" s="115" t="str">
        <x:v>Inspection physique</x:v>
      </x:c>
      <x:c r="G3480" s="115" t="str">
        <x:v>1 niveaux ; 36 pièces ; 265 segments de mur ; 0 transitions. Inspection physique ; architecture complète encore ouverte.</x:v>
      </x:c>
      <x:c r="H3480" s="115" t="str">
        <x:v>L 1460 ; l 3400 ; hauteur 40 m ; choix de composition auteur ; dimensions réelles à documenter</x:v>
      </x:c>
      <x:c r="I3480" s="115" t="str">
        <x:v>À équilibrer</x:v>
      </x:c>
      <x:c r="J3480" s="115" t="str">
        <x:v>Non</x:v>
      </x:c>
      <x:c r="K3480" s="115" t="str">
        <x:v>Pièces décrites, murs, portes, niveaux et mobilier inspectables à l’échelle. Volumes réservés, raccord au seed, butin, rencontres et services de campagne restent à terminer.</x:v>
      </x:c>
    </x:row>
    <x:row r="3481" ht="96" customHeight="1">
      <x:c r="A3481" s="115" t="str">
        <x:v>EXT-MONDE-T070-V26</x:v>
      </x:c>
      <x:c r="B3481" s="115" t="str">
        <x:v>EXT-MONDE-T070</x:v>
      </x:c>
      <x:c r="C3481" s="115" t="str">
        <x:v>Aéroports</x:v>
      </x:c>
      <x:c r="D3481" s="115" t="str">
        <x:v>Aéroport international</x:v>
      </x:c>
      <x:c r="E3481" s="115" t="n">
        <x:v>26</x:v>
      </x:c>
      <x:c r="F3481" s="115" t="str">
        <x:v>Inspection physique</x:v>
      </x:c>
      <x:c r="G3481" s="115" t="str">
        <x:v>1 niveaux ; 36 pièces ; 265 segments de mur ; 0 transitions. Inspection physique ; architecture complète encore ouverte.</x:v>
      </x:c>
      <x:c r="H3481" s="115" t="str">
        <x:v>L 1460 ; l 3400 ; hauteur 40 m ; choix de composition auteur ; dimensions réelles à documenter</x:v>
      </x:c>
      <x:c r="I3481" s="115" t="str">
        <x:v>À équilibrer</x:v>
      </x:c>
      <x:c r="J3481" s="115" t="str">
        <x:v>Non</x:v>
      </x:c>
      <x:c r="K3481" s="115" t="str">
        <x:v>Pièces décrites, murs, portes, niveaux et mobilier inspectables à l’échelle. Volumes réservés, raccord au seed, butin, rencontres et services de campagne restent à terminer.</x:v>
      </x:c>
    </x:row>
    <x:row r="3482" ht="96" customHeight="1">
      <x:c r="A3482" s="115" t="str">
        <x:v>EXT-MONDE-T070-V27</x:v>
      </x:c>
      <x:c r="B3482" s="115" t="str">
        <x:v>EXT-MONDE-T070</x:v>
      </x:c>
      <x:c r="C3482" s="115" t="str">
        <x:v>Aéroports</x:v>
      </x:c>
      <x:c r="D3482" s="115" t="str">
        <x:v>Aéroport international</x:v>
      </x:c>
      <x:c r="E3482" s="115" t="n">
        <x:v>27</x:v>
      </x:c>
      <x:c r="F3482" s="115" t="str">
        <x:v>Inspection physique</x:v>
      </x:c>
      <x:c r="G3482" s="115" t="str">
        <x:v>1 niveaux ; 36 pièces ; 265 segments de mur ; 0 transitions. Inspection physique ; architecture complète encore ouverte.</x:v>
      </x:c>
      <x:c r="H3482" s="115" t="str">
        <x:v>L 1460 ; l 3400 ; hauteur 40 m ; choix de composition auteur ; dimensions réelles à documenter</x:v>
      </x:c>
      <x:c r="I3482" s="115" t="str">
        <x:v>À équilibrer</x:v>
      </x:c>
      <x:c r="J3482" s="115" t="str">
        <x:v>Non</x:v>
      </x:c>
      <x:c r="K3482" s="115" t="str">
        <x:v>Pièces décrites, murs, portes, niveaux et mobilier inspectables à l’échelle. Volumes réservés, raccord au seed, butin, rencontres et services de campagne restent à terminer.</x:v>
      </x:c>
    </x:row>
    <x:row r="3483" ht="96" customHeight="1">
      <x:c r="A3483" s="115" t="str">
        <x:v>EXT-MONDE-T070-V28</x:v>
      </x:c>
      <x:c r="B3483" s="115" t="str">
        <x:v>EXT-MONDE-T070</x:v>
      </x:c>
      <x:c r="C3483" s="115" t="str">
        <x:v>Aéroports</x:v>
      </x:c>
      <x:c r="D3483" s="115" t="str">
        <x:v>Aéroport international</x:v>
      </x:c>
      <x:c r="E3483" s="115" t="n">
        <x:v>28</x:v>
      </x:c>
      <x:c r="F3483" s="115" t="str">
        <x:v>Inspection physique</x:v>
      </x:c>
      <x:c r="G3483" s="115" t="str">
        <x:v>1 niveaux ; 36 pièces ; 265 segments de mur ; 0 transitions. Inspection physique ; architecture complète encore ouverte.</x:v>
      </x:c>
      <x:c r="H3483" s="115" t="str">
        <x:v>L 1460 ; l 3400 ; hauteur 40 m ; choix de composition auteur ; dimensions réelles à documenter</x:v>
      </x:c>
      <x:c r="I3483" s="115" t="str">
        <x:v>À équilibrer</x:v>
      </x:c>
      <x:c r="J3483" s="115" t="str">
        <x:v>Non</x:v>
      </x:c>
      <x:c r="K3483" s="115" t="str">
        <x:v>Pièces décrites, murs, portes, niveaux et mobilier inspectables à l’échelle. Volumes réservés, raccord au seed, butin, rencontres et services de campagne restent à terminer.</x:v>
      </x:c>
    </x:row>
    <x:row r="3484" ht="96" customHeight="1">
      <x:c r="A3484" s="115" t="str">
        <x:v>EXT-MONDE-T070-V29</x:v>
      </x:c>
      <x:c r="B3484" s="115" t="str">
        <x:v>EXT-MONDE-T070</x:v>
      </x:c>
      <x:c r="C3484" s="115" t="str">
        <x:v>Aéroports</x:v>
      </x:c>
      <x:c r="D3484" s="115" t="str">
        <x:v>Aéroport international</x:v>
      </x:c>
      <x:c r="E3484" s="115" t="n">
        <x:v>29</x:v>
      </x:c>
      <x:c r="F3484" s="115" t="str">
        <x:v>Inspection physique</x:v>
      </x:c>
      <x:c r="G3484" s="115" t="str">
        <x:v>1 niveaux ; 36 pièces ; 265 segments de mur ; 0 transitions. Inspection physique ; architecture complète encore ouverte.</x:v>
      </x:c>
      <x:c r="H3484" s="115" t="str">
        <x:v>L 1460 ; l 3400 ; hauteur 40 m ; choix de composition auteur ; dimensions réelles à documenter</x:v>
      </x:c>
      <x:c r="I3484" s="115" t="str">
        <x:v>À équilibrer</x:v>
      </x:c>
      <x:c r="J3484" s="115" t="str">
        <x:v>Non</x:v>
      </x:c>
      <x:c r="K3484" s="115" t="str">
        <x:v>Pièces décrites, murs, portes, niveaux et mobilier inspectables à l’échelle. Volumes réservés, raccord au seed, butin, rencontres et services de campagne restent à terminer.</x:v>
      </x:c>
    </x:row>
    <x:row r="3485" ht="96" customHeight="1">
      <x:c r="A3485" s="115" t="str">
        <x:v>EXT-MONDE-T070-V30</x:v>
      </x:c>
      <x:c r="B3485" s="115" t="str">
        <x:v>EXT-MONDE-T070</x:v>
      </x:c>
      <x:c r="C3485" s="115" t="str">
        <x:v>Aéroports</x:v>
      </x:c>
      <x:c r="D3485" s="115" t="str">
        <x:v>Aéroport international</x:v>
      </x:c>
      <x:c r="E3485" s="115" t="n">
        <x:v>30</x:v>
      </x:c>
      <x:c r="F3485" s="115" t="str">
        <x:v>Inspection physique</x:v>
      </x:c>
      <x:c r="G3485" s="115" t="str">
        <x:v>1 niveaux ; 36 pièces ; 265 segments de mur ; 0 transitions. Inspection physique ; architecture complète encore ouverte.</x:v>
      </x:c>
      <x:c r="H3485" s="115" t="str">
        <x:v>L 1460 ; l 3400 ; hauteur 40 m ; choix de composition auteur ; dimensions réelles à documenter</x:v>
      </x:c>
      <x:c r="I3485" s="115" t="str">
        <x:v>À équilibrer</x:v>
      </x:c>
      <x:c r="J3485" s="115" t="str">
        <x:v>Non</x:v>
      </x:c>
      <x:c r="K3485" s="115" t="str">
        <x:v>Pièces décrites, murs, portes, niveaux et mobilier inspectables à l’échelle. Volumes réservés, raccord au seed, butin, rencontres et services de campagne restent à terminer.</x:v>
      </x:c>
    </x:row>
    <x:row r="3486" ht="96" customHeight="1">
      <x:c r="A3486" s="115" t="str">
        <x:v>EXT-MONDE-T070-V31</x:v>
      </x:c>
      <x:c r="B3486" s="115" t="str">
        <x:v>EXT-MONDE-T070</x:v>
      </x:c>
      <x:c r="C3486" s="115" t="str">
        <x:v>Aéroports</x:v>
      </x:c>
      <x:c r="D3486" s="115" t="str">
        <x:v>Aéroport international</x:v>
      </x:c>
      <x:c r="E3486" s="115" t="n">
        <x:v>31</x:v>
      </x:c>
      <x:c r="F3486" s="115" t="str">
        <x:v>Inspection physique</x:v>
      </x:c>
      <x:c r="G3486" s="115" t="str">
        <x:v>1 niveaux ; 36 pièces ; 265 segments de mur ; 0 transitions. Inspection physique ; architecture complète encore ouverte.</x:v>
      </x:c>
      <x:c r="H3486" s="115" t="str">
        <x:v>L 1460 ; l 3600 ; hauteur 42 m ; choix de composition auteur ; dimensions réelles à documenter</x:v>
      </x:c>
      <x:c r="I3486" s="115" t="str">
        <x:v>À équilibrer</x:v>
      </x:c>
      <x:c r="J3486" s="115" t="str">
        <x:v>Non</x:v>
      </x:c>
      <x:c r="K3486" s="115" t="str">
        <x:v>Pièces décrites, murs, portes, niveaux et mobilier inspectables à l’échelle. Volumes réservés, raccord au seed, butin, rencontres et services de campagne restent à terminer.</x:v>
      </x:c>
    </x:row>
    <x:row r="3487" ht="96" customHeight="1">
      <x:c r="A3487" s="115" t="str">
        <x:v>EXT-MONDE-T070-V32</x:v>
      </x:c>
      <x:c r="B3487" s="115" t="str">
        <x:v>EXT-MONDE-T070</x:v>
      </x:c>
      <x:c r="C3487" s="115" t="str">
        <x:v>Aéroports</x:v>
      </x:c>
      <x:c r="D3487" s="115" t="str">
        <x:v>Aéroport international</x:v>
      </x:c>
      <x:c r="E3487" s="115" t="n">
        <x:v>32</x:v>
      </x:c>
      <x:c r="F3487" s="115" t="str">
        <x:v>Inspection physique</x:v>
      </x:c>
      <x:c r="G3487" s="115" t="str">
        <x:v>1 niveaux ; 36 pièces ; 265 segments de mur ; 0 transitions. Inspection physique ; architecture complète encore ouverte.</x:v>
      </x:c>
      <x:c r="H3487" s="115" t="str">
        <x:v>L 1460 ; l 3600 ; hauteur 42 m ; choix de composition auteur ; dimensions réelles à documenter</x:v>
      </x:c>
      <x:c r="I3487" s="115" t="str">
        <x:v>À équilibrer</x:v>
      </x:c>
      <x:c r="J3487" s="115" t="str">
        <x:v>Non</x:v>
      </x:c>
      <x:c r="K3487" s="115" t="str">
        <x:v>Pièces décrites, murs, portes, niveaux et mobilier inspectables à l’échelle. Volumes réservés, raccord au seed, butin, rencontres et services de campagne restent à terminer.</x:v>
      </x:c>
    </x:row>
    <x:row r="3488" ht="96" customHeight="1">
      <x:c r="A3488" s="115" t="str">
        <x:v>EXT-MONDE-T070-V33</x:v>
      </x:c>
      <x:c r="B3488" s="115" t="str">
        <x:v>EXT-MONDE-T070</x:v>
      </x:c>
      <x:c r="C3488" s="115" t="str">
        <x:v>Aéroports</x:v>
      </x:c>
      <x:c r="D3488" s="115" t="str">
        <x:v>Aéroport international</x:v>
      </x:c>
      <x:c r="E3488" s="115" t="n">
        <x:v>33</x:v>
      </x:c>
      <x:c r="F3488" s="115" t="str">
        <x:v>Inspection physique</x:v>
      </x:c>
      <x:c r="G3488" s="115" t="str">
        <x:v>1 niveaux ; 36 pièces ; 265 segments de mur ; 0 transitions. Inspection physique ; architecture complète encore ouverte.</x:v>
      </x:c>
      <x:c r="H3488" s="115" t="str">
        <x:v>L 1460 ; l 3600 ; hauteur 42 m ; choix de composition auteur ; dimensions réelles à documenter</x:v>
      </x:c>
      <x:c r="I3488" s="115" t="str">
        <x:v>À équilibrer</x:v>
      </x:c>
      <x:c r="J3488" s="115" t="str">
        <x:v>Non</x:v>
      </x:c>
      <x:c r="K3488" s="115" t="str">
        <x:v>Pièces décrites, murs, portes, niveaux et mobilier inspectables à l’échelle. Volumes réservés, raccord au seed, butin, rencontres et services de campagne restent à terminer.</x:v>
      </x:c>
    </x:row>
    <x:row r="3489" ht="96" customHeight="1">
      <x:c r="A3489" s="115" t="str">
        <x:v>EXT-MONDE-T070-V34</x:v>
      </x:c>
      <x:c r="B3489" s="115" t="str">
        <x:v>EXT-MONDE-T070</x:v>
      </x:c>
      <x:c r="C3489" s="115" t="str">
        <x:v>Aéroports</x:v>
      </x:c>
      <x:c r="D3489" s="115" t="str">
        <x:v>Aéroport international</x:v>
      </x:c>
      <x:c r="E3489" s="115" t="n">
        <x:v>34</x:v>
      </x:c>
      <x:c r="F3489" s="115" t="str">
        <x:v>Inspection physique</x:v>
      </x:c>
      <x:c r="G3489" s="115" t="str">
        <x:v>1 niveaux ; 36 pièces ; 265 segments de mur ; 0 transitions. Inspection physique ; architecture complète encore ouverte.</x:v>
      </x:c>
      <x:c r="H3489" s="115" t="str">
        <x:v>L 1460 ; l 3600 ; hauteur 42 m ; choix de composition auteur ; dimensions réelles à documenter</x:v>
      </x:c>
      <x:c r="I3489" s="115" t="str">
        <x:v>À équilibrer</x:v>
      </x:c>
      <x:c r="J3489" s="115" t="str">
        <x:v>Non</x:v>
      </x:c>
      <x:c r="K3489" s="115" t="str">
        <x:v>Pièces décrites, murs, portes, niveaux et mobilier inspectables à l’échelle. Volumes réservés, raccord au seed, butin, rencontres et services de campagne restent à terminer.</x:v>
      </x:c>
    </x:row>
    <x:row r="3490" ht="96" customHeight="1">
      <x:c r="A3490" s="115" t="str">
        <x:v>EXT-MONDE-T070-V35</x:v>
      </x:c>
      <x:c r="B3490" s="115" t="str">
        <x:v>EXT-MONDE-T070</x:v>
      </x:c>
      <x:c r="C3490" s="115" t="str">
        <x:v>Aéroports</x:v>
      </x:c>
      <x:c r="D3490" s="115" t="str">
        <x:v>Aéroport international</x:v>
      </x:c>
      <x:c r="E3490" s="115" t="n">
        <x:v>35</x:v>
      </x:c>
      <x:c r="F3490" s="115" t="str">
        <x:v>Inspection physique</x:v>
      </x:c>
      <x:c r="G3490" s="115" t="str">
        <x:v>1 niveaux ; 36 pièces ; 265 segments de mur ; 0 transitions. Inspection physique ; architecture complète encore ouverte.</x:v>
      </x:c>
      <x:c r="H3490" s="115" t="str">
        <x:v>L 1460 ; l 3600 ; hauteur 42 m ; choix de composition auteur ; dimensions réelles à documenter</x:v>
      </x:c>
      <x:c r="I3490" s="115" t="str">
        <x:v>À équilibrer</x:v>
      </x:c>
      <x:c r="J3490" s="115" t="str">
        <x:v>Non</x:v>
      </x:c>
      <x:c r="K3490" s="115" t="str">
        <x:v>Pièces décrites, murs, portes, niveaux et mobilier inspectables à l’échelle. Volumes réservés, raccord au seed, butin, rencontres et services de campagne restent à terminer.</x:v>
      </x:c>
    </x:row>
    <x:row r="3491" ht="96" customHeight="1">
      <x:c r="A3491" s="115" t="str">
        <x:v>EXT-MONDE-T070-V36</x:v>
      </x:c>
      <x:c r="B3491" s="115" t="str">
        <x:v>EXT-MONDE-T070</x:v>
      </x:c>
      <x:c r="C3491" s="115" t="str">
        <x:v>Aéroports</x:v>
      </x:c>
      <x:c r="D3491" s="115" t="str">
        <x:v>Aéroport international</x:v>
      </x:c>
      <x:c r="E3491" s="115" t="n">
        <x:v>36</x:v>
      </x:c>
      <x:c r="F3491" s="115" t="str">
        <x:v>Inspection physique</x:v>
      </x:c>
      <x:c r="G3491" s="115" t="str">
        <x:v>1 niveaux ; 36 pièces ; 265 segments de mur ; 0 transitions. Inspection physique ; architecture complète encore ouverte.</x:v>
      </x:c>
      <x:c r="H3491" s="115" t="str">
        <x:v>L 1460 ; l 3600 ; hauteur 42 m ; choix de composition auteur ; dimensions réelles à documenter</x:v>
      </x:c>
      <x:c r="I3491" s="115" t="str">
        <x:v>À équilibrer</x:v>
      </x:c>
      <x:c r="J3491" s="115" t="str">
        <x:v>Non</x:v>
      </x:c>
      <x:c r="K3491" s="115" t="str">
        <x:v>Pièces décrites, murs, portes, niveaux et mobilier inspectables à l’échelle. Volumes réservés, raccord au seed, butin, rencontres et services de campagne restent à terminer.</x:v>
      </x:c>
    </x:row>
    <x:row r="3492" ht="96" customHeight="1">
      <x:c r="A3492" s="115" t="str">
        <x:v>EXT-MONDE-T070-V37</x:v>
      </x:c>
      <x:c r="B3492" s="115" t="str">
        <x:v>EXT-MONDE-T070</x:v>
      </x:c>
      <x:c r="C3492" s="115" t="str">
        <x:v>Aéroports</x:v>
      </x:c>
      <x:c r="D3492" s="115" t="str">
        <x:v>Aéroport international</x:v>
      </x:c>
      <x:c r="E3492" s="115" t="n">
        <x:v>37</x:v>
      </x:c>
      <x:c r="F3492" s="115" t="str">
        <x:v>Inspection physique</x:v>
      </x:c>
      <x:c r="G3492" s="115" t="str">
        <x:v>1 niveaux ; 36 pièces ; 265 segments de mur ; 0 transitions. Inspection physique ; architecture complète encore ouverte.</x:v>
      </x:c>
      <x:c r="H3492" s="115" t="str">
        <x:v>L 1460 ; l 3600 ; hauteur 42 m ; choix de composition auteur ; dimensions réelles à documenter</x:v>
      </x:c>
      <x:c r="I3492" s="115" t="str">
        <x:v>À équilibrer</x:v>
      </x:c>
      <x:c r="J3492" s="115" t="str">
        <x:v>Non</x:v>
      </x:c>
      <x:c r="K3492" s="115" t="str">
        <x:v>Pièces décrites, murs, portes, niveaux et mobilier inspectables à l’échelle. Volumes réservés, raccord au seed, butin, rencontres et services de campagne restent à terminer.</x:v>
      </x:c>
    </x:row>
    <x:row r="3493" ht="96" customHeight="1">
      <x:c r="A3493" s="115" t="str">
        <x:v>EXT-MONDE-T070-V38</x:v>
      </x:c>
      <x:c r="B3493" s="115" t="str">
        <x:v>EXT-MONDE-T070</x:v>
      </x:c>
      <x:c r="C3493" s="115" t="str">
        <x:v>Aéroports</x:v>
      </x:c>
      <x:c r="D3493" s="115" t="str">
        <x:v>Aéroport international</x:v>
      </x:c>
      <x:c r="E3493" s="115" t="n">
        <x:v>38</x:v>
      </x:c>
      <x:c r="F3493" s="115" t="str">
        <x:v>Inspection physique</x:v>
      </x:c>
      <x:c r="G3493" s="115" t="str">
        <x:v>1 niveaux ; 36 pièces ; 265 segments de mur ; 0 transitions. Inspection physique ; architecture complète encore ouverte.</x:v>
      </x:c>
      <x:c r="H3493" s="115" t="str">
        <x:v>L 1460 ; l 3600 ; hauteur 42 m ; choix de composition auteur ; dimensions réelles à documenter</x:v>
      </x:c>
      <x:c r="I3493" s="115" t="str">
        <x:v>À équilibrer</x:v>
      </x:c>
      <x:c r="J3493" s="115" t="str">
        <x:v>Non</x:v>
      </x:c>
      <x:c r="K3493" s="115" t="str">
        <x:v>Pièces décrites, murs, portes, niveaux et mobilier inspectables à l’échelle. Volumes réservés, raccord au seed, butin, rencontres et services de campagne restent à terminer.</x:v>
      </x:c>
    </x:row>
    <x:row r="3494" ht="96" customHeight="1">
      <x:c r="A3494" s="115" t="str">
        <x:v>EXT-MONDE-T070-V39</x:v>
      </x:c>
      <x:c r="B3494" s="115" t="str">
        <x:v>EXT-MONDE-T070</x:v>
      </x:c>
      <x:c r="C3494" s="115" t="str">
        <x:v>Aéroports</x:v>
      </x:c>
      <x:c r="D3494" s="115" t="str">
        <x:v>Aéroport international</x:v>
      </x:c>
      <x:c r="E3494" s="115" t="n">
        <x:v>39</x:v>
      </x:c>
      <x:c r="F3494" s="115" t="str">
        <x:v>Inspection physique</x:v>
      </x:c>
      <x:c r="G3494" s="115" t="str">
        <x:v>1 niveaux ; 36 pièces ; 265 segments de mur ; 0 transitions. Inspection physique ; architecture complète encore ouverte.</x:v>
      </x:c>
      <x:c r="H3494" s="115" t="str">
        <x:v>L 1460 ; l 3600 ; hauteur 42 m ; choix de composition auteur ; dimensions réelles à documenter</x:v>
      </x:c>
      <x:c r="I3494" s="115" t="str">
        <x:v>À équilibrer</x:v>
      </x:c>
      <x:c r="J3494" s="115" t="str">
        <x:v>Non</x:v>
      </x:c>
      <x:c r="K3494" s="115" t="str">
        <x:v>Pièces décrites, murs, portes, niveaux et mobilier inspectables à l’échelle. Volumes réservés, raccord au seed, butin, rencontres et services de campagne restent à terminer.</x:v>
      </x:c>
    </x:row>
    <x:row r="3495" ht="96" customHeight="1">
      <x:c r="A3495" s="115" t="str">
        <x:v>EXT-MONDE-T070-V40</x:v>
      </x:c>
      <x:c r="B3495" s="115" t="str">
        <x:v>EXT-MONDE-T070</x:v>
      </x:c>
      <x:c r="C3495" s="115" t="str">
        <x:v>Aéroports</x:v>
      </x:c>
      <x:c r="D3495" s="115" t="str">
        <x:v>Aéroport international</x:v>
      </x:c>
      <x:c r="E3495" s="115" t="n">
        <x:v>40</x:v>
      </x:c>
      <x:c r="F3495" s="115" t="str">
        <x:v>Inspection physique</x:v>
      </x:c>
      <x:c r="G3495" s="115" t="str">
        <x:v>1 niveaux ; 36 pièces ; 265 segments de mur ; 0 transitions. Inspection physique ; architecture complète encore ouverte.</x:v>
      </x:c>
      <x:c r="H3495" s="115" t="str">
        <x:v>L 1460 ; l 3600 ; hauteur 42 m ; choix de composition auteur ; dimensions réelles à documenter</x:v>
      </x:c>
      <x:c r="I3495" s="115" t="str">
        <x:v>À équilibrer</x:v>
      </x:c>
      <x:c r="J3495" s="115" t="str">
        <x:v>Non</x:v>
      </x:c>
      <x:c r="K3495" s="115" t="str">
        <x:v>Pièces décrites, murs, portes, niveaux et mobilier inspectables à l’échelle. Volumes réservés, raccord au seed, butin, rencontres et services de campagne restent à terminer.</x:v>
      </x:c>
    </x:row>
    <x:row r="3496" ht="96" customHeight="1">
      <x:c r="A3496" s="115" t="str">
        <x:v>EXT-MONDE-T070-V41</x:v>
      </x:c>
      <x:c r="B3496" s="115" t="str">
        <x:v>EXT-MONDE-T070</x:v>
      </x:c>
      <x:c r="C3496" s="115" t="str">
        <x:v>Aéroports</x:v>
      </x:c>
      <x:c r="D3496" s="115" t="str">
        <x:v>Aéroport international</x:v>
      </x:c>
      <x:c r="E3496" s="115" t="n">
        <x:v>41</x:v>
      </x:c>
      <x:c r="F3496" s="115" t="str">
        <x:v>Inspection physique</x:v>
      </x:c>
      <x:c r="G3496" s="115" t="str">
        <x:v>1 niveaux ; 36 pièces ; 265 segments de mur ; 0 transitions. Inspection physique ; architecture complète encore ouverte.</x:v>
      </x:c>
      <x:c r="H3496" s="115" t="str">
        <x:v>L 1460 ; l 3800 ; hauteur 44 m ; choix de composition auteur ; dimensions réelles à documenter</x:v>
      </x:c>
      <x:c r="I3496" s="115" t="str">
        <x:v>À équilibrer</x:v>
      </x:c>
      <x:c r="J3496" s="115" t="str">
        <x:v>Non</x:v>
      </x:c>
      <x:c r="K3496" s="115" t="str">
        <x:v>Pièces décrites, murs, portes, niveaux et mobilier inspectables à l’échelle. Volumes réservés, raccord au seed, butin, rencontres et services de campagne restent à terminer.</x:v>
      </x:c>
    </x:row>
    <x:row r="3497" ht="96" customHeight="1">
      <x:c r="A3497" s="115" t="str">
        <x:v>EXT-MONDE-T070-V42</x:v>
      </x:c>
      <x:c r="B3497" s="115" t="str">
        <x:v>EXT-MONDE-T070</x:v>
      </x:c>
      <x:c r="C3497" s="115" t="str">
        <x:v>Aéroports</x:v>
      </x:c>
      <x:c r="D3497" s="115" t="str">
        <x:v>Aéroport international</x:v>
      </x:c>
      <x:c r="E3497" s="115" t="n">
        <x:v>42</x:v>
      </x:c>
      <x:c r="F3497" s="115" t="str">
        <x:v>Inspection physique</x:v>
      </x:c>
      <x:c r="G3497" s="115" t="str">
        <x:v>1 niveaux ; 36 pièces ; 265 segments de mur ; 0 transitions. Inspection physique ; architecture complète encore ouverte.</x:v>
      </x:c>
      <x:c r="H3497" s="115" t="str">
        <x:v>L 1460 ; l 3800 ; hauteur 44 m ; choix de composition auteur ; dimensions réelles à documenter</x:v>
      </x:c>
      <x:c r="I3497" s="115" t="str">
        <x:v>À équilibrer</x:v>
      </x:c>
      <x:c r="J3497" s="115" t="str">
        <x:v>Non</x:v>
      </x:c>
      <x:c r="K3497" s="115" t="str">
        <x:v>Pièces décrites, murs, portes, niveaux et mobilier inspectables à l’échelle. Volumes réservés, raccord au seed, butin, rencontres et services de campagne restent à terminer.</x:v>
      </x:c>
    </x:row>
    <x:row r="3498" ht="96" customHeight="1">
      <x:c r="A3498" s="115" t="str">
        <x:v>EXT-MONDE-T070-V43</x:v>
      </x:c>
      <x:c r="B3498" s="115" t="str">
        <x:v>EXT-MONDE-T070</x:v>
      </x:c>
      <x:c r="C3498" s="115" t="str">
        <x:v>Aéroports</x:v>
      </x:c>
      <x:c r="D3498" s="115" t="str">
        <x:v>Aéroport international</x:v>
      </x:c>
      <x:c r="E3498" s="115" t="n">
        <x:v>43</x:v>
      </x:c>
      <x:c r="F3498" s="115" t="str">
        <x:v>Inspection physique</x:v>
      </x:c>
      <x:c r="G3498" s="115" t="str">
        <x:v>1 niveaux ; 36 pièces ; 265 segments de mur ; 0 transitions. Inspection physique ; architecture complète encore ouverte.</x:v>
      </x:c>
      <x:c r="H3498" s="115" t="str">
        <x:v>L 1460 ; l 3800 ; hauteur 44 m ; choix de composition auteur ; dimensions réelles à documenter</x:v>
      </x:c>
      <x:c r="I3498" s="115" t="str">
        <x:v>À équilibrer</x:v>
      </x:c>
      <x:c r="J3498" s="115" t="str">
        <x:v>Non</x:v>
      </x:c>
      <x:c r="K3498" s="115" t="str">
        <x:v>Pièces décrites, murs, portes, niveaux et mobilier inspectables à l’échelle. Volumes réservés, raccord au seed, butin, rencontres et services de campagne restent à terminer.</x:v>
      </x:c>
    </x:row>
    <x:row r="3499" ht="96" customHeight="1">
      <x:c r="A3499" s="115" t="str">
        <x:v>EXT-MONDE-T070-V44</x:v>
      </x:c>
      <x:c r="B3499" s="115" t="str">
        <x:v>EXT-MONDE-T070</x:v>
      </x:c>
      <x:c r="C3499" s="115" t="str">
        <x:v>Aéroports</x:v>
      </x:c>
      <x:c r="D3499" s="115" t="str">
        <x:v>Aéroport international</x:v>
      </x:c>
      <x:c r="E3499" s="115" t="n">
        <x:v>44</x:v>
      </x:c>
      <x:c r="F3499" s="115" t="str">
        <x:v>Inspection physique</x:v>
      </x:c>
      <x:c r="G3499" s="115" t="str">
        <x:v>1 niveaux ; 36 pièces ; 265 segments de mur ; 0 transitions. Inspection physique ; architecture complète encore ouverte.</x:v>
      </x:c>
      <x:c r="H3499" s="115" t="str">
        <x:v>L 1460 ; l 3800 ; hauteur 44 m ; choix de composition auteur ; dimensions réelles à documenter</x:v>
      </x:c>
      <x:c r="I3499" s="115" t="str">
        <x:v>À équilibrer</x:v>
      </x:c>
      <x:c r="J3499" s="115" t="str">
        <x:v>Non</x:v>
      </x:c>
      <x:c r="K3499" s="115" t="str">
        <x:v>Pièces décrites, murs, portes, niveaux et mobilier inspectables à l’échelle. Volumes réservés, raccord au seed, butin, rencontres et services de campagne restent à terminer.</x:v>
      </x:c>
    </x:row>
    <x:row r="3500" ht="96" customHeight="1">
      <x:c r="A3500" s="115" t="str">
        <x:v>EXT-MONDE-T070-V45</x:v>
      </x:c>
      <x:c r="B3500" s="115" t="str">
        <x:v>EXT-MONDE-T070</x:v>
      </x:c>
      <x:c r="C3500" s="115" t="str">
        <x:v>Aéroports</x:v>
      </x:c>
      <x:c r="D3500" s="115" t="str">
        <x:v>Aéroport international</x:v>
      </x:c>
      <x:c r="E3500" s="115" t="n">
        <x:v>45</x:v>
      </x:c>
      <x:c r="F3500" s="115" t="str">
        <x:v>Inspection physique</x:v>
      </x:c>
      <x:c r="G3500" s="115" t="str">
        <x:v>1 niveaux ; 36 pièces ; 265 segments de mur ; 0 transitions. Inspection physique ; architecture complète encore ouverte.</x:v>
      </x:c>
      <x:c r="H3500" s="115" t="str">
        <x:v>L 1460 ; l 3800 ; hauteur 44 m ; choix de composition auteur ; dimensions réelles à documenter</x:v>
      </x:c>
      <x:c r="I3500" s="115" t="str">
        <x:v>À équilibrer</x:v>
      </x:c>
      <x:c r="J3500" s="115" t="str">
        <x:v>Non</x:v>
      </x:c>
      <x:c r="K3500" s="115" t="str">
        <x:v>Pièces décrites, murs, portes, niveaux et mobilier inspectables à l’échelle. Volumes réservés, raccord au seed, butin, rencontres et services de campagne restent à terminer.</x:v>
      </x:c>
    </x:row>
    <x:row r="3501" ht="96" customHeight="1">
      <x:c r="A3501" s="115" t="str">
        <x:v>EXT-MONDE-T070-V46</x:v>
      </x:c>
      <x:c r="B3501" s="115" t="str">
        <x:v>EXT-MONDE-T070</x:v>
      </x:c>
      <x:c r="C3501" s="115" t="str">
        <x:v>Aéroports</x:v>
      </x:c>
      <x:c r="D3501" s="115" t="str">
        <x:v>Aéroport international</x:v>
      </x:c>
      <x:c r="E3501" s="115" t="n">
        <x:v>46</x:v>
      </x:c>
      <x:c r="F3501" s="115" t="str">
        <x:v>Inspection physique</x:v>
      </x:c>
      <x:c r="G3501" s="115" t="str">
        <x:v>1 niveaux ; 36 pièces ; 265 segments de mur ; 0 transitions. Inspection physique ; architecture complète encore ouverte.</x:v>
      </x:c>
      <x:c r="H3501" s="115" t="str">
        <x:v>L 1460 ; l 3800 ; hauteur 44 m ; choix de composition auteur ; dimensions réelles à documenter</x:v>
      </x:c>
      <x:c r="I3501" s="115" t="str">
        <x:v>À équilibrer</x:v>
      </x:c>
      <x:c r="J3501" s="115" t="str">
        <x:v>Non</x:v>
      </x:c>
      <x:c r="K3501" s="115" t="str">
        <x:v>Pièces décrites, murs, portes, niveaux et mobilier inspectables à l’échelle. Volumes réservés, raccord au seed, butin, rencontres et services de campagne restent à terminer.</x:v>
      </x:c>
    </x:row>
    <x:row r="3502" ht="96" customHeight="1">
      <x:c r="A3502" s="115" t="str">
        <x:v>EXT-MONDE-T070-V47</x:v>
      </x:c>
      <x:c r="B3502" s="115" t="str">
        <x:v>EXT-MONDE-T070</x:v>
      </x:c>
      <x:c r="C3502" s="115" t="str">
        <x:v>Aéroports</x:v>
      </x:c>
      <x:c r="D3502" s="115" t="str">
        <x:v>Aéroport international</x:v>
      </x:c>
      <x:c r="E3502" s="115" t="n">
        <x:v>47</x:v>
      </x:c>
      <x:c r="F3502" s="115" t="str">
        <x:v>Inspection physique</x:v>
      </x:c>
      <x:c r="G3502" s="115" t="str">
        <x:v>1 niveaux ; 36 pièces ; 265 segments de mur ; 0 transitions. Inspection physique ; architecture complète encore ouverte.</x:v>
      </x:c>
      <x:c r="H3502" s="115" t="str">
        <x:v>L 1460 ; l 3800 ; hauteur 44 m ; choix de composition auteur ; dimensions réelles à documenter</x:v>
      </x:c>
      <x:c r="I3502" s="115" t="str">
        <x:v>À équilibrer</x:v>
      </x:c>
      <x:c r="J3502" s="115" t="str">
        <x:v>Non</x:v>
      </x:c>
      <x:c r="K3502" s="115" t="str">
        <x:v>Pièces décrites, murs, portes, niveaux et mobilier inspectables à l’échelle. Volumes réservés, raccord au seed, butin, rencontres et services de campagne restent à terminer.</x:v>
      </x:c>
    </x:row>
    <x:row r="3503" ht="96" customHeight="1">
      <x:c r="A3503" s="115" t="str">
        <x:v>EXT-MONDE-T070-V48</x:v>
      </x:c>
      <x:c r="B3503" s="115" t="str">
        <x:v>EXT-MONDE-T070</x:v>
      </x:c>
      <x:c r="C3503" s="115" t="str">
        <x:v>Aéroports</x:v>
      </x:c>
      <x:c r="D3503" s="115" t="str">
        <x:v>Aéroport international</x:v>
      </x:c>
      <x:c r="E3503" s="115" t="n">
        <x:v>48</x:v>
      </x:c>
      <x:c r="F3503" s="115" t="str">
        <x:v>Inspection physique</x:v>
      </x:c>
      <x:c r="G3503" s="115" t="str">
        <x:v>1 niveaux ; 36 pièces ; 265 segments de mur ; 0 transitions. Inspection physique ; architecture complète encore ouverte.</x:v>
      </x:c>
      <x:c r="H3503" s="115" t="str">
        <x:v>L 1460 ; l 3800 ; hauteur 44 m ; choix de composition auteur ; dimensions réelles à documenter</x:v>
      </x:c>
      <x:c r="I3503" s="115" t="str">
        <x:v>À équilibrer</x:v>
      </x:c>
      <x:c r="J3503" s="115" t="str">
        <x:v>Non</x:v>
      </x:c>
      <x:c r="K3503" s="115" t="str">
        <x:v>Pièces décrites, murs, portes, niveaux et mobilier inspectables à l’échelle. Volumes réservés, raccord au seed, butin, rencontres et services de campagne restent à terminer.</x:v>
      </x:c>
    </x:row>
    <x:row r="3504" ht="96" customHeight="1">
      <x:c r="A3504" s="115" t="str">
        <x:v>EXT-MONDE-T070-V49</x:v>
      </x:c>
      <x:c r="B3504" s="115" t="str">
        <x:v>EXT-MONDE-T070</x:v>
      </x:c>
      <x:c r="C3504" s="115" t="str">
        <x:v>Aéroports</x:v>
      </x:c>
      <x:c r="D3504" s="115" t="str">
        <x:v>Aéroport international</x:v>
      </x:c>
      <x:c r="E3504" s="115" t="n">
        <x:v>49</x:v>
      </x:c>
      <x:c r="F3504" s="115" t="str">
        <x:v>Inspection physique</x:v>
      </x:c>
      <x:c r="G3504" s="115" t="str">
        <x:v>1 niveaux ; 36 pièces ; 265 segments de mur ; 0 transitions. Inspection physique ; architecture complète encore ouverte.</x:v>
      </x:c>
      <x:c r="H3504" s="115" t="str">
        <x:v>L 1460 ; l 3800 ; hauteur 44 m ; choix de composition auteur ; dimensions réelles à documenter</x:v>
      </x:c>
      <x:c r="I3504" s="115" t="str">
        <x:v>À équilibrer</x:v>
      </x:c>
      <x:c r="J3504" s="115" t="str">
        <x:v>Non</x:v>
      </x:c>
      <x:c r="K3504" s="115" t="str">
        <x:v>Pièces décrites, murs, portes, niveaux et mobilier inspectables à l’échelle. Volumes réservés, raccord au seed, butin, rencontres et services de campagne restent à terminer.</x:v>
      </x:c>
    </x:row>
    <x:row r="3505" ht="96" customHeight="1">
      <x:c r="A3505" s="115" t="str">
        <x:v>EXT-MONDE-T070-V50</x:v>
      </x:c>
      <x:c r="B3505" s="115" t="str">
        <x:v>EXT-MONDE-T070</x:v>
      </x:c>
      <x:c r="C3505" s="115" t="str">
        <x:v>Aéroports</x:v>
      </x:c>
      <x:c r="D3505" s="115" t="str">
        <x:v>Aéroport international</x:v>
      </x:c>
      <x:c r="E3505" s="115" t="n">
        <x:v>50</x:v>
      </x:c>
      <x:c r="F3505" s="115" t="str">
        <x:v>Inspection physique</x:v>
      </x:c>
      <x:c r="G3505" s="115" t="str">
        <x:v>1 niveaux ; 36 pièces ; 265 segments de mur ; 0 transitions. Inspection physique ; architecture complète encore ouverte.</x:v>
      </x:c>
      <x:c r="H3505" s="115" t="str">
        <x:v>L 1460 ; l 3800 ; hauteur 44 m ; choix de composition auteur ; dimensions réelles à documenter</x:v>
      </x:c>
      <x:c r="I3505" s="115" t="str">
        <x:v>À équilibrer</x:v>
      </x:c>
      <x:c r="J3505" s="115" t="str">
        <x:v>Non</x:v>
      </x:c>
      <x:c r="K3505" s="115" t="str">
        <x:v>Pièces décrites, murs, portes, niveaux et mobilier inspectables à l’échelle. Volumes réservés, raccord au seed, butin, rencontres et services de campagne restent à terminer.</x:v>
      </x:c>
    </x:row>
    <x:row r="3506" ht="96" customHeight="1">
      <x:c r="A3506" s="115" t="str">
        <x:v>EXT-MONDE-T071-V01</x:v>
      </x:c>
      <x:c r="B3506" s="115" t="str">
        <x:v>EXT-MONDE-T071</x:v>
      </x:c>
      <x:c r="C3506" s="115" t="str">
        <x:v>Aéroports</x:v>
      </x:c>
      <x:c r="D3506" s="115" t="str">
        <x:v>Aéroport de fret</x:v>
      </x:c>
      <x:c r="E3506" s="115" t="n">
        <x:v>1</x:v>
      </x:c>
      <x:c r="F3506" s="115" t="str">
        <x:v>Inspection physique</x:v>
      </x:c>
      <x:c r="G3506" s="115" t="str">
        <x:v>1 niveaux ; 36 pièces ; 265 segments de mur ; 0 transitions. Inspection physique ; architecture complète encore ouverte.</x:v>
      </x:c>
      <x:c r="H3506" s="115" t="str">
        <x:v>L 1100 ; l 2600 ; hauteur 28 m ; choix de composition auteur ; dimensions réelles à documenter</x:v>
      </x:c>
      <x:c r="I3506" s="115" t="str">
        <x:v>À équilibrer</x:v>
      </x:c>
      <x:c r="J3506" s="115" t="str">
        <x:v>Non</x:v>
      </x:c>
      <x:c r="K3506" s="115" t="str">
        <x:v>Pièces décrites, murs, portes, niveaux et mobilier inspectables à l’échelle. Volumes réservés, raccord au seed, butin, rencontres et services de campagne restent à terminer.</x:v>
      </x:c>
    </x:row>
    <x:row r="3507" ht="96" customHeight="1">
      <x:c r="A3507" s="115" t="str">
        <x:v>EXT-MONDE-T071-V02</x:v>
      </x:c>
      <x:c r="B3507" s="115" t="str">
        <x:v>EXT-MONDE-T071</x:v>
      </x:c>
      <x:c r="C3507" s="115" t="str">
        <x:v>Aéroports</x:v>
      </x:c>
      <x:c r="D3507" s="115" t="str">
        <x:v>Aéroport de fret</x:v>
      </x:c>
      <x:c r="E3507" s="115" t="n">
        <x:v>2</x:v>
      </x:c>
      <x:c r="F3507" s="115" t="str">
        <x:v>Inspection physique</x:v>
      </x:c>
      <x:c r="G3507" s="115" t="str">
        <x:v>1 niveaux ; 36 pièces ; 265 segments de mur ; 0 transitions. Inspection physique ; architecture complète encore ouverte.</x:v>
      </x:c>
      <x:c r="H3507" s="115" t="str">
        <x:v>L 1100 ; l 2600 ; hauteur 28 m ; choix de composition auteur ; dimensions réelles à documenter</x:v>
      </x:c>
      <x:c r="I3507" s="115" t="str">
        <x:v>À équilibrer</x:v>
      </x:c>
      <x:c r="J3507" s="115" t="str">
        <x:v>Non</x:v>
      </x:c>
      <x:c r="K3507" s="115" t="str">
        <x:v>Pièces décrites, murs, portes, niveaux et mobilier inspectables à l’échelle. Volumes réservés, raccord au seed, butin, rencontres et services de campagne restent à terminer.</x:v>
      </x:c>
    </x:row>
    <x:row r="3508" ht="96" customHeight="1">
      <x:c r="A3508" s="115" t="str">
        <x:v>EXT-MONDE-T071-V03</x:v>
      </x:c>
      <x:c r="B3508" s="115" t="str">
        <x:v>EXT-MONDE-T071</x:v>
      </x:c>
      <x:c r="C3508" s="115" t="str">
        <x:v>Aéroports</x:v>
      </x:c>
      <x:c r="D3508" s="115" t="str">
        <x:v>Aéroport de fret</x:v>
      </x:c>
      <x:c r="E3508" s="115" t="n">
        <x:v>3</x:v>
      </x:c>
      <x:c r="F3508" s="115" t="str">
        <x:v>Inspection physique</x:v>
      </x:c>
      <x:c r="G3508" s="115" t="str">
        <x:v>1 niveaux ; 36 pièces ; 265 segments de mur ; 0 transitions. Inspection physique ; architecture complète encore ouverte.</x:v>
      </x:c>
      <x:c r="H3508" s="115" t="str">
        <x:v>L 1100 ; l 2600 ; hauteur 28 m ; choix de composition auteur ; dimensions réelles à documenter</x:v>
      </x:c>
      <x:c r="I3508" s="115" t="str">
        <x:v>À équilibrer</x:v>
      </x:c>
      <x:c r="J3508" s="115" t="str">
        <x:v>Non</x:v>
      </x:c>
      <x:c r="K3508" s="115" t="str">
        <x:v>Pièces décrites, murs, portes, niveaux et mobilier inspectables à l’échelle. Volumes réservés, raccord au seed, butin, rencontres et services de campagne restent à terminer.</x:v>
      </x:c>
    </x:row>
    <x:row r="3509" ht="96" customHeight="1">
      <x:c r="A3509" s="115" t="str">
        <x:v>EXT-MONDE-T071-V04</x:v>
      </x:c>
      <x:c r="B3509" s="115" t="str">
        <x:v>EXT-MONDE-T071</x:v>
      </x:c>
      <x:c r="C3509" s="115" t="str">
        <x:v>Aéroports</x:v>
      </x:c>
      <x:c r="D3509" s="115" t="str">
        <x:v>Aéroport de fret</x:v>
      </x:c>
      <x:c r="E3509" s="115" t="n">
        <x:v>4</x:v>
      </x:c>
      <x:c r="F3509" s="115" t="str">
        <x:v>Inspection physique</x:v>
      </x:c>
      <x:c r="G3509" s="115" t="str">
        <x:v>1 niveaux ; 36 pièces ; 265 segments de mur ; 0 transitions. Inspection physique ; architecture complète encore ouverte.</x:v>
      </x:c>
      <x:c r="H3509" s="115" t="str">
        <x:v>L 1100 ; l 2600 ; hauteur 28 m ; choix de composition auteur ; dimensions réelles à documenter</x:v>
      </x:c>
      <x:c r="I3509" s="115" t="str">
        <x:v>À équilibrer</x:v>
      </x:c>
      <x:c r="J3509" s="115" t="str">
        <x:v>Non</x:v>
      </x:c>
      <x:c r="K3509" s="115" t="str">
        <x:v>Pièces décrites, murs, portes, niveaux et mobilier inspectables à l’échelle. Volumes réservés, raccord au seed, butin, rencontres et services de campagne restent à terminer.</x:v>
      </x:c>
    </x:row>
    <x:row r="3510" ht="96" customHeight="1">
      <x:c r="A3510" s="115" t="str">
        <x:v>EXT-MONDE-T071-V05</x:v>
      </x:c>
      <x:c r="B3510" s="115" t="str">
        <x:v>EXT-MONDE-T071</x:v>
      </x:c>
      <x:c r="C3510" s="115" t="str">
        <x:v>Aéroports</x:v>
      </x:c>
      <x:c r="D3510" s="115" t="str">
        <x:v>Aéroport de fret</x:v>
      </x:c>
      <x:c r="E3510" s="115" t="n">
        <x:v>5</x:v>
      </x:c>
      <x:c r="F3510" s="115" t="str">
        <x:v>Inspection physique</x:v>
      </x:c>
      <x:c r="G3510" s="115" t="str">
        <x:v>1 niveaux ; 36 pièces ; 265 segments de mur ; 0 transitions. Inspection physique ; architecture complète encore ouverte.</x:v>
      </x:c>
      <x:c r="H3510" s="115" t="str">
        <x:v>L 1100 ; l 2600 ; hauteur 28 m ; choix de composition auteur ; dimensions réelles à documenter</x:v>
      </x:c>
      <x:c r="I3510" s="115" t="str">
        <x:v>À équilibrer</x:v>
      </x:c>
      <x:c r="J3510" s="115" t="str">
        <x:v>Non</x:v>
      </x:c>
      <x:c r="K3510" s="115" t="str">
        <x:v>Pièces décrites, murs, portes, niveaux et mobilier inspectables à l’échelle. Volumes réservés, raccord au seed, butin, rencontres et services de campagne restent à terminer.</x:v>
      </x:c>
    </x:row>
    <x:row r="3511" ht="96" customHeight="1">
      <x:c r="A3511" s="115" t="str">
        <x:v>EXT-MONDE-T071-V06</x:v>
      </x:c>
      <x:c r="B3511" s="115" t="str">
        <x:v>EXT-MONDE-T071</x:v>
      </x:c>
      <x:c r="C3511" s="115" t="str">
        <x:v>Aéroports</x:v>
      </x:c>
      <x:c r="D3511" s="115" t="str">
        <x:v>Aéroport de fret</x:v>
      </x:c>
      <x:c r="E3511" s="115" t="n">
        <x:v>6</x:v>
      </x:c>
      <x:c r="F3511" s="115" t="str">
        <x:v>Inspection physique</x:v>
      </x:c>
      <x:c r="G3511" s="115" t="str">
        <x:v>1 niveaux ; 36 pièces ; 265 segments de mur ; 0 transitions. Inspection physique ; architecture complète encore ouverte.</x:v>
      </x:c>
      <x:c r="H3511" s="115" t="str">
        <x:v>L 1100 ; l 2600 ; hauteur 28 m ; choix de composition auteur ; dimensions réelles à documenter</x:v>
      </x:c>
      <x:c r="I3511" s="115" t="str">
        <x:v>À équilibrer</x:v>
      </x:c>
      <x:c r="J3511" s="115" t="str">
        <x:v>Non</x:v>
      </x:c>
      <x:c r="K3511" s="115" t="str">
        <x:v>Pièces décrites, murs, portes, niveaux et mobilier inspectables à l’échelle. Volumes réservés, raccord au seed, butin, rencontres et services de campagne restent à terminer.</x:v>
      </x:c>
    </x:row>
    <x:row r="3512" ht="96" customHeight="1">
      <x:c r="A3512" s="115" t="str">
        <x:v>EXT-MONDE-T071-V07</x:v>
      </x:c>
      <x:c r="B3512" s="115" t="str">
        <x:v>EXT-MONDE-T071</x:v>
      </x:c>
      <x:c r="C3512" s="115" t="str">
        <x:v>Aéroports</x:v>
      </x:c>
      <x:c r="D3512" s="115" t="str">
        <x:v>Aéroport de fret</x:v>
      </x:c>
      <x:c r="E3512" s="115" t="n">
        <x:v>7</x:v>
      </x:c>
      <x:c r="F3512" s="115" t="str">
        <x:v>Inspection physique</x:v>
      </x:c>
      <x:c r="G3512" s="115" t="str">
        <x:v>1 niveaux ; 36 pièces ; 265 segments de mur ; 0 transitions. Inspection physique ; architecture complète encore ouverte.</x:v>
      </x:c>
      <x:c r="H3512" s="115" t="str">
        <x:v>L 1100 ; l 2600 ; hauteur 28 m ; choix de composition auteur ; dimensions réelles à documenter</x:v>
      </x:c>
      <x:c r="I3512" s="115" t="str">
        <x:v>À équilibrer</x:v>
      </x:c>
      <x:c r="J3512" s="115" t="str">
        <x:v>Non</x:v>
      </x:c>
      <x:c r="K3512" s="115" t="str">
        <x:v>Pièces décrites, murs, portes, niveaux et mobilier inspectables à l’échelle. Volumes réservés, raccord au seed, butin, rencontres et services de campagne restent à terminer.</x:v>
      </x:c>
    </x:row>
    <x:row r="3513" ht="96" customHeight="1">
      <x:c r="A3513" s="115" t="str">
        <x:v>EXT-MONDE-T071-V08</x:v>
      </x:c>
      <x:c r="B3513" s="115" t="str">
        <x:v>EXT-MONDE-T071</x:v>
      </x:c>
      <x:c r="C3513" s="115" t="str">
        <x:v>Aéroports</x:v>
      </x:c>
      <x:c r="D3513" s="115" t="str">
        <x:v>Aéroport de fret</x:v>
      </x:c>
      <x:c r="E3513" s="115" t="n">
        <x:v>8</x:v>
      </x:c>
      <x:c r="F3513" s="115" t="str">
        <x:v>Inspection physique</x:v>
      </x:c>
      <x:c r="G3513" s="115" t="str">
        <x:v>1 niveaux ; 36 pièces ; 265 segments de mur ; 0 transitions. Inspection physique ; architecture complète encore ouverte.</x:v>
      </x:c>
      <x:c r="H3513" s="115" t="str">
        <x:v>L 1100 ; l 2600 ; hauteur 28 m ; choix de composition auteur ; dimensions réelles à documenter</x:v>
      </x:c>
      <x:c r="I3513" s="115" t="str">
        <x:v>À équilibrer</x:v>
      </x:c>
      <x:c r="J3513" s="115" t="str">
        <x:v>Non</x:v>
      </x:c>
      <x:c r="K3513" s="115" t="str">
        <x:v>Pièces décrites, murs, portes, niveaux et mobilier inspectables à l’échelle. Volumes réservés, raccord au seed, butin, rencontres et services de campagne restent à terminer.</x:v>
      </x:c>
    </x:row>
    <x:row r="3514" ht="96" customHeight="1">
      <x:c r="A3514" s="115" t="str">
        <x:v>EXT-MONDE-T071-V09</x:v>
      </x:c>
      <x:c r="B3514" s="115" t="str">
        <x:v>EXT-MONDE-T071</x:v>
      </x:c>
      <x:c r="C3514" s="115" t="str">
        <x:v>Aéroports</x:v>
      </x:c>
      <x:c r="D3514" s="115" t="str">
        <x:v>Aéroport de fret</x:v>
      </x:c>
      <x:c r="E3514" s="115" t="n">
        <x:v>9</x:v>
      </x:c>
      <x:c r="F3514" s="115" t="str">
        <x:v>Inspection physique</x:v>
      </x:c>
      <x:c r="G3514" s="115" t="str">
        <x:v>1 niveaux ; 36 pièces ; 265 segments de mur ; 0 transitions. Inspection physique ; architecture complète encore ouverte.</x:v>
      </x:c>
      <x:c r="H3514" s="115" t="str">
        <x:v>L 1100 ; l 2600 ; hauteur 28 m ; choix de composition auteur ; dimensions réelles à documenter</x:v>
      </x:c>
      <x:c r="I3514" s="115" t="str">
        <x:v>À équilibrer</x:v>
      </x:c>
      <x:c r="J3514" s="115" t="str">
        <x:v>Non</x:v>
      </x:c>
      <x:c r="K3514" s="115" t="str">
        <x:v>Pièces décrites, murs, portes, niveaux et mobilier inspectables à l’échelle. Volumes réservés, raccord au seed, butin, rencontres et services de campagne restent à terminer.</x:v>
      </x:c>
    </x:row>
    <x:row r="3515" ht="96" customHeight="1">
      <x:c r="A3515" s="115" t="str">
        <x:v>EXT-MONDE-T071-V10</x:v>
      </x:c>
      <x:c r="B3515" s="115" t="str">
        <x:v>EXT-MONDE-T071</x:v>
      </x:c>
      <x:c r="C3515" s="115" t="str">
        <x:v>Aéroports</x:v>
      </x:c>
      <x:c r="D3515" s="115" t="str">
        <x:v>Aéroport de fret</x:v>
      </x:c>
      <x:c r="E3515" s="115" t="n">
        <x:v>10</x:v>
      </x:c>
      <x:c r="F3515" s="115" t="str">
        <x:v>Inspection physique</x:v>
      </x:c>
      <x:c r="G3515" s="115" t="str">
        <x:v>1 niveaux ; 36 pièces ; 265 segments de mur ; 0 transitions. Inspection physique ; architecture complète encore ouverte.</x:v>
      </x:c>
      <x:c r="H3515" s="115" t="str">
        <x:v>L 1100 ; l 2600 ; hauteur 28 m ; choix de composition auteur ; dimensions réelles à documenter</x:v>
      </x:c>
      <x:c r="I3515" s="115" t="str">
        <x:v>À équilibrer</x:v>
      </x:c>
      <x:c r="J3515" s="115" t="str">
        <x:v>Non</x:v>
      </x:c>
      <x:c r="K3515" s="115" t="str">
        <x:v>Pièces décrites, murs, portes, niveaux et mobilier inspectables à l’échelle. Volumes réservés, raccord au seed, butin, rencontres et services de campagne restent à terminer.</x:v>
      </x:c>
    </x:row>
    <x:row r="3516" ht="96" customHeight="1">
      <x:c r="A3516" s="115" t="str">
        <x:v>EXT-MONDE-T071-V11</x:v>
      </x:c>
      <x:c r="B3516" s="115" t="str">
        <x:v>EXT-MONDE-T071</x:v>
      </x:c>
      <x:c r="C3516" s="115" t="str">
        <x:v>Aéroports</x:v>
      </x:c>
      <x:c r="D3516" s="115" t="str">
        <x:v>Aéroport de fret</x:v>
      </x:c>
      <x:c r="E3516" s="115" t="n">
        <x:v>11</x:v>
      </x:c>
      <x:c r="F3516" s="115" t="str">
        <x:v>Inspection physique</x:v>
      </x:c>
      <x:c r="G3516" s="115" t="str">
        <x:v>1 niveaux ; 36 pièces ; 265 segments de mur ; 0 transitions. Inspection physique ; architecture complète encore ouverte.</x:v>
      </x:c>
      <x:c r="H3516" s="115" t="str">
        <x:v>L 1100 ; l 2800 ; hauteur 30 m ; choix de composition auteur ; dimensions réelles à documenter</x:v>
      </x:c>
      <x:c r="I3516" s="115" t="str">
        <x:v>À équilibrer</x:v>
      </x:c>
      <x:c r="J3516" s="115" t="str">
        <x:v>Non</x:v>
      </x:c>
      <x:c r="K3516" s="115" t="str">
        <x:v>Pièces décrites, murs, portes, niveaux et mobilier inspectables à l’échelle. Volumes réservés, raccord au seed, butin, rencontres et services de campagne restent à terminer.</x:v>
      </x:c>
    </x:row>
    <x:row r="3517" ht="96" customHeight="1">
      <x:c r="A3517" s="115" t="str">
        <x:v>EXT-MONDE-T071-V12</x:v>
      </x:c>
      <x:c r="B3517" s="115" t="str">
        <x:v>EXT-MONDE-T071</x:v>
      </x:c>
      <x:c r="C3517" s="115" t="str">
        <x:v>Aéroports</x:v>
      </x:c>
      <x:c r="D3517" s="115" t="str">
        <x:v>Aéroport de fret</x:v>
      </x:c>
      <x:c r="E3517" s="115" t="n">
        <x:v>12</x:v>
      </x:c>
      <x:c r="F3517" s="115" t="str">
        <x:v>Inspection physique</x:v>
      </x:c>
      <x:c r="G3517" s="115" t="str">
        <x:v>1 niveaux ; 36 pièces ; 265 segments de mur ; 0 transitions. Inspection physique ; architecture complète encore ouverte.</x:v>
      </x:c>
      <x:c r="H3517" s="115" t="str">
        <x:v>L 1100 ; l 2800 ; hauteur 30 m ; choix de composition auteur ; dimensions réelles à documenter</x:v>
      </x:c>
      <x:c r="I3517" s="115" t="str">
        <x:v>À équilibrer</x:v>
      </x:c>
      <x:c r="J3517" s="115" t="str">
        <x:v>Non</x:v>
      </x:c>
      <x:c r="K3517" s="115" t="str">
        <x:v>Pièces décrites, murs, portes, niveaux et mobilier inspectables à l’échelle. Volumes réservés, raccord au seed, butin, rencontres et services de campagne restent à terminer.</x:v>
      </x:c>
    </x:row>
    <x:row r="3518" ht="96" customHeight="1">
      <x:c r="A3518" s="115" t="str">
        <x:v>EXT-MONDE-T071-V13</x:v>
      </x:c>
      <x:c r="B3518" s="115" t="str">
        <x:v>EXT-MONDE-T071</x:v>
      </x:c>
      <x:c r="C3518" s="115" t="str">
        <x:v>Aéroports</x:v>
      </x:c>
      <x:c r="D3518" s="115" t="str">
        <x:v>Aéroport de fret</x:v>
      </x:c>
      <x:c r="E3518" s="115" t="n">
        <x:v>13</x:v>
      </x:c>
      <x:c r="F3518" s="115" t="str">
        <x:v>Inspection physique</x:v>
      </x:c>
      <x:c r="G3518" s="115" t="str">
        <x:v>1 niveaux ; 36 pièces ; 265 segments de mur ; 0 transitions. Inspection physique ; architecture complète encore ouverte.</x:v>
      </x:c>
      <x:c r="H3518" s="115" t="str">
        <x:v>L 1100 ; l 2800 ; hauteur 30 m ; choix de composition auteur ; dimensions réelles à documenter</x:v>
      </x:c>
      <x:c r="I3518" s="115" t="str">
        <x:v>À équilibrer</x:v>
      </x:c>
      <x:c r="J3518" s="115" t="str">
        <x:v>Non</x:v>
      </x:c>
      <x:c r="K3518" s="115" t="str">
        <x:v>Pièces décrites, murs, portes, niveaux et mobilier inspectables à l’échelle. Volumes réservés, raccord au seed, butin, rencontres et services de campagne restent à terminer.</x:v>
      </x:c>
    </x:row>
    <x:row r="3519" ht="96" customHeight="1">
      <x:c r="A3519" s="115" t="str">
        <x:v>EXT-MONDE-T071-V14</x:v>
      </x:c>
      <x:c r="B3519" s="115" t="str">
        <x:v>EXT-MONDE-T071</x:v>
      </x:c>
      <x:c r="C3519" s="115" t="str">
        <x:v>Aéroports</x:v>
      </x:c>
      <x:c r="D3519" s="115" t="str">
        <x:v>Aéroport de fret</x:v>
      </x:c>
      <x:c r="E3519" s="115" t="n">
        <x:v>14</x:v>
      </x:c>
      <x:c r="F3519" s="115" t="str">
        <x:v>Inspection physique</x:v>
      </x:c>
      <x:c r="G3519" s="115" t="str">
        <x:v>1 niveaux ; 36 pièces ; 265 segments de mur ; 0 transitions. Inspection physique ; architecture complète encore ouverte.</x:v>
      </x:c>
      <x:c r="H3519" s="115" t="str">
        <x:v>L 1100 ; l 2800 ; hauteur 30 m ; choix de composition auteur ; dimensions réelles à documenter</x:v>
      </x:c>
      <x:c r="I3519" s="115" t="str">
        <x:v>À équilibrer</x:v>
      </x:c>
      <x:c r="J3519" s="115" t="str">
        <x:v>Non</x:v>
      </x:c>
      <x:c r="K3519" s="115" t="str">
        <x:v>Pièces décrites, murs, portes, niveaux et mobilier inspectables à l’échelle. Volumes réservés, raccord au seed, butin, rencontres et services de campagne restent à terminer.</x:v>
      </x:c>
    </x:row>
    <x:row r="3520" ht="96" customHeight="1">
      <x:c r="A3520" s="115" t="str">
        <x:v>EXT-MONDE-T071-V15</x:v>
      </x:c>
      <x:c r="B3520" s="115" t="str">
        <x:v>EXT-MONDE-T071</x:v>
      </x:c>
      <x:c r="C3520" s="115" t="str">
        <x:v>Aéroports</x:v>
      </x:c>
      <x:c r="D3520" s="115" t="str">
        <x:v>Aéroport de fret</x:v>
      </x:c>
      <x:c r="E3520" s="115" t="n">
        <x:v>15</x:v>
      </x:c>
      <x:c r="F3520" s="115" t="str">
        <x:v>Inspection physique</x:v>
      </x:c>
      <x:c r="G3520" s="115" t="str">
        <x:v>1 niveaux ; 36 pièces ; 265 segments de mur ; 0 transitions. Inspection physique ; architecture complète encore ouverte.</x:v>
      </x:c>
      <x:c r="H3520" s="115" t="str">
        <x:v>L 1100 ; l 2800 ; hauteur 30 m ; choix de composition auteur ; dimensions réelles à documenter</x:v>
      </x:c>
      <x:c r="I3520" s="115" t="str">
        <x:v>À équilibrer</x:v>
      </x:c>
      <x:c r="J3520" s="115" t="str">
        <x:v>Non</x:v>
      </x:c>
      <x:c r="K3520" s="115" t="str">
        <x:v>Pièces décrites, murs, portes, niveaux et mobilier inspectables à l’échelle. Volumes réservés, raccord au seed, butin, rencontres et services de campagne restent à terminer.</x:v>
      </x:c>
    </x:row>
    <x:row r="3521" ht="96" customHeight="1">
      <x:c r="A3521" s="115" t="str">
        <x:v>EXT-MONDE-T071-V16</x:v>
      </x:c>
      <x:c r="B3521" s="115" t="str">
        <x:v>EXT-MONDE-T071</x:v>
      </x:c>
      <x:c r="C3521" s="115" t="str">
        <x:v>Aéroports</x:v>
      </x:c>
      <x:c r="D3521" s="115" t="str">
        <x:v>Aéroport de fret</x:v>
      </x:c>
      <x:c r="E3521" s="115" t="n">
        <x:v>16</x:v>
      </x:c>
      <x:c r="F3521" s="115" t="str">
        <x:v>Inspection physique</x:v>
      </x:c>
      <x:c r="G3521" s="115" t="str">
        <x:v>1 niveaux ; 36 pièces ; 265 segments de mur ; 0 transitions. Inspection physique ; architecture complète encore ouverte.</x:v>
      </x:c>
      <x:c r="H3521" s="115" t="str">
        <x:v>L 1100 ; l 2800 ; hauteur 30 m ; choix de composition auteur ; dimensions réelles à documenter</x:v>
      </x:c>
      <x:c r="I3521" s="115" t="str">
        <x:v>À équilibrer</x:v>
      </x:c>
      <x:c r="J3521" s="115" t="str">
        <x:v>Non</x:v>
      </x:c>
      <x:c r="K3521" s="115" t="str">
        <x:v>Pièces décrites, murs, portes, niveaux et mobilier inspectables à l’échelle. Volumes réservés, raccord au seed, butin, rencontres et services de campagne restent à terminer.</x:v>
      </x:c>
    </x:row>
    <x:row r="3522" ht="96" customHeight="1">
      <x:c r="A3522" s="115" t="str">
        <x:v>EXT-MONDE-T071-V17</x:v>
      </x:c>
      <x:c r="B3522" s="115" t="str">
        <x:v>EXT-MONDE-T071</x:v>
      </x:c>
      <x:c r="C3522" s="115" t="str">
        <x:v>Aéroports</x:v>
      </x:c>
      <x:c r="D3522" s="115" t="str">
        <x:v>Aéroport de fret</x:v>
      </x:c>
      <x:c r="E3522" s="115" t="n">
        <x:v>17</x:v>
      </x:c>
      <x:c r="F3522" s="115" t="str">
        <x:v>Inspection physique</x:v>
      </x:c>
      <x:c r="G3522" s="115" t="str">
        <x:v>1 niveaux ; 36 pièces ; 265 segments de mur ; 0 transitions. Inspection physique ; architecture complète encore ouverte.</x:v>
      </x:c>
      <x:c r="H3522" s="115" t="str">
        <x:v>L 1100 ; l 2800 ; hauteur 30 m ; choix de composition auteur ; dimensions réelles à documenter</x:v>
      </x:c>
      <x:c r="I3522" s="115" t="str">
        <x:v>À équilibrer</x:v>
      </x:c>
      <x:c r="J3522" s="115" t="str">
        <x:v>Non</x:v>
      </x:c>
      <x:c r="K3522" s="115" t="str">
        <x:v>Pièces décrites, murs, portes, niveaux et mobilier inspectables à l’échelle. Volumes réservés, raccord au seed, butin, rencontres et services de campagne restent à terminer.</x:v>
      </x:c>
    </x:row>
    <x:row r="3523" ht="96" customHeight="1">
      <x:c r="A3523" s="115" t="str">
        <x:v>EXT-MONDE-T071-V18</x:v>
      </x:c>
      <x:c r="B3523" s="115" t="str">
        <x:v>EXT-MONDE-T071</x:v>
      </x:c>
      <x:c r="C3523" s="115" t="str">
        <x:v>Aéroports</x:v>
      </x:c>
      <x:c r="D3523" s="115" t="str">
        <x:v>Aéroport de fret</x:v>
      </x:c>
      <x:c r="E3523" s="115" t="n">
        <x:v>18</x:v>
      </x:c>
      <x:c r="F3523" s="115" t="str">
        <x:v>Inspection physique</x:v>
      </x:c>
      <x:c r="G3523" s="115" t="str">
        <x:v>1 niveaux ; 36 pièces ; 265 segments de mur ; 0 transitions. Inspection physique ; architecture complète encore ouverte.</x:v>
      </x:c>
      <x:c r="H3523" s="115" t="str">
        <x:v>L 1100 ; l 2800 ; hauteur 30 m ; choix de composition auteur ; dimensions réelles à documenter</x:v>
      </x:c>
      <x:c r="I3523" s="115" t="str">
        <x:v>À équilibrer</x:v>
      </x:c>
      <x:c r="J3523" s="115" t="str">
        <x:v>Non</x:v>
      </x:c>
      <x:c r="K3523" s="115" t="str">
        <x:v>Pièces décrites, murs, portes, niveaux et mobilier inspectables à l’échelle. Volumes réservés, raccord au seed, butin, rencontres et services de campagne restent à terminer.</x:v>
      </x:c>
    </x:row>
    <x:row r="3524" ht="96" customHeight="1">
      <x:c r="A3524" s="115" t="str">
        <x:v>EXT-MONDE-T071-V19</x:v>
      </x:c>
      <x:c r="B3524" s="115" t="str">
        <x:v>EXT-MONDE-T071</x:v>
      </x:c>
      <x:c r="C3524" s="115" t="str">
        <x:v>Aéroports</x:v>
      </x:c>
      <x:c r="D3524" s="115" t="str">
        <x:v>Aéroport de fret</x:v>
      </x:c>
      <x:c r="E3524" s="115" t="n">
        <x:v>19</x:v>
      </x:c>
      <x:c r="F3524" s="115" t="str">
        <x:v>Inspection physique</x:v>
      </x:c>
      <x:c r="G3524" s="115" t="str">
        <x:v>1 niveaux ; 36 pièces ; 265 segments de mur ; 0 transitions. Inspection physique ; architecture complète encore ouverte.</x:v>
      </x:c>
      <x:c r="H3524" s="115" t="str">
        <x:v>L 1100 ; l 2800 ; hauteur 30 m ; choix de composition auteur ; dimensions réelles à documenter</x:v>
      </x:c>
      <x:c r="I3524" s="115" t="str">
        <x:v>À équilibrer</x:v>
      </x:c>
      <x:c r="J3524" s="115" t="str">
        <x:v>Non</x:v>
      </x:c>
      <x:c r="K3524" s="115" t="str">
        <x:v>Pièces décrites, murs, portes, niveaux et mobilier inspectables à l’échelle. Volumes réservés, raccord au seed, butin, rencontres et services de campagne restent à terminer.</x:v>
      </x:c>
    </x:row>
    <x:row r="3525" ht="96" customHeight="1">
      <x:c r="A3525" s="115" t="str">
        <x:v>EXT-MONDE-T071-V20</x:v>
      </x:c>
      <x:c r="B3525" s="115" t="str">
        <x:v>EXT-MONDE-T071</x:v>
      </x:c>
      <x:c r="C3525" s="115" t="str">
        <x:v>Aéroports</x:v>
      </x:c>
      <x:c r="D3525" s="115" t="str">
        <x:v>Aéroport de fret</x:v>
      </x:c>
      <x:c r="E3525" s="115" t="n">
        <x:v>20</x:v>
      </x:c>
      <x:c r="F3525" s="115" t="str">
        <x:v>Inspection physique</x:v>
      </x:c>
      <x:c r="G3525" s="115" t="str">
        <x:v>1 niveaux ; 36 pièces ; 265 segments de mur ; 0 transitions. Inspection physique ; architecture complète encore ouverte.</x:v>
      </x:c>
      <x:c r="H3525" s="115" t="str">
        <x:v>L 1100 ; l 2800 ; hauteur 30 m ; choix de composition auteur ; dimensions réelles à documenter</x:v>
      </x:c>
      <x:c r="I3525" s="115" t="str">
        <x:v>À équilibrer</x:v>
      </x:c>
      <x:c r="J3525" s="115" t="str">
        <x:v>Non</x:v>
      </x:c>
      <x:c r="K3525" s="115" t="str">
        <x:v>Pièces décrites, murs, portes, niveaux et mobilier inspectables à l’échelle. Volumes réservés, raccord au seed, butin, rencontres et services de campagne restent à terminer.</x:v>
      </x:c>
    </x:row>
    <x:row r="3526" ht="96" customHeight="1">
      <x:c r="A3526" s="115" t="str">
        <x:v>EXT-MONDE-T071-V21</x:v>
      </x:c>
      <x:c r="B3526" s="115" t="str">
        <x:v>EXT-MONDE-T071</x:v>
      </x:c>
      <x:c r="C3526" s="115" t="str">
        <x:v>Aéroports</x:v>
      </x:c>
      <x:c r="D3526" s="115" t="str">
        <x:v>Aéroport de fret</x:v>
      </x:c>
      <x:c r="E3526" s="115" t="n">
        <x:v>21</x:v>
      </x:c>
      <x:c r="F3526" s="115" t="str">
        <x:v>Inspection physique</x:v>
      </x:c>
      <x:c r="G3526" s="115" t="str">
        <x:v>1 niveaux ; 36 pièces ; 265 segments de mur ; 0 transitions. Inspection physique ; architecture complète encore ouverte.</x:v>
      </x:c>
      <x:c r="H3526" s="115" t="str">
        <x:v>L 1100 ; l 3000 ; hauteur 32 m ; choix de composition auteur ; dimensions réelles à documenter</x:v>
      </x:c>
      <x:c r="I3526" s="115" t="str">
        <x:v>À équilibrer</x:v>
      </x:c>
      <x:c r="J3526" s="115" t="str">
        <x:v>Non</x:v>
      </x:c>
      <x:c r="K3526" s="115" t="str">
        <x:v>Pièces décrites, murs, portes, niveaux et mobilier inspectables à l’échelle. Volumes réservés, raccord au seed, butin, rencontres et services de campagne restent à terminer.</x:v>
      </x:c>
    </x:row>
    <x:row r="3527" ht="96" customHeight="1">
      <x:c r="A3527" s="115" t="str">
        <x:v>EXT-MONDE-T071-V22</x:v>
      </x:c>
      <x:c r="B3527" s="115" t="str">
        <x:v>EXT-MONDE-T071</x:v>
      </x:c>
      <x:c r="C3527" s="115" t="str">
        <x:v>Aéroports</x:v>
      </x:c>
      <x:c r="D3527" s="115" t="str">
        <x:v>Aéroport de fret</x:v>
      </x:c>
      <x:c r="E3527" s="115" t="n">
        <x:v>22</x:v>
      </x:c>
      <x:c r="F3527" s="115" t="str">
        <x:v>Inspection physique</x:v>
      </x:c>
      <x:c r="G3527" s="115" t="str">
        <x:v>1 niveaux ; 36 pièces ; 265 segments de mur ; 0 transitions. Inspection physique ; architecture complète encore ouverte.</x:v>
      </x:c>
      <x:c r="H3527" s="115" t="str">
        <x:v>L 1100 ; l 3000 ; hauteur 32 m ; choix de composition auteur ; dimensions réelles à documenter</x:v>
      </x:c>
      <x:c r="I3527" s="115" t="str">
        <x:v>À équilibrer</x:v>
      </x:c>
      <x:c r="J3527" s="115" t="str">
        <x:v>Non</x:v>
      </x:c>
      <x:c r="K3527" s="115" t="str">
        <x:v>Pièces décrites, murs, portes, niveaux et mobilier inspectables à l’échelle. Volumes réservés, raccord au seed, butin, rencontres et services de campagne restent à terminer.</x:v>
      </x:c>
    </x:row>
    <x:row r="3528" ht="96" customHeight="1">
      <x:c r="A3528" s="115" t="str">
        <x:v>EXT-MONDE-T071-V23</x:v>
      </x:c>
      <x:c r="B3528" s="115" t="str">
        <x:v>EXT-MONDE-T071</x:v>
      </x:c>
      <x:c r="C3528" s="115" t="str">
        <x:v>Aéroports</x:v>
      </x:c>
      <x:c r="D3528" s="115" t="str">
        <x:v>Aéroport de fret</x:v>
      </x:c>
      <x:c r="E3528" s="115" t="n">
        <x:v>23</x:v>
      </x:c>
      <x:c r="F3528" s="115" t="str">
        <x:v>Inspection physique</x:v>
      </x:c>
      <x:c r="G3528" s="115" t="str">
        <x:v>1 niveaux ; 36 pièces ; 265 segments de mur ; 0 transitions. Inspection physique ; architecture complète encore ouverte.</x:v>
      </x:c>
      <x:c r="H3528" s="115" t="str">
        <x:v>L 1100 ; l 3000 ; hauteur 32 m ; choix de composition auteur ; dimensions réelles à documenter</x:v>
      </x:c>
      <x:c r="I3528" s="115" t="str">
        <x:v>À équilibrer</x:v>
      </x:c>
      <x:c r="J3528" s="115" t="str">
        <x:v>Non</x:v>
      </x:c>
      <x:c r="K3528" s="115" t="str">
        <x:v>Pièces décrites, murs, portes, niveaux et mobilier inspectables à l’échelle. Volumes réservés, raccord au seed, butin, rencontres et services de campagne restent à terminer.</x:v>
      </x:c>
    </x:row>
    <x:row r="3529" ht="96" customHeight="1">
      <x:c r="A3529" s="115" t="str">
        <x:v>EXT-MONDE-T071-V24</x:v>
      </x:c>
      <x:c r="B3529" s="115" t="str">
        <x:v>EXT-MONDE-T071</x:v>
      </x:c>
      <x:c r="C3529" s="115" t="str">
        <x:v>Aéroports</x:v>
      </x:c>
      <x:c r="D3529" s="115" t="str">
        <x:v>Aéroport de fret</x:v>
      </x:c>
      <x:c r="E3529" s="115" t="n">
        <x:v>24</x:v>
      </x:c>
      <x:c r="F3529" s="115" t="str">
        <x:v>Inspection physique</x:v>
      </x:c>
      <x:c r="G3529" s="115" t="str">
        <x:v>1 niveaux ; 36 pièces ; 265 segments de mur ; 0 transitions. Inspection physique ; architecture complète encore ouverte.</x:v>
      </x:c>
      <x:c r="H3529" s="115" t="str">
        <x:v>L 1100 ; l 3000 ; hauteur 32 m ; choix de composition auteur ; dimensions réelles à documenter</x:v>
      </x:c>
      <x:c r="I3529" s="115" t="str">
        <x:v>À équilibrer</x:v>
      </x:c>
      <x:c r="J3529" s="115" t="str">
        <x:v>Non</x:v>
      </x:c>
      <x:c r="K3529" s="115" t="str">
        <x:v>Pièces décrites, murs, portes, niveaux et mobilier inspectables à l’échelle. Volumes réservés, raccord au seed, butin, rencontres et services de campagne restent à terminer.</x:v>
      </x:c>
    </x:row>
    <x:row r="3530" ht="96" customHeight="1">
      <x:c r="A3530" s="115" t="str">
        <x:v>EXT-MONDE-T071-V25</x:v>
      </x:c>
      <x:c r="B3530" s="115" t="str">
        <x:v>EXT-MONDE-T071</x:v>
      </x:c>
      <x:c r="C3530" s="115" t="str">
        <x:v>Aéroports</x:v>
      </x:c>
      <x:c r="D3530" s="115" t="str">
        <x:v>Aéroport de fret</x:v>
      </x:c>
      <x:c r="E3530" s="115" t="n">
        <x:v>25</x:v>
      </x:c>
      <x:c r="F3530" s="115" t="str">
        <x:v>Inspection physique</x:v>
      </x:c>
      <x:c r="G3530" s="115" t="str">
        <x:v>1 niveaux ; 36 pièces ; 265 segments de mur ; 0 transitions. Inspection physique ; architecture complète encore ouverte.</x:v>
      </x:c>
      <x:c r="H3530" s="115" t="str">
        <x:v>L 1100 ; l 3000 ; hauteur 32 m ; choix de composition auteur ; dimensions réelles à documenter</x:v>
      </x:c>
      <x:c r="I3530" s="115" t="str">
        <x:v>À équilibrer</x:v>
      </x:c>
      <x:c r="J3530" s="115" t="str">
        <x:v>Non</x:v>
      </x:c>
      <x:c r="K3530" s="115" t="str">
        <x:v>Pièces décrites, murs, portes, niveaux et mobilier inspectables à l’échelle. Volumes réservés, raccord au seed, butin, rencontres et services de campagne restent à terminer.</x:v>
      </x:c>
    </x:row>
    <x:row r="3531" ht="96" customHeight="1">
      <x:c r="A3531" s="115" t="str">
        <x:v>EXT-MONDE-T071-V26</x:v>
      </x:c>
      <x:c r="B3531" s="115" t="str">
        <x:v>EXT-MONDE-T071</x:v>
      </x:c>
      <x:c r="C3531" s="115" t="str">
        <x:v>Aéroports</x:v>
      </x:c>
      <x:c r="D3531" s="115" t="str">
        <x:v>Aéroport de fret</x:v>
      </x:c>
      <x:c r="E3531" s="115" t="n">
        <x:v>26</x:v>
      </x:c>
      <x:c r="F3531" s="115" t="str">
        <x:v>Inspection physique</x:v>
      </x:c>
      <x:c r="G3531" s="115" t="str">
        <x:v>1 niveaux ; 36 pièces ; 265 segments de mur ; 0 transitions. Inspection physique ; architecture complète encore ouverte.</x:v>
      </x:c>
      <x:c r="H3531" s="115" t="str">
        <x:v>L 1100 ; l 3000 ; hauteur 32 m ; choix de composition auteur ; dimensions réelles à documenter</x:v>
      </x:c>
      <x:c r="I3531" s="115" t="str">
        <x:v>À équilibrer</x:v>
      </x:c>
      <x:c r="J3531" s="115" t="str">
        <x:v>Non</x:v>
      </x:c>
      <x:c r="K3531" s="115" t="str">
        <x:v>Pièces décrites, murs, portes, niveaux et mobilier inspectables à l’échelle. Volumes réservés, raccord au seed, butin, rencontres et services de campagne restent à terminer.</x:v>
      </x:c>
    </x:row>
    <x:row r="3532" ht="96" customHeight="1">
      <x:c r="A3532" s="115" t="str">
        <x:v>EXT-MONDE-T071-V27</x:v>
      </x:c>
      <x:c r="B3532" s="115" t="str">
        <x:v>EXT-MONDE-T071</x:v>
      </x:c>
      <x:c r="C3532" s="115" t="str">
        <x:v>Aéroports</x:v>
      </x:c>
      <x:c r="D3532" s="115" t="str">
        <x:v>Aéroport de fret</x:v>
      </x:c>
      <x:c r="E3532" s="115" t="n">
        <x:v>27</x:v>
      </x:c>
      <x:c r="F3532" s="115" t="str">
        <x:v>Inspection physique</x:v>
      </x:c>
      <x:c r="G3532" s="115" t="str">
        <x:v>1 niveaux ; 36 pièces ; 265 segments de mur ; 0 transitions. Inspection physique ; architecture complète encore ouverte.</x:v>
      </x:c>
      <x:c r="H3532" s="115" t="str">
        <x:v>L 1100 ; l 3000 ; hauteur 32 m ; choix de composition auteur ; dimensions réelles à documenter</x:v>
      </x:c>
      <x:c r="I3532" s="115" t="str">
        <x:v>À équilibrer</x:v>
      </x:c>
      <x:c r="J3532" s="115" t="str">
        <x:v>Non</x:v>
      </x:c>
      <x:c r="K3532" s="115" t="str">
        <x:v>Pièces décrites, murs, portes, niveaux et mobilier inspectables à l’échelle. Volumes réservés, raccord au seed, butin, rencontres et services de campagne restent à terminer.</x:v>
      </x:c>
    </x:row>
    <x:row r="3533" ht="96" customHeight="1">
      <x:c r="A3533" s="115" t="str">
        <x:v>EXT-MONDE-T071-V28</x:v>
      </x:c>
      <x:c r="B3533" s="115" t="str">
        <x:v>EXT-MONDE-T071</x:v>
      </x:c>
      <x:c r="C3533" s="115" t="str">
        <x:v>Aéroports</x:v>
      </x:c>
      <x:c r="D3533" s="115" t="str">
        <x:v>Aéroport de fret</x:v>
      </x:c>
      <x:c r="E3533" s="115" t="n">
        <x:v>28</x:v>
      </x:c>
      <x:c r="F3533" s="115" t="str">
        <x:v>Inspection physique</x:v>
      </x:c>
      <x:c r="G3533" s="115" t="str">
        <x:v>1 niveaux ; 36 pièces ; 265 segments de mur ; 0 transitions. Inspection physique ; architecture complète encore ouverte.</x:v>
      </x:c>
      <x:c r="H3533" s="115" t="str">
        <x:v>L 1100 ; l 3000 ; hauteur 32 m ; choix de composition auteur ; dimensions réelles à documenter</x:v>
      </x:c>
      <x:c r="I3533" s="115" t="str">
        <x:v>À équilibrer</x:v>
      </x:c>
      <x:c r="J3533" s="115" t="str">
        <x:v>Non</x:v>
      </x:c>
      <x:c r="K3533" s="115" t="str">
        <x:v>Pièces décrites, murs, portes, niveaux et mobilier inspectables à l’échelle. Volumes réservés, raccord au seed, butin, rencontres et services de campagne restent à terminer.</x:v>
      </x:c>
    </x:row>
    <x:row r="3534" ht="96" customHeight="1">
      <x:c r="A3534" s="115" t="str">
        <x:v>EXT-MONDE-T071-V29</x:v>
      </x:c>
      <x:c r="B3534" s="115" t="str">
        <x:v>EXT-MONDE-T071</x:v>
      </x:c>
      <x:c r="C3534" s="115" t="str">
        <x:v>Aéroports</x:v>
      </x:c>
      <x:c r="D3534" s="115" t="str">
        <x:v>Aéroport de fret</x:v>
      </x:c>
      <x:c r="E3534" s="115" t="n">
        <x:v>29</x:v>
      </x:c>
      <x:c r="F3534" s="115" t="str">
        <x:v>Inspection physique</x:v>
      </x:c>
      <x:c r="G3534" s="115" t="str">
        <x:v>1 niveaux ; 36 pièces ; 265 segments de mur ; 0 transitions. Inspection physique ; architecture complète encore ouverte.</x:v>
      </x:c>
      <x:c r="H3534" s="115" t="str">
        <x:v>L 1100 ; l 3000 ; hauteur 32 m ; choix de composition auteur ; dimensions réelles à documenter</x:v>
      </x:c>
      <x:c r="I3534" s="115" t="str">
        <x:v>À équilibrer</x:v>
      </x:c>
      <x:c r="J3534" s="115" t="str">
        <x:v>Non</x:v>
      </x:c>
      <x:c r="K3534" s="115" t="str">
        <x:v>Pièces décrites, murs, portes, niveaux et mobilier inspectables à l’échelle. Volumes réservés, raccord au seed, butin, rencontres et services de campagne restent à terminer.</x:v>
      </x:c>
    </x:row>
    <x:row r="3535" ht="96" customHeight="1">
      <x:c r="A3535" s="115" t="str">
        <x:v>EXT-MONDE-T071-V30</x:v>
      </x:c>
      <x:c r="B3535" s="115" t="str">
        <x:v>EXT-MONDE-T071</x:v>
      </x:c>
      <x:c r="C3535" s="115" t="str">
        <x:v>Aéroports</x:v>
      </x:c>
      <x:c r="D3535" s="115" t="str">
        <x:v>Aéroport de fret</x:v>
      </x:c>
      <x:c r="E3535" s="115" t="n">
        <x:v>30</x:v>
      </x:c>
      <x:c r="F3535" s="115" t="str">
        <x:v>Inspection physique</x:v>
      </x:c>
      <x:c r="G3535" s="115" t="str">
        <x:v>1 niveaux ; 36 pièces ; 265 segments de mur ; 0 transitions. Inspection physique ; architecture complète encore ouverte.</x:v>
      </x:c>
      <x:c r="H3535" s="115" t="str">
        <x:v>L 1100 ; l 3000 ; hauteur 32 m ; choix de composition auteur ; dimensions réelles à documenter</x:v>
      </x:c>
      <x:c r="I3535" s="115" t="str">
        <x:v>À équilibrer</x:v>
      </x:c>
      <x:c r="J3535" s="115" t="str">
        <x:v>Non</x:v>
      </x:c>
      <x:c r="K3535" s="115" t="str">
        <x:v>Pièces décrites, murs, portes, niveaux et mobilier inspectables à l’échelle. Volumes réservés, raccord au seed, butin, rencontres et services de campagne restent à terminer.</x:v>
      </x:c>
    </x:row>
    <x:row r="3536" ht="96" customHeight="1">
      <x:c r="A3536" s="115" t="str">
        <x:v>EXT-MONDE-T071-V31</x:v>
      </x:c>
      <x:c r="B3536" s="115" t="str">
        <x:v>EXT-MONDE-T071</x:v>
      </x:c>
      <x:c r="C3536" s="115" t="str">
        <x:v>Aéroports</x:v>
      </x:c>
      <x:c r="D3536" s="115" t="str">
        <x:v>Aéroport de fret</x:v>
      </x:c>
      <x:c r="E3536" s="115" t="n">
        <x:v>31</x:v>
      </x:c>
      <x:c r="F3536" s="115" t="str">
        <x:v>Inspection physique</x:v>
      </x:c>
      <x:c r="G3536" s="115" t="str">
        <x:v>1 niveaux ; 36 pièces ; 265 segments de mur ; 0 transitions. Inspection physique ; architecture complète encore ouverte.</x:v>
      </x:c>
      <x:c r="H3536" s="115" t="str">
        <x:v>L 1100 ; l 3200 ; hauteur 34 m ; choix de composition auteur ; dimensions réelles à documenter</x:v>
      </x:c>
      <x:c r="I3536" s="115" t="str">
        <x:v>À équilibrer</x:v>
      </x:c>
      <x:c r="J3536" s="115" t="str">
        <x:v>Non</x:v>
      </x:c>
      <x:c r="K3536" s="115" t="str">
        <x:v>Pièces décrites, murs, portes, niveaux et mobilier inspectables à l’échelle. Volumes réservés, raccord au seed, butin, rencontres et services de campagne restent à terminer.</x:v>
      </x:c>
    </x:row>
    <x:row r="3537" ht="96" customHeight="1">
      <x:c r="A3537" s="115" t="str">
        <x:v>EXT-MONDE-T071-V32</x:v>
      </x:c>
      <x:c r="B3537" s="115" t="str">
        <x:v>EXT-MONDE-T071</x:v>
      </x:c>
      <x:c r="C3537" s="115" t="str">
        <x:v>Aéroports</x:v>
      </x:c>
      <x:c r="D3537" s="115" t="str">
        <x:v>Aéroport de fret</x:v>
      </x:c>
      <x:c r="E3537" s="115" t="n">
        <x:v>32</x:v>
      </x:c>
      <x:c r="F3537" s="115" t="str">
        <x:v>Inspection physique</x:v>
      </x:c>
      <x:c r="G3537" s="115" t="str">
        <x:v>1 niveaux ; 36 pièces ; 265 segments de mur ; 0 transitions. Inspection physique ; architecture complète encore ouverte.</x:v>
      </x:c>
      <x:c r="H3537" s="115" t="str">
        <x:v>L 1100 ; l 3200 ; hauteur 34 m ; choix de composition auteur ; dimensions réelles à documenter</x:v>
      </x:c>
      <x:c r="I3537" s="115" t="str">
        <x:v>À équilibrer</x:v>
      </x:c>
      <x:c r="J3537" s="115" t="str">
        <x:v>Non</x:v>
      </x:c>
      <x:c r="K3537" s="115" t="str">
        <x:v>Pièces décrites, murs, portes, niveaux et mobilier inspectables à l’échelle. Volumes réservés, raccord au seed, butin, rencontres et services de campagne restent à terminer.</x:v>
      </x:c>
    </x:row>
    <x:row r="3538" ht="96" customHeight="1">
      <x:c r="A3538" s="115" t="str">
        <x:v>EXT-MONDE-T071-V33</x:v>
      </x:c>
      <x:c r="B3538" s="115" t="str">
        <x:v>EXT-MONDE-T071</x:v>
      </x:c>
      <x:c r="C3538" s="115" t="str">
        <x:v>Aéroports</x:v>
      </x:c>
      <x:c r="D3538" s="115" t="str">
        <x:v>Aéroport de fret</x:v>
      </x:c>
      <x:c r="E3538" s="115" t="n">
        <x:v>33</x:v>
      </x:c>
      <x:c r="F3538" s="115" t="str">
        <x:v>Inspection physique</x:v>
      </x:c>
      <x:c r="G3538" s="115" t="str">
        <x:v>1 niveaux ; 36 pièces ; 265 segments de mur ; 0 transitions. Inspection physique ; architecture complète encore ouverte.</x:v>
      </x:c>
      <x:c r="H3538" s="115" t="str">
        <x:v>L 1100 ; l 3200 ; hauteur 34 m ; choix de composition auteur ; dimensions réelles à documenter</x:v>
      </x:c>
      <x:c r="I3538" s="115" t="str">
        <x:v>À équilibrer</x:v>
      </x:c>
      <x:c r="J3538" s="115" t="str">
        <x:v>Non</x:v>
      </x:c>
      <x:c r="K3538" s="115" t="str">
        <x:v>Pièces décrites, murs, portes, niveaux et mobilier inspectables à l’échelle. Volumes réservés, raccord au seed, butin, rencontres et services de campagne restent à terminer.</x:v>
      </x:c>
    </x:row>
    <x:row r="3539" ht="96" customHeight="1">
      <x:c r="A3539" s="115" t="str">
        <x:v>EXT-MONDE-T071-V34</x:v>
      </x:c>
      <x:c r="B3539" s="115" t="str">
        <x:v>EXT-MONDE-T071</x:v>
      </x:c>
      <x:c r="C3539" s="115" t="str">
        <x:v>Aéroports</x:v>
      </x:c>
      <x:c r="D3539" s="115" t="str">
        <x:v>Aéroport de fret</x:v>
      </x:c>
      <x:c r="E3539" s="115" t="n">
        <x:v>34</x:v>
      </x:c>
      <x:c r="F3539" s="115" t="str">
        <x:v>Inspection physique</x:v>
      </x:c>
      <x:c r="G3539" s="115" t="str">
        <x:v>1 niveaux ; 36 pièces ; 265 segments de mur ; 0 transitions. Inspection physique ; architecture complète encore ouverte.</x:v>
      </x:c>
      <x:c r="H3539" s="115" t="str">
        <x:v>L 1100 ; l 3200 ; hauteur 34 m ; choix de composition auteur ; dimensions réelles à documenter</x:v>
      </x:c>
      <x:c r="I3539" s="115" t="str">
        <x:v>À équilibrer</x:v>
      </x:c>
      <x:c r="J3539" s="115" t="str">
        <x:v>Non</x:v>
      </x:c>
      <x:c r="K3539" s="115" t="str">
        <x:v>Pièces décrites, murs, portes, niveaux et mobilier inspectables à l’échelle. Volumes réservés, raccord au seed, butin, rencontres et services de campagne restent à terminer.</x:v>
      </x:c>
    </x:row>
    <x:row r="3540" ht="96" customHeight="1">
      <x:c r="A3540" s="115" t="str">
        <x:v>EXT-MONDE-T071-V35</x:v>
      </x:c>
      <x:c r="B3540" s="115" t="str">
        <x:v>EXT-MONDE-T071</x:v>
      </x:c>
      <x:c r="C3540" s="115" t="str">
        <x:v>Aéroports</x:v>
      </x:c>
      <x:c r="D3540" s="115" t="str">
        <x:v>Aéroport de fret</x:v>
      </x:c>
      <x:c r="E3540" s="115" t="n">
        <x:v>35</x:v>
      </x:c>
      <x:c r="F3540" s="115" t="str">
        <x:v>Inspection physique</x:v>
      </x:c>
      <x:c r="G3540" s="115" t="str">
        <x:v>1 niveaux ; 36 pièces ; 265 segments de mur ; 0 transitions. Inspection physique ; architecture complète encore ouverte.</x:v>
      </x:c>
      <x:c r="H3540" s="115" t="str">
        <x:v>L 1100 ; l 3200 ; hauteur 34 m ; choix de composition auteur ; dimensions réelles à documenter</x:v>
      </x:c>
      <x:c r="I3540" s="115" t="str">
        <x:v>À équilibrer</x:v>
      </x:c>
      <x:c r="J3540" s="115" t="str">
        <x:v>Non</x:v>
      </x:c>
      <x:c r="K3540" s="115" t="str">
        <x:v>Pièces décrites, murs, portes, niveaux et mobilier inspectables à l’échelle. Volumes réservés, raccord au seed, butin, rencontres et services de campagne restent à terminer.</x:v>
      </x:c>
    </x:row>
    <x:row r="3541" ht="96" customHeight="1">
      <x:c r="A3541" s="115" t="str">
        <x:v>EXT-MONDE-T071-V36</x:v>
      </x:c>
      <x:c r="B3541" s="115" t="str">
        <x:v>EXT-MONDE-T071</x:v>
      </x:c>
      <x:c r="C3541" s="115" t="str">
        <x:v>Aéroports</x:v>
      </x:c>
      <x:c r="D3541" s="115" t="str">
        <x:v>Aéroport de fret</x:v>
      </x:c>
      <x:c r="E3541" s="115" t="n">
        <x:v>36</x:v>
      </x:c>
      <x:c r="F3541" s="115" t="str">
        <x:v>Inspection physique</x:v>
      </x:c>
      <x:c r="G3541" s="115" t="str">
        <x:v>1 niveaux ; 36 pièces ; 265 segments de mur ; 0 transitions. Inspection physique ; architecture complète encore ouverte.</x:v>
      </x:c>
      <x:c r="H3541" s="115" t="str">
        <x:v>L 1100 ; l 3200 ; hauteur 34 m ; choix de composition auteur ; dimensions réelles à documenter</x:v>
      </x:c>
      <x:c r="I3541" s="115" t="str">
        <x:v>À équilibrer</x:v>
      </x:c>
      <x:c r="J3541" s="115" t="str">
        <x:v>Non</x:v>
      </x:c>
      <x:c r="K3541" s="115" t="str">
        <x:v>Pièces décrites, murs, portes, niveaux et mobilier inspectables à l’échelle. Volumes réservés, raccord au seed, butin, rencontres et services de campagne restent à terminer.</x:v>
      </x:c>
    </x:row>
    <x:row r="3542" ht="96" customHeight="1">
      <x:c r="A3542" s="115" t="str">
        <x:v>EXT-MONDE-T071-V37</x:v>
      </x:c>
      <x:c r="B3542" s="115" t="str">
        <x:v>EXT-MONDE-T071</x:v>
      </x:c>
      <x:c r="C3542" s="115" t="str">
        <x:v>Aéroports</x:v>
      </x:c>
      <x:c r="D3542" s="115" t="str">
        <x:v>Aéroport de fret</x:v>
      </x:c>
      <x:c r="E3542" s="115" t="n">
        <x:v>37</x:v>
      </x:c>
      <x:c r="F3542" s="115" t="str">
        <x:v>Inspection physique</x:v>
      </x:c>
      <x:c r="G3542" s="115" t="str">
        <x:v>1 niveaux ; 36 pièces ; 265 segments de mur ; 0 transitions. Inspection physique ; architecture complète encore ouverte.</x:v>
      </x:c>
      <x:c r="H3542" s="115" t="str">
        <x:v>L 1100 ; l 3200 ; hauteur 34 m ; choix de composition auteur ; dimensions réelles à documenter</x:v>
      </x:c>
      <x:c r="I3542" s="115" t="str">
        <x:v>À équilibrer</x:v>
      </x:c>
      <x:c r="J3542" s="115" t="str">
        <x:v>Non</x:v>
      </x:c>
      <x:c r="K3542" s="115" t="str">
        <x:v>Pièces décrites, murs, portes, niveaux et mobilier inspectables à l’échelle. Volumes réservés, raccord au seed, butin, rencontres et services de campagne restent à terminer.</x:v>
      </x:c>
    </x:row>
    <x:row r="3543" ht="96" customHeight="1">
      <x:c r="A3543" s="115" t="str">
        <x:v>EXT-MONDE-T071-V38</x:v>
      </x:c>
      <x:c r="B3543" s="115" t="str">
        <x:v>EXT-MONDE-T071</x:v>
      </x:c>
      <x:c r="C3543" s="115" t="str">
        <x:v>Aéroports</x:v>
      </x:c>
      <x:c r="D3543" s="115" t="str">
        <x:v>Aéroport de fret</x:v>
      </x:c>
      <x:c r="E3543" s="115" t="n">
        <x:v>38</x:v>
      </x:c>
      <x:c r="F3543" s="115" t="str">
        <x:v>Inspection physique</x:v>
      </x:c>
      <x:c r="G3543" s="115" t="str">
        <x:v>1 niveaux ; 36 pièces ; 265 segments de mur ; 0 transitions. Inspection physique ; architecture complète encore ouverte.</x:v>
      </x:c>
      <x:c r="H3543" s="115" t="str">
        <x:v>L 1100 ; l 3200 ; hauteur 34 m ; choix de composition auteur ; dimensions réelles à documenter</x:v>
      </x:c>
      <x:c r="I3543" s="115" t="str">
        <x:v>À équilibrer</x:v>
      </x:c>
      <x:c r="J3543" s="115" t="str">
        <x:v>Non</x:v>
      </x:c>
      <x:c r="K3543" s="115" t="str">
        <x:v>Pièces décrites, murs, portes, niveaux et mobilier inspectables à l’échelle. Volumes réservés, raccord au seed, butin, rencontres et services de campagne restent à terminer.</x:v>
      </x:c>
    </x:row>
    <x:row r="3544" ht="96" customHeight="1">
      <x:c r="A3544" s="115" t="str">
        <x:v>EXT-MONDE-T071-V39</x:v>
      </x:c>
      <x:c r="B3544" s="115" t="str">
        <x:v>EXT-MONDE-T071</x:v>
      </x:c>
      <x:c r="C3544" s="115" t="str">
        <x:v>Aéroports</x:v>
      </x:c>
      <x:c r="D3544" s="115" t="str">
        <x:v>Aéroport de fret</x:v>
      </x:c>
      <x:c r="E3544" s="115" t="n">
        <x:v>39</x:v>
      </x:c>
      <x:c r="F3544" s="115" t="str">
        <x:v>Inspection physique</x:v>
      </x:c>
      <x:c r="G3544" s="115" t="str">
        <x:v>1 niveaux ; 36 pièces ; 265 segments de mur ; 0 transitions. Inspection physique ; architecture complète encore ouverte.</x:v>
      </x:c>
      <x:c r="H3544" s="115" t="str">
        <x:v>L 1100 ; l 3200 ; hauteur 34 m ; choix de composition auteur ; dimensions réelles à documenter</x:v>
      </x:c>
      <x:c r="I3544" s="115" t="str">
        <x:v>À équilibrer</x:v>
      </x:c>
      <x:c r="J3544" s="115" t="str">
        <x:v>Non</x:v>
      </x:c>
      <x:c r="K3544" s="115" t="str">
        <x:v>Pièces décrites, murs, portes, niveaux et mobilier inspectables à l’échelle. Volumes réservés, raccord au seed, butin, rencontres et services de campagne restent à terminer.</x:v>
      </x:c>
    </x:row>
    <x:row r="3545" ht="96" customHeight="1">
      <x:c r="A3545" s="115" t="str">
        <x:v>EXT-MONDE-T071-V40</x:v>
      </x:c>
      <x:c r="B3545" s="115" t="str">
        <x:v>EXT-MONDE-T071</x:v>
      </x:c>
      <x:c r="C3545" s="115" t="str">
        <x:v>Aéroports</x:v>
      </x:c>
      <x:c r="D3545" s="115" t="str">
        <x:v>Aéroport de fret</x:v>
      </x:c>
      <x:c r="E3545" s="115" t="n">
        <x:v>40</x:v>
      </x:c>
      <x:c r="F3545" s="115" t="str">
        <x:v>Inspection physique</x:v>
      </x:c>
      <x:c r="G3545" s="115" t="str">
        <x:v>1 niveaux ; 36 pièces ; 265 segments de mur ; 0 transitions. Inspection physique ; architecture complète encore ouverte.</x:v>
      </x:c>
      <x:c r="H3545" s="115" t="str">
        <x:v>L 1100 ; l 3200 ; hauteur 34 m ; choix de composition auteur ; dimensions réelles à documenter</x:v>
      </x:c>
      <x:c r="I3545" s="115" t="str">
        <x:v>À équilibrer</x:v>
      </x:c>
      <x:c r="J3545" s="115" t="str">
        <x:v>Non</x:v>
      </x:c>
      <x:c r="K3545" s="115" t="str">
        <x:v>Pièces décrites, murs, portes, niveaux et mobilier inspectables à l’échelle. Volumes réservés, raccord au seed, butin, rencontres et services de campagne restent à terminer.</x:v>
      </x:c>
    </x:row>
    <x:row r="3546" ht="96" customHeight="1">
      <x:c r="A3546" s="115" t="str">
        <x:v>EXT-MONDE-T071-V41</x:v>
      </x:c>
      <x:c r="B3546" s="115" t="str">
        <x:v>EXT-MONDE-T071</x:v>
      </x:c>
      <x:c r="C3546" s="115" t="str">
        <x:v>Aéroports</x:v>
      </x:c>
      <x:c r="D3546" s="115" t="str">
        <x:v>Aéroport de fret</x:v>
      </x:c>
      <x:c r="E3546" s="115" t="n">
        <x:v>41</x:v>
      </x:c>
      <x:c r="F3546" s="115" t="str">
        <x:v>Inspection physique</x:v>
      </x:c>
      <x:c r="G3546" s="115" t="str">
        <x:v>1 niveaux ; 36 pièces ; 265 segments de mur ; 0 transitions. Inspection physique ; architecture complète encore ouverte.</x:v>
      </x:c>
      <x:c r="H3546" s="115" t="str">
        <x:v>L 1100 ; l 3400 ; hauteur 36 m ; choix de composition auteur ; dimensions réelles à documenter</x:v>
      </x:c>
      <x:c r="I3546" s="115" t="str">
        <x:v>À équilibrer</x:v>
      </x:c>
      <x:c r="J3546" s="115" t="str">
        <x:v>Non</x:v>
      </x:c>
      <x:c r="K3546" s="115" t="str">
        <x:v>Pièces décrites, murs, portes, niveaux et mobilier inspectables à l’échelle. Volumes réservés, raccord au seed, butin, rencontres et services de campagne restent à terminer.</x:v>
      </x:c>
    </x:row>
    <x:row r="3547" ht="96" customHeight="1">
      <x:c r="A3547" s="115" t="str">
        <x:v>EXT-MONDE-T071-V42</x:v>
      </x:c>
      <x:c r="B3547" s="115" t="str">
        <x:v>EXT-MONDE-T071</x:v>
      </x:c>
      <x:c r="C3547" s="115" t="str">
        <x:v>Aéroports</x:v>
      </x:c>
      <x:c r="D3547" s="115" t="str">
        <x:v>Aéroport de fret</x:v>
      </x:c>
      <x:c r="E3547" s="115" t="n">
        <x:v>42</x:v>
      </x:c>
      <x:c r="F3547" s="115" t="str">
        <x:v>Inspection physique</x:v>
      </x:c>
      <x:c r="G3547" s="115" t="str">
        <x:v>1 niveaux ; 36 pièces ; 265 segments de mur ; 0 transitions. Inspection physique ; architecture complète encore ouverte.</x:v>
      </x:c>
      <x:c r="H3547" s="115" t="str">
        <x:v>L 1100 ; l 3400 ; hauteur 36 m ; choix de composition auteur ; dimensions réelles à documenter</x:v>
      </x:c>
      <x:c r="I3547" s="115" t="str">
        <x:v>À équilibrer</x:v>
      </x:c>
      <x:c r="J3547" s="115" t="str">
        <x:v>Non</x:v>
      </x:c>
      <x:c r="K3547" s="115" t="str">
        <x:v>Pièces décrites, murs, portes, niveaux et mobilier inspectables à l’échelle. Volumes réservés, raccord au seed, butin, rencontres et services de campagne restent à terminer.</x:v>
      </x:c>
    </x:row>
    <x:row r="3548" ht="96" customHeight="1">
      <x:c r="A3548" s="115" t="str">
        <x:v>EXT-MONDE-T071-V43</x:v>
      </x:c>
      <x:c r="B3548" s="115" t="str">
        <x:v>EXT-MONDE-T071</x:v>
      </x:c>
      <x:c r="C3548" s="115" t="str">
        <x:v>Aéroports</x:v>
      </x:c>
      <x:c r="D3548" s="115" t="str">
        <x:v>Aéroport de fret</x:v>
      </x:c>
      <x:c r="E3548" s="115" t="n">
        <x:v>43</x:v>
      </x:c>
      <x:c r="F3548" s="115" t="str">
        <x:v>Inspection physique</x:v>
      </x:c>
      <x:c r="G3548" s="115" t="str">
        <x:v>1 niveaux ; 36 pièces ; 265 segments de mur ; 0 transitions. Inspection physique ; architecture complète encore ouverte.</x:v>
      </x:c>
      <x:c r="H3548" s="115" t="str">
        <x:v>L 1100 ; l 3400 ; hauteur 36 m ; choix de composition auteur ; dimensions réelles à documenter</x:v>
      </x:c>
      <x:c r="I3548" s="115" t="str">
        <x:v>À équilibrer</x:v>
      </x:c>
      <x:c r="J3548" s="115" t="str">
        <x:v>Non</x:v>
      </x:c>
      <x:c r="K3548" s="115" t="str">
        <x:v>Pièces décrites, murs, portes, niveaux et mobilier inspectables à l’échelle. Volumes réservés, raccord au seed, butin, rencontres et services de campagne restent à terminer.</x:v>
      </x:c>
    </x:row>
    <x:row r="3549" ht="96" customHeight="1">
      <x:c r="A3549" s="115" t="str">
        <x:v>EXT-MONDE-T071-V44</x:v>
      </x:c>
      <x:c r="B3549" s="115" t="str">
        <x:v>EXT-MONDE-T071</x:v>
      </x:c>
      <x:c r="C3549" s="115" t="str">
        <x:v>Aéroports</x:v>
      </x:c>
      <x:c r="D3549" s="115" t="str">
        <x:v>Aéroport de fret</x:v>
      </x:c>
      <x:c r="E3549" s="115" t="n">
        <x:v>44</x:v>
      </x:c>
      <x:c r="F3549" s="115" t="str">
        <x:v>Inspection physique</x:v>
      </x:c>
      <x:c r="G3549" s="115" t="str">
        <x:v>1 niveaux ; 36 pièces ; 265 segments de mur ; 0 transitions. Inspection physique ; architecture complète encore ouverte.</x:v>
      </x:c>
      <x:c r="H3549" s="115" t="str">
        <x:v>L 1100 ; l 3400 ; hauteur 36 m ; choix de composition auteur ; dimensions réelles à documenter</x:v>
      </x:c>
      <x:c r="I3549" s="115" t="str">
        <x:v>À équilibrer</x:v>
      </x:c>
      <x:c r="J3549" s="115" t="str">
        <x:v>Non</x:v>
      </x:c>
      <x:c r="K3549" s="115" t="str">
        <x:v>Pièces décrites, murs, portes, niveaux et mobilier inspectables à l’échelle. Volumes réservés, raccord au seed, butin, rencontres et services de campagne restent à terminer.</x:v>
      </x:c>
    </x:row>
    <x:row r="3550" ht="96" customHeight="1">
      <x:c r="A3550" s="115" t="str">
        <x:v>EXT-MONDE-T071-V45</x:v>
      </x:c>
      <x:c r="B3550" s="115" t="str">
        <x:v>EXT-MONDE-T071</x:v>
      </x:c>
      <x:c r="C3550" s="115" t="str">
        <x:v>Aéroports</x:v>
      </x:c>
      <x:c r="D3550" s="115" t="str">
        <x:v>Aéroport de fret</x:v>
      </x:c>
      <x:c r="E3550" s="115" t="n">
        <x:v>45</x:v>
      </x:c>
      <x:c r="F3550" s="115" t="str">
        <x:v>Inspection physique</x:v>
      </x:c>
      <x:c r="G3550" s="115" t="str">
        <x:v>1 niveaux ; 36 pièces ; 265 segments de mur ; 0 transitions. Inspection physique ; architecture complète encore ouverte.</x:v>
      </x:c>
      <x:c r="H3550" s="115" t="str">
        <x:v>L 1100 ; l 3400 ; hauteur 36 m ; choix de composition auteur ; dimensions réelles à documenter</x:v>
      </x:c>
      <x:c r="I3550" s="115" t="str">
        <x:v>À équilibrer</x:v>
      </x:c>
      <x:c r="J3550" s="115" t="str">
        <x:v>Non</x:v>
      </x:c>
      <x:c r="K3550" s="115" t="str">
        <x:v>Pièces décrites, murs, portes, niveaux et mobilier inspectables à l’échelle. Volumes réservés, raccord au seed, butin, rencontres et services de campagne restent à terminer.</x:v>
      </x:c>
    </x:row>
    <x:row r="3551" ht="96" customHeight="1">
      <x:c r="A3551" s="115" t="str">
        <x:v>EXT-MONDE-T071-V46</x:v>
      </x:c>
      <x:c r="B3551" s="115" t="str">
        <x:v>EXT-MONDE-T071</x:v>
      </x:c>
      <x:c r="C3551" s="115" t="str">
        <x:v>Aéroports</x:v>
      </x:c>
      <x:c r="D3551" s="115" t="str">
        <x:v>Aéroport de fret</x:v>
      </x:c>
      <x:c r="E3551" s="115" t="n">
        <x:v>46</x:v>
      </x:c>
      <x:c r="F3551" s="115" t="str">
        <x:v>Inspection physique</x:v>
      </x:c>
      <x:c r="G3551" s="115" t="str">
        <x:v>1 niveaux ; 36 pièces ; 265 segments de mur ; 0 transitions. Inspection physique ; architecture complète encore ouverte.</x:v>
      </x:c>
      <x:c r="H3551" s="115" t="str">
        <x:v>L 1100 ; l 3400 ; hauteur 36 m ; choix de composition auteur ; dimensions réelles à documenter</x:v>
      </x:c>
      <x:c r="I3551" s="115" t="str">
        <x:v>À équilibrer</x:v>
      </x:c>
      <x:c r="J3551" s="115" t="str">
        <x:v>Non</x:v>
      </x:c>
      <x:c r="K3551" s="115" t="str">
        <x:v>Pièces décrites, murs, portes, niveaux et mobilier inspectables à l’échelle. Volumes réservés, raccord au seed, butin, rencontres et services de campagne restent à terminer.</x:v>
      </x:c>
    </x:row>
    <x:row r="3552" ht="96" customHeight="1">
      <x:c r="A3552" s="115" t="str">
        <x:v>EXT-MONDE-T071-V47</x:v>
      </x:c>
      <x:c r="B3552" s="115" t="str">
        <x:v>EXT-MONDE-T071</x:v>
      </x:c>
      <x:c r="C3552" s="115" t="str">
        <x:v>Aéroports</x:v>
      </x:c>
      <x:c r="D3552" s="115" t="str">
        <x:v>Aéroport de fret</x:v>
      </x:c>
      <x:c r="E3552" s="115" t="n">
        <x:v>47</x:v>
      </x:c>
      <x:c r="F3552" s="115" t="str">
        <x:v>Inspection physique</x:v>
      </x:c>
      <x:c r="G3552" s="115" t="str">
        <x:v>1 niveaux ; 36 pièces ; 265 segments de mur ; 0 transitions. Inspection physique ; architecture complète encore ouverte.</x:v>
      </x:c>
      <x:c r="H3552" s="115" t="str">
        <x:v>L 1100 ; l 3400 ; hauteur 36 m ; choix de composition auteur ; dimensions réelles à documenter</x:v>
      </x:c>
      <x:c r="I3552" s="115" t="str">
        <x:v>À équilibrer</x:v>
      </x:c>
      <x:c r="J3552" s="115" t="str">
        <x:v>Non</x:v>
      </x:c>
      <x:c r="K3552" s="115" t="str">
        <x:v>Pièces décrites, murs, portes, niveaux et mobilier inspectables à l’échelle. Volumes réservés, raccord au seed, butin, rencontres et services de campagne restent à terminer.</x:v>
      </x:c>
    </x:row>
    <x:row r="3553" ht="96" customHeight="1">
      <x:c r="A3553" s="115" t="str">
        <x:v>EXT-MONDE-T071-V48</x:v>
      </x:c>
      <x:c r="B3553" s="115" t="str">
        <x:v>EXT-MONDE-T071</x:v>
      </x:c>
      <x:c r="C3553" s="115" t="str">
        <x:v>Aéroports</x:v>
      </x:c>
      <x:c r="D3553" s="115" t="str">
        <x:v>Aéroport de fret</x:v>
      </x:c>
      <x:c r="E3553" s="115" t="n">
        <x:v>48</x:v>
      </x:c>
      <x:c r="F3553" s="115" t="str">
        <x:v>Inspection physique</x:v>
      </x:c>
      <x:c r="G3553" s="115" t="str">
        <x:v>1 niveaux ; 36 pièces ; 265 segments de mur ; 0 transitions. Inspection physique ; architecture complète encore ouverte.</x:v>
      </x:c>
      <x:c r="H3553" s="115" t="str">
        <x:v>L 1100 ; l 3400 ; hauteur 36 m ; choix de composition auteur ; dimensions réelles à documenter</x:v>
      </x:c>
      <x:c r="I3553" s="115" t="str">
        <x:v>À équilibrer</x:v>
      </x:c>
      <x:c r="J3553" s="115" t="str">
        <x:v>Non</x:v>
      </x:c>
      <x:c r="K3553" s="115" t="str">
        <x:v>Pièces décrites, murs, portes, niveaux et mobilier inspectables à l’échelle. Volumes réservés, raccord au seed, butin, rencontres et services de campagne restent à terminer.</x:v>
      </x:c>
    </x:row>
    <x:row r="3554" ht="96" customHeight="1">
      <x:c r="A3554" s="115" t="str">
        <x:v>EXT-MONDE-T071-V49</x:v>
      </x:c>
      <x:c r="B3554" s="115" t="str">
        <x:v>EXT-MONDE-T071</x:v>
      </x:c>
      <x:c r="C3554" s="115" t="str">
        <x:v>Aéroports</x:v>
      </x:c>
      <x:c r="D3554" s="115" t="str">
        <x:v>Aéroport de fret</x:v>
      </x:c>
      <x:c r="E3554" s="115" t="n">
        <x:v>49</x:v>
      </x:c>
      <x:c r="F3554" s="115" t="str">
        <x:v>Inspection physique</x:v>
      </x:c>
      <x:c r="G3554" s="115" t="str">
        <x:v>1 niveaux ; 36 pièces ; 265 segments de mur ; 0 transitions. Inspection physique ; architecture complète encore ouverte.</x:v>
      </x:c>
      <x:c r="H3554" s="115" t="str">
        <x:v>L 1100 ; l 3400 ; hauteur 36 m ; choix de composition auteur ; dimensions réelles à documenter</x:v>
      </x:c>
      <x:c r="I3554" s="115" t="str">
        <x:v>À équilibrer</x:v>
      </x:c>
      <x:c r="J3554" s="115" t="str">
        <x:v>Non</x:v>
      </x:c>
      <x:c r="K3554" s="115" t="str">
        <x:v>Pièces décrites, murs, portes, niveaux et mobilier inspectables à l’échelle. Volumes réservés, raccord au seed, butin, rencontres et services de campagne restent à terminer.</x:v>
      </x:c>
    </x:row>
    <x:row r="3555" ht="96" customHeight="1">
      <x:c r="A3555" s="115" t="str">
        <x:v>EXT-MONDE-T071-V50</x:v>
      </x:c>
      <x:c r="B3555" s="115" t="str">
        <x:v>EXT-MONDE-T071</x:v>
      </x:c>
      <x:c r="C3555" s="115" t="str">
        <x:v>Aéroports</x:v>
      </x:c>
      <x:c r="D3555" s="115" t="str">
        <x:v>Aéroport de fret</x:v>
      </x:c>
      <x:c r="E3555" s="115" t="n">
        <x:v>50</x:v>
      </x:c>
      <x:c r="F3555" s="115" t="str">
        <x:v>Inspection physique</x:v>
      </x:c>
      <x:c r="G3555" s="115" t="str">
        <x:v>1 niveaux ; 36 pièces ; 265 segments de mur ; 0 transitions. Inspection physique ; architecture complète encore ouverte.</x:v>
      </x:c>
      <x:c r="H3555" s="115" t="str">
        <x:v>L 1100 ; l 3400 ; hauteur 36 m ; choix de composition auteur ; dimensions réelles à documenter</x:v>
      </x:c>
      <x:c r="I3555" s="115" t="str">
        <x:v>À équilibrer</x:v>
      </x:c>
      <x:c r="J3555" s="115" t="str">
        <x:v>Non</x:v>
      </x:c>
      <x:c r="K3555" s="115" t="str">
        <x:v>Pièces décrites, murs, portes, niveaux et mobilier inspectables à l’échelle. Volumes réservés, raccord au seed, butin, rencontres et services de campagne restent à terminer.</x:v>
      </x:c>
    </x:row>
    <x:row r="3556" ht="96" customHeight="1">
      <x:c r="A3556" s="115" t="str">
        <x:v>EXT-MONDE-T072-V01</x:v>
      </x:c>
      <x:c r="B3556" s="115" t="str">
        <x:v>EXT-MONDE-T072</x:v>
      </x:c>
      <x:c r="C3556" s="115" t="str">
        <x:v>Aéroports</x:v>
      </x:c>
      <x:c r="D3556" s="115" t="str">
        <x:v>Aérodrome insulaire</x:v>
      </x:c>
      <x:c r="E3556" s="115" t="n">
        <x:v>1</x:v>
      </x:c>
      <x:c r="F3556" s="115" t="str">
        <x:v>Inspection physique</x:v>
      </x:c>
      <x:c r="G3556" s="115" t="str">
        <x:v>1 niveaux ; 36 pièces ; 265 segments de mur ; 0 transitions. Inspection physique ; architecture complète encore ouverte.</x:v>
      </x:c>
      <x:c r="H3556" s="115" t="str">
        <x:v>L 1100 ; l 1300 ; hauteur 14 m ; choix de composition auteur ; dimensions réelles à documenter</x:v>
      </x:c>
      <x:c r="I3556" s="115" t="str">
        <x:v>À équilibrer</x:v>
      </x:c>
      <x:c r="J3556" s="115" t="str">
        <x:v>Non</x:v>
      </x:c>
      <x:c r="K3556" s="115" t="str">
        <x:v>Pièces décrites, murs, portes, niveaux et mobilier inspectables à l’échelle. Volumes réservés, raccord au seed, butin, rencontres et services de campagne restent à terminer.</x:v>
      </x:c>
    </x:row>
    <x:row r="3557" ht="96" customHeight="1">
      <x:c r="A3557" s="115" t="str">
        <x:v>EXT-MONDE-T072-V02</x:v>
      </x:c>
      <x:c r="B3557" s="115" t="str">
        <x:v>EXT-MONDE-T072</x:v>
      </x:c>
      <x:c r="C3557" s="115" t="str">
        <x:v>Aéroports</x:v>
      </x:c>
      <x:c r="D3557" s="115" t="str">
        <x:v>Aérodrome insulaire</x:v>
      </x:c>
      <x:c r="E3557" s="115" t="n">
        <x:v>2</x:v>
      </x:c>
      <x:c r="F3557" s="115" t="str">
        <x:v>Inspection physique</x:v>
      </x:c>
      <x:c r="G3557" s="115" t="str">
        <x:v>1 niveaux ; 36 pièces ; 265 segments de mur ; 0 transitions. Inspection physique ; architecture complète encore ouverte.</x:v>
      </x:c>
      <x:c r="H3557" s="115" t="str">
        <x:v>L 1100 ; l 1300 ; hauteur 14 m ; choix de composition auteur ; dimensions réelles à documenter</x:v>
      </x:c>
      <x:c r="I3557" s="115" t="str">
        <x:v>À équilibrer</x:v>
      </x:c>
      <x:c r="J3557" s="115" t="str">
        <x:v>Non</x:v>
      </x:c>
      <x:c r="K3557" s="115" t="str">
        <x:v>Pièces décrites, murs, portes, niveaux et mobilier inspectables à l’échelle. Volumes réservés, raccord au seed, butin, rencontres et services de campagne restent à terminer.</x:v>
      </x:c>
    </x:row>
    <x:row r="3558" ht="96" customHeight="1">
      <x:c r="A3558" s="115" t="str">
        <x:v>EXT-MONDE-T072-V03</x:v>
      </x:c>
      <x:c r="B3558" s="115" t="str">
        <x:v>EXT-MONDE-T072</x:v>
      </x:c>
      <x:c r="C3558" s="115" t="str">
        <x:v>Aéroports</x:v>
      </x:c>
      <x:c r="D3558" s="115" t="str">
        <x:v>Aérodrome insulaire</x:v>
      </x:c>
      <x:c r="E3558" s="115" t="n">
        <x:v>3</x:v>
      </x:c>
      <x:c r="F3558" s="115" t="str">
        <x:v>Inspection physique</x:v>
      </x:c>
      <x:c r="G3558" s="115" t="str">
        <x:v>1 niveaux ; 36 pièces ; 265 segments de mur ; 0 transitions. Inspection physique ; architecture complète encore ouverte.</x:v>
      </x:c>
      <x:c r="H3558" s="115" t="str">
        <x:v>L 1100 ; l 1300 ; hauteur 14 m ; choix de composition auteur ; dimensions réelles à documenter</x:v>
      </x:c>
      <x:c r="I3558" s="115" t="str">
        <x:v>À équilibrer</x:v>
      </x:c>
      <x:c r="J3558" s="115" t="str">
        <x:v>Non</x:v>
      </x:c>
      <x:c r="K3558" s="115" t="str">
        <x:v>Pièces décrites, murs, portes, niveaux et mobilier inspectables à l’échelle. Volumes réservés, raccord au seed, butin, rencontres et services de campagne restent à terminer.</x:v>
      </x:c>
    </x:row>
    <x:row r="3559" ht="96" customHeight="1">
      <x:c r="A3559" s="115" t="str">
        <x:v>EXT-MONDE-T072-V04</x:v>
      </x:c>
      <x:c r="B3559" s="115" t="str">
        <x:v>EXT-MONDE-T072</x:v>
      </x:c>
      <x:c r="C3559" s="115" t="str">
        <x:v>Aéroports</x:v>
      </x:c>
      <x:c r="D3559" s="115" t="str">
        <x:v>Aérodrome insulaire</x:v>
      </x:c>
      <x:c r="E3559" s="115" t="n">
        <x:v>4</x:v>
      </x:c>
      <x:c r="F3559" s="115" t="str">
        <x:v>Inspection physique</x:v>
      </x:c>
      <x:c r="G3559" s="115" t="str">
        <x:v>1 niveaux ; 36 pièces ; 265 segments de mur ; 0 transitions. Inspection physique ; architecture complète encore ouverte.</x:v>
      </x:c>
      <x:c r="H3559" s="115" t="str">
        <x:v>L 1100 ; l 1300 ; hauteur 14 m ; choix de composition auteur ; dimensions réelles à documenter</x:v>
      </x:c>
      <x:c r="I3559" s="115" t="str">
        <x:v>À équilibrer</x:v>
      </x:c>
      <x:c r="J3559" s="115" t="str">
        <x:v>Non</x:v>
      </x:c>
      <x:c r="K3559" s="115" t="str">
        <x:v>Pièces décrites, murs, portes, niveaux et mobilier inspectables à l’échelle. Volumes réservés, raccord au seed, butin, rencontres et services de campagne restent à terminer.</x:v>
      </x:c>
    </x:row>
    <x:row r="3560" ht="96" customHeight="1">
      <x:c r="A3560" s="115" t="str">
        <x:v>EXT-MONDE-T072-V05</x:v>
      </x:c>
      <x:c r="B3560" s="115" t="str">
        <x:v>EXT-MONDE-T072</x:v>
      </x:c>
      <x:c r="C3560" s="115" t="str">
        <x:v>Aéroports</x:v>
      </x:c>
      <x:c r="D3560" s="115" t="str">
        <x:v>Aérodrome insulaire</x:v>
      </x:c>
      <x:c r="E3560" s="115" t="n">
        <x:v>5</x:v>
      </x:c>
      <x:c r="F3560" s="115" t="str">
        <x:v>Inspection physique</x:v>
      </x:c>
      <x:c r="G3560" s="115" t="str">
        <x:v>1 niveaux ; 36 pièces ; 265 segments de mur ; 0 transitions. Inspection physique ; architecture complète encore ouverte.</x:v>
      </x:c>
      <x:c r="H3560" s="115" t="str">
        <x:v>L 1100 ; l 1300 ; hauteur 14 m ; choix de composition auteur ; dimensions réelles à documenter</x:v>
      </x:c>
      <x:c r="I3560" s="115" t="str">
        <x:v>À équilibrer</x:v>
      </x:c>
      <x:c r="J3560" s="115" t="str">
        <x:v>Non</x:v>
      </x:c>
      <x:c r="K3560" s="115" t="str">
        <x:v>Pièces décrites, murs, portes, niveaux et mobilier inspectables à l’échelle. Volumes réservés, raccord au seed, butin, rencontres et services de campagne restent à terminer.</x:v>
      </x:c>
    </x:row>
    <x:row r="3561" ht="96" customHeight="1">
      <x:c r="A3561" s="115" t="str">
        <x:v>EXT-MONDE-T072-V06</x:v>
      </x:c>
      <x:c r="B3561" s="115" t="str">
        <x:v>EXT-MONDE-T072</x:v>
      </x:c>
      <x:c r="C3561" s="115" t="str">
        <x:v>Aéroports</x:v>
      </x:c>
      <x:c r="D3561" s="115" t="str">
        <x:v>Aérodrome insulaire</x:v>
      </x:c>
      <x:c r="E3561" s="115" t="n">
        <x:v>6</x:v>
      </x:c>
      <x:c r="F3561" s="115" t="str">
        <x:v>Inspection physique</x:v>
      </x:c>
      <x:c r="G3561" s="115" t="str">
        <x:v>1 niveaux ; 36 pièces ; 265 segments de mur ; 0 transitions. Inspection physique ; architecture complète encore ouverte.</x:v>
      </x:c>
      <x:c r="H3561" s="115" t="str">
        <x:v>L 1100 ; l 1300 ; hauteur 14 m ; choix de composition auteur ; dimensions réelles à documenter</x:v>
      </x:c>
      <x:c r="I3561" s="115" t="str">
        <x:v>À équilibrer</x:v>
      </x:c>
      <x:c r="J3561" s="115" t="str">
        <x:v>Non</x:v>
      </x:c>
      <x:c r="K3561" s="115" t="str">
        <x:v>Pièces décrites, murs, portes, niveaux et mobilier inspectables à l’échelle. Volumes réservés, raccord au seed, butin, rencontres et services de campagne restent à terminer.</x:v>
      </x:c>
    </x:row>
    <x:row r="3562" ht="96" customHeight="1">
      <x:c r="A3562" s="115" t="str">
        <x:v>EXT-MONDE-T072-V07</x:v>
      </x:c>
      <x:c r="B3562" s="115" t="str">
        <x:v>EXT-MONDE-T072</x:v>
      </x:c>
      <x:c r="C3562" s="115" t="str">
        <x:v>Aéroports</x:v>
      </x:c>
      <x:c r="D3562" s="115" t="str">
        <x:v>Aérodrome insulaire</x:v>
      </x:c>
      <x:c r="E3562" s="115" t="n">
        <x:v>7</x:v>
      </x:c>
      <x:c r="F3562" s="115" t="str">
        <x:v>Inspection physique</x:v>
      </x:c>
      <x:c r="G3562" s="115" t="str">
        <x:v>1 niveaux ; 36 pièces ; 265 segments de mur ; 0 transitions. Inspection physique ; architecture complète encore ouverte.</x:v>
      </x:c>
      <x:c r="H3562" s="115" t="str">
        <x:v>L 1100 ; l 1300 ; hauteur 14 m ; choix de composition auteur ; dimensions réelles à documenter</x:v>
      </x:c>
      <x:c r="I3562" s="115" t="str">
        <x:v>À équilibrer</x:v>
      </x:c>
      <x:c r="J3562" s="115" t="str">
        <x:v>Non</x:v>
      </x:c>
      <x:c r="K3562" s="115" t="str">
        <x:v>Pièces décrites, murs, portes, niveaux et mobilier inspectables à l’échelle. Volumes réservés, raccord au seed, butin, rencontres et services de campagne restent à terminer.</x:v>
      </x:c>
    </x:row>
    <x:row r="3563" ht="96" customHeight="1">
      <x:c r="A3563" s="115" t="str">
        <x:v>EXT-MONDE-T072-V08</x:v>
      </x:c>
      <x:c r="B3563" s="115" t="str">
        <x:v>EXT-MONDE-T072</x:v>
      </x:c>
      <x:c r="C3563" s="115" t="str">
        <x:v>Aéroports</x:v>
      </x:c>
      <x:c r="D3563" s="115" t="str">
        <x:v>Aérodrome insulaire</x:v>
      </x:c>
      <x:c r="E3563" s="115" t="n">
        <x:v>8</x:v>
      </x:c>
      <x:c r="F3563" s="115" t="str">
        <x:v>Inspection physique</x:v>
      </x:c>
      <x:c r="G3563" s="115" t="str">
        <x:v>1 niveaux ; 36 pièces ; 265 segments de mur ; 0 transitions. Inspection physique ; architecture complète encore ouverte.</x:v>
      </x:c>
      <x:c r="H3563" s="115" t="str">
        <x:v>L 1100 ; l 1300 ; hauteur 14 m ; choix de composition auteur ; dimensions réelles à documenter</x:v>
      </x:c>
      <x:c r="I3563" s="115" t="str">
        <x:v>À équilibrer</x:v>
      </x:c>
      <x:c r="J3563" s="115" t="str">
        <x:v>Non</x:v>
      </x:c>
      <x:c r="K3563" s="115" t="str">
        <x:v>Pièces décrites, murs, portes, niveaux et mobilier inspectables à l’échelle. Volumes réservés, raccord au seed, butin, rencontres et services de campagne restent à terminer.</x:v>
      </x:c>
    </x:row>
    <x:row r="3564" ht="96" customHeight="1">
      <x:c r="A3564" s="115" t="str">
        <x:v>EXT-MONDE-T072-V09</x:v>
      </x:c>
      <x:c r="B3564" s="115" t="str">
        <x:v>EXT-MONDE-T072</x:v>
      </x:c>
      <x:c r="C3564" s="115" t="str">
        <x:v>Aéroports</x:v>
      </x:c>
      <x:c r="D3564" s="115" t="str">
        <x:v>Aérodrome insulaire</x:v>
      </x:c>
      <x:c r="E3564" s="115" t="n">
        <x:v>9</x:v>
      </x:c>
      <x:c r="F3564" s="115" t="str">
        <x:v>Inspection physique</x:v>
      </x:c>
      <x:c r="G3564" s="115" t="str">
        <x:v>1 niveaux ; 36 pièces ; 265 segments de mur ; 0 transitions. Inspection physique ; architecture complète encore ouverte.</x:v>
      </x:c>
      <x:c r="H3564" s="115" t="str">
        <x:v>L 1100 ; l 1300 ; hauteur 14 m ; choix de composition auteur ; dimensions réelles à documenter</x:v>
      </x:c>
      <x:c r="I3564" s="115" t="str">
        <x:v>À équilibrer</x:v>
      </x:c>
      <x:c r="J3564" s="115" t="str">
        <x:v>Non</x:v>
      </x:c>
      <x:c r="K3564" s="115" t="str">
        <x:v>Pièces décrites, murs, portes, niveaux et mobilier inspectables à l’échelle. Volumes réservés, raccord au seed, butin, rencontres et services de campagne restent à terminer.</x:v>
      </x:c>
    </x:row>
    <x:row r="3565" ht="96" customHeight="1">
      <x:c r="A3565" s="115" t="str">
        <x:v>EXT-MONDE-T072-V10</x:v>
      </x:c>
      <x:c r="B3565" s="115" t="str">
        <x:v>EXT-MONDE-T072</x:v>
      </x:c>
      <x:c r="C3565" s="115" t="str">
        <x:v>Aéroports</x:v>
      </x:c>
      <x:c r="D3565" s="115" t="str">
        <x:v>Aérodrome insulaire</x:v>
      </x:c>
      <x:c r="E3565" s="115" t="n">
        <x:v>10</x:v>
      </x:c>
      <x:c r="F3565" s="115" t="str">
        <x:v>Inspection physique</x:v>
      </x:c>
      <x:c r="G3565" s="115" t="str">
        <x:v>1 niveaux ; 36 pièces ; 265 segments de mur ; 0 transitions. Inspection physique ; architecture complète encore ouverte.</x:v>
      </x:c>
      <x:c r="H3565" s="115" t="str">
        <x:v>L 1100 ; l 1300 ; hauteur 14 m ; choix de composition auteur ; dimensions réelles à documenter</x:v>
      </x:c>
      <x:c r="I3565" s="115" t="str">
        <x:v>À équilibrer</x:v>
      </x:c>
      <x:c r="J3565" s="115" t="str">
        <x:v>Non</x:v>
      </x:c>
      <x:c r="K3565" s="115" t="str">
        <x:v>Pièces décrites, murs, portes, niveaux et mobilier inspectables à l’échelle. Volumes réservés, raccord au seed, butin, rencontres et services de campagne restent à terminer.</x:v>
      </x:c>
    </x:row>
    <x:row r="3566" ht="96" customHeight="1">
      <x:c r="A3566" s="115" t="str">
        <x:v>EXT-MONDE-T072-V11</x:v>
      </x:c>
      <x:c r="B3566" s="115" t="str">
        <x:v>EXT-MONDE-T072</x:v>
      </x:c>
      <x:c r="C3566" s="115" t="str">
        <x:v>Aéroports</x:v>
      </x:c>
      <x:c r="D3566" s="115" t="str">
        <x:v>Aérodrome insulaire</x:v>
      </x:c>
      <x:c r="E3566" s="115" t="n">
        <x:v>11</x:v>
      </x:c>
      <x:c r="F3566" s="115" t="str">
        <x:v>Inspection physique</x:v>
      </x:c>
      <x:c r="G3566" s="115" t="str">
        <x:v>1 niveaux ; 36 pièces ; 265 segments de mur ; 0 transitions. Inspection physique ; architecture complète encore ouverte.</x:v>
      </x:c>
      <x:c r="H3566" s="115" t="str">
        <x:v>L 1100 ; l 1400 ; hauteur 16 m ; choix de composition auteur ; dimensions réelles à documenter</x:v>
      </x:c>
      <x:c r="I3566" s="115" t="str">
        <x:v>À équilibrer</x:v>
      </x:c>
      <x:c r="J3566" s="115" t="str">
        <x:v>Non</x:v>
      </x:c>
      <x:c r="K3566" s="115" t="str">
        <x:v>Pièces décrites, murs, portes, niveaux et mobilier inspectables à l’échelle. Volumes réservés, raccord au seed, butin, rencontres et services de campagne restent à terminer.</x:v>
      </x:c>
    </x:row>
    <x:row r="3567" ht="96" customHeight="1">
      <x:c r="A3567" s="115" t="str">
        <x:v>EXT-MONDE-T072-V12</x:v>
      </x:c>
      <x:c r="B3567" s="115" t="str">
        <x:v>EXT-MONDE-T072</x:v>
      </x:c>
      <x:c r="C3567" s="115" t="str">
        <x:v>Aéroports</x:v>
      </x:c>
      <x:c r="D3567" s="115" t="str">
        <x:v>Aérodrome insulaire</x:v>
      </x:c>
      <x:c r="E3567" s="115" t="n">
        <x:v>12</x:v>
      </x:c>
      <x:c r="F3567" s="115" t="str">
        <x:v>Inspection physique</x:v>
      </x:c>
      <x:c r="G3567" s="115" t="str">
        <x:v>1 niveaux ; 36 pièces ; 265 segments de mur ; 0 transitions. Inspection physique ; architecture complète encore ouverte.</x:v>
      </x:c>
      <x:c r="H3567" s="115" t="str">
        <x:v>L 1100 ; l 1400 ; hauteur 16 m ; choix de composition auteur ; dimensions réelles à documenter</x:v>
      </x:c>
      <x:c r="I3567" s="115" t="str">
        <x:v>À équilibrer</x:v>
      </x:c>
      <x:c r="J3567" s="115" t="str">
        <x:v>Non</x:v>
      </x:c>
      <x:c r="K3567" s="115" t="str">
        <x:v>Pièces décrites, murs, portes, niveaux et mobilier inspectables à l’échelle. Volumes réservés, raccord au seed, butin, rencontres et services de campagne restent à terminer.</x:v>
      </x:c>
    </x:row>
    <x:row r="3568" ht="96" customHeight="1">
      <x:c r="A3568" s="115" t="str">
        <x:v>EXT-MONDE-T072-V13</x:v>
      </x:c>
      <x:c r="B3568" s="115" t="str">
        <x:v>EXT-MONDE-T072</x:v>
      </x:c>
      <x:c r="C3568" s="115" t="str">
        <x:v>Aéroports</x:v>
      </x:c>
      <x:c r="D3568" s="115" t="str">
        <x:v>Aérodrome insulaire</x:v>
      </x:c>
      <x:c r="E3568" s="115" t="n">
        <x:v>13</x:v>
      </x:c>
      <x:c r="F3568" s="115" t="str">
        <x:v>Inspection physique</x:v>
      </x:c>
      <x:c r="G3568" s="115" t="str">
        <x:v>1 niveaux ; 36 pièces ; 265 segments de mur ; 0 transitions. Inspection physique ; architecture complète encore ouverte.</x:v>
      </x:c>
      <x:c r="H3568" s="115" t="str">
        <x:v>L 1100 ; l 1400 ; hauteur 16 m ; choix de composition auteur ; dimensions réelles à documenter</x:v>
      </x:c>
      <x:c r="I3568" s="115" t="str">
        <x:v>À équilibrer</x:v>
      </x:c>
      <x:c r="J3568" s="115" t="str">
        <x:v>Non</x:v>
      </x:c>
      <x:c r="K3568" s="115" t="str">
        <x:v>Pièces décrites, murs, portes, niveaux et mobilier inspectables à l’échelle. Volumes réservés, raccord au seed, butin, rencontres et services de campagne restent à terminer.</x:v>
      </x:c>
    </x:row>
    <x:row r="3569" ht="96" customHeight="1">
      <x:c r="A3569" s="115" t="str">
        <x:v>EXT-MONDE-T072-V14</x:v>
      </x:c>
      <x:c r="B3569" s="115" t="str">
        <x:v>EXT-MONDE-T072</x:v>
      </x:c>
      <x:c r="C3569" s="115" t="str">
        <x:v>Aéroports</x:v>
      </x:c>
      <x:c r="D3569" s="115" t="str">
        <x:v>Aérodrome insulaire</x:v>
      </x:c>
      <x:c r="E3569" s="115" t="n">
        <x:v>14</x:v>
      </x:c>
      <x:c r="F3569" s="115" t="str">
        <x:v>Inspection physique</x:v>
      </x:c>
      <x:c r="G3569" s="115" t="str">
        <x:v>1 niveaux ; 36 pièces ; 265 segments de mur ; 0 transitions. Inspection physique ; architecture complète encore ouverte.</x:v>
      </x:c>
      <x:c r="H3569" s="115" t="str">
        <x:v>L 1100 ; l 1400 ; hauteur 16 m ; choix de composition auteur ; dimensions réelles à documenter</x:v>
      </x:c>
      <x:c r="I3569" s="115" t="str">
        <x:v>À équilibrer</x:v>
      </x:c>
      <x:c r="J3569" s="115" t="str">
        <x:v>Non</x:v>
      </x:c>
      <x:c r="K3569" s="115" t="str">
        <x:v>Pièces décrites, murs, portes, niveaux et mobilier inspectables à l’échelle. Volumes réservés, raccord au seed, butin, rencontres et services de campagne restent à terminer.</x:v>
      </x:c>
    </x:row>
    <x:row r="3570" ht="96" customHeight="1">
      <x:c r="A3570" s="115" t="str">
        <x:v>EXT-MONDE-T072-V15</x:v>
      </x:c>
      <x:c r="B3570" s="115" t="str">
        <x:v>EXT-MONDE-T072</x:v>
      </x:c>
      <x:c r="C3570" s="115" t="str">
        <x:v>Aéroports</x:v>
      </x:c>
      <x:c r="D3570" s="115" t="str">
        <x:v>Aérodrome insulaire</x:v>
      </x:c>
      <x:c r="E3570" s="115" t="n">
        <x:v>15</x:v>
      </x:c>
      <x:c r="F3570" s="115" t="str">
        <x:v>Inspection physique</x:v>
      </x:c>
      <x:c r="G3570" s="115" t="str">
        <x:v>1 niveaux ; 36 pièces ; 265 segments de mur ; 0 transitions. Inspection physique ; architecture complète encore ouverte.</x:v>
      </x:c>
      <x:c r="H3570" s="115" t="str">
        <x:v>L 1100 ; l 1400 ; hauteur 16 m ; choix de composition auteur ; dimensions réelles à documenter</x:v>
      </x:c>
      <x:c r="I3570" s="115" t="str">
        <x:v>À équilibrer</x:v>
      </x:c>
      <x:c r="J3570" s="115" t="str">
        <x:v>Non</x:v>
      </x:c>
      <x:c r="K3570" s="115" t="str">
        <x:v>Pièces décrites, murs, portes, niveaux et mobilier inspectables à l’échelle. Volumes réservés, raccord au seed, butin, rencontres et services de campagne restent à terminer.</x:v>
      </x:c>
    </x:row>
    <x:row r="3571" ht="96" customHeight="1">
      <x:c r="A3571" s="115" t="str">
        <x:v>EXT-MONDE-T072-V16</x:v>
      </x:c>
      <x:c r="B3571" s="115" t="str">
        <x:v>EXT-MONDE-T072</x:v>
      </x:c>
      <x:c r="C3571" s="115" t="str">
        <x:v>Aéroports</x:v>
      </x:c>
      <x:c r="D3571" s="115" t="str">
        <x:v>Aérodrome insulaire</x:v>
      </x:c>
      <x:c r="E3571" s="115" t="n">
        <x:v>16</x:v>
      </x:c>
      <x:c r="F3571" s="115" t="str">
        <x:v>Inspection physique</x:v>
      </x:c>
      <x:c r="G3571" s="115" t="str">
        <x:v>1 niveaux ; 36 pièces ; 265 segments de mur ; 0 transitions. Inspection physique ; architecture complète encore ouverte.</x:v>
      </x:c>
      <x:c r="H3571" s="115" t="str">
        <x:v>L 1100 ; l 1400 ; hauteur 16 m ; choix de composition auteur ; dimensions réelles à documenter</x:v>
      </x:c>
      <x:c r="I3571" s="115" t="str">
        <x:v>À équilibrer</x:v>
      </x:c>
      <x:c r="J3571" s="115" t="str">
        <x:v>Non</x:v>
      </x:c>
      <x:c r="K3571" s="115" t="str">
        <x:v>Pièces décrites, murs, portes, niveaux et mobilier inspectables à l’échelle. Volumes réservés, raccord au seed, butin, rencontres et services de campagne restent à terminer.</x:v>
      </x:c>
    </x:row>
    <x:row r="3572" ht="96" customHeight="1">
      <x:c r="A3572" s="115" t="str">
        <x:v>EXT-MONDE-T072-V17</x:v>
      </x:c>
      <x:c r="B3572" s="115" t="str">
        <x:v>EXT-MONDE-T072</x:v>
      </x:c>
      <x:c r="C3572" s="115" t="str">
        <x:v>Aéroports</x:v>
      </x:c>
      <x:c r="D3572" s="115" t="str">
        <x:v>Aérodrome insulaire</x:v>
      </x:c>
      <x:c r="E3572" s="115" t="n">
        <x:v>17</x:v>
      </x:c>
      <x:c r="F3572" s="115" t="str">
        <x:v>Inspection physique</x:v>
      </x:c>
      <x:c r="G3572" s="115" t="str">
        <x:v>1 niveaux ; 36 pièces ; 265 segments de mur ; 0 transitions. Inspection physique ; architecture complète encore ouverte.</x:v>
      </x:c>
      <x:c r="H3572" s="115" t="str">
        <x:v>L 1100 ; l 1400 ; hauteur 16 m ; choix de composition auteur ; dimensions réelles à documenter</x:v>
      </x:c>
      <x:c r="I3572" s="115" t="str">
        <x:v>À équilibrer</x:v>
      </x:c>
      <x:c r="J3572" s="115" t="str">
        <x:v>Non</x:v>
      </x:c>
      <x:c r="K3572" s="115" t="str">
        <x:v>Pièces décrites, murs, portes, niveaux et mobilier inspectables à l’échelle. Volumes réservés, raccord au seed, butin, rencontres et services de campagne restent à terminer.</x:v>
      </x:c>
    </x:row>
    <x:row r="3573" ht="96" customHeight="1">
      <x:c r="A3573" s="115" t="str">
        <x:v>EXT-MONDE-T072-V18</x:v>
      </x:c>
      <x:c r="B3573" s="115" t="str">
        <x:v>EXT-MONDE-T072</x:v>
      </x:c>
      <x:c r="C3573" s="115" t="str">
        <x:v>Aéroports</x:v>
      </x:c>
      <x:c r="D3573" s="115" t="str">
        <x:v>Aérodrome insulaire</x:v>
      </x:c>
      <x:c r="E3573" s="115" t="n">
        <x:v>18</x:v>
      </x:c>
      <x:c r="F3573" s="115" t="str">
        <x:v>Inspection physique</x:v>
      </x:c>
      <x:c r="G3573" s="115" t="str">
        <x:v>1 niveaux ; 36 pièces ; 265 segments de mur ; 0 transitions. Inspection physique ; architecture complète encore ouverte.</x:v>
      </x:c>
      <x:c r="H3573" s="115" t="str">
        <x:v>L 1100 ; l 1400 ; hauteur 16 m ; choix de composition auteur ; dimensions réelles à documenter</x:v>
      </x:c>
      <x:c r="I3573" s="115" t="str">
        <x:v>À équilibrer</x:v>
      </x:c>
      <x:c r="J3573" s="115" t="str">
        <x:v>Non</x:v>
      </x:c>
      <x:c r="K3573" s="115" t="str">
        <x:v>Pièces décrites, murs, portes, niveaux et mobilier inspectables à l’échelle. Volumes réservés, raccord au seed, butin, rencontres et services de campagne restent à terminer.</x:v>
      </x:c>
    </x:row>
    <x:row r="3574" ht="96" customHeight="1">
      <x:c r="A3574" s="115" t="str">
        <x:v>EXT-MONDE-T072-V19</x:v>
      </x:c>
      <x:c r="B3574" s="115" t="str">
        <x:v>EXT-MONDE-T072</x:v>
      </x:c>
      <x:c r="C3574" s="115" t="str">
        <x:v>Aéroports</x:v>
      </x:c>
      <x:c r="D3574" s="115" t="str">
        <x:v>Aérodrome insulaire</x:v>
      </x:c>
      <x:c r="E3574" s="115" t="n">
        <x:v>19</x:v>
      </x:c>
      <x:c r="F3574" s="115" t="str">
        <x:v>Inspection physique</x:v>
      </x:c>
      <x:c r="G3574" s="115" t="str">
        <x:v>1 niveaux ; 36 pièces ; 265 segments de mur ; 0 transitions. Inspection physique ; architecture complète encore ouverte.</x:v>
      </x:c>
      <x:c r="H3574" s="115" t="str">
        <x:v>L 1100 ; l 1400 ; hauteur 16 m ; choix de composition auteur ; dimensions réelles à documenter</x:v>
      </x:c>
      <x:c r="I3574" s="115" t="str">
        <x:v>À équilibrer</x:v>
      </x:c>
      <x:c r="J3574" s="115" t="str">
        <x:v>Non</x:v>
      </x:c>
      <x:c r="K3574" s="115" t="str">
        <x:v>Pièces décrites, murs, portes, niveaux et mobilier inspectables à l’échelle. Volumes réservés, raccord au seed, butin, rencontres et services de campagne restent à terminer.</x:v>
      </x:c>
    </x:row>
    <x:row r="3575" ht="96" customHeight="1">
      <x:c r="A3575" s="115" t="str">
        <x:v>EXT-MONDE-T072-V20</x:v>
      </x:c>
      <x:c r="B3575" s="115" t="str">
        <x:v>EXT-MONDE-T072</x:v>
      </x:c>
      <x:c r="C3575" s="115" t="str">
        <x:v>Aéroports</x:v>
      </x:c>
      <x:c r="D3575" s="115" t="str">
        <x:v>Aérodrome insulaire</x:v>
      </x:c>
      <x:c r="E3575" s="115" t="n">
        <x:v>20</x:v>
      </x:c>
      <x:c r="F3575" s="115" t="str">
        <x:v>Inspection physique</x:v>
      </x:c>
      <x:c r="G3575" s="115" t="str">
        <x:v>1 niveaux ; 36 pièces ; 265 segments de mur ; 0 transitions. Inspection physique ; architecture complète encore ouverte.</x:v>
      </x:c>
      <x:c r="H3575" s="115" t="str">
        <x:v>L 1100 ; l 1400 ; hauteur 16 m ; choix de composition auteur ; dimensions réelles à documenter</x:v>
      </x:c>
      <x:c r="I3575" s="115" t="str">
        <x:v>À équilibrer</x:v>
      </x:c>
      <x:c r="J3575" s="115" t="str">
        <x:v>Non</x:v>
      </x:c>
      <x:c r="K3575" s="115" t="str">
        <x:v>Pièces décrites, murs, portes, niveaux et mobilier inspectables à l’échelle. Volumes réservés, raccord au seed, butin, rencontres et services de campagne restent à terminer.</x:v>
      </x:c>
    </x:row>
    <x:row r="3576" ht="96" customHeight="1">
      <x:c r="A3576" s="115" t="str">
        <x:v>EXT-MONDE-T072-V21</x:v>
      </x:c>
      <x:c r="B3576" s="115" t="str">
        <x:v>EXT-MONDE-T072</x:v>
      </x:c>
      <x:c r="C3576" s="115" t="str">
        <x:v>Aéroports</x:v>
      </x:c>
      <x:c r="D3576" s="115" t="str">
        <x:v>Aérodrome insulaire</x:v>
      </x:c>
      <x:c r="E3576" s="115" t="n">
        <x:v>21</x:v>
      </x:c>
      <x:c r="F3576" s="115" t="str">
        <x:v>Inspection physique</x:v>
      </x:c>
      <x:c r="G3576" s="115" t="str">
        <x:v>1 niveaux ; 36 pièces ; 265 segments de mur ; 0 transitions. Inspection physique ; architecture complète encore ouverte.</x:v>
      </x:c>
      <x:c r="H3576" s="115" t="str">
        <x:v>L 1100 ; l 1500 ; hauteur 18 m ; choix de composition auteur ; dimensions réelles à documenter</x:v>
      </x:c>
      <x:c r="I3576" s="115" t="str">
        <x:v>À équilibrer</x:v>
      </x:c>
      <x:c r="J3576" s="115" t="str">
        <x:v>Non</x:v>
      </x:c>
      <x:c r="K3576" s="115" t="str">
        <x:v>Pièces décrites, murs, portes, niveaux et mobilier inspectables à l’échelle. Volumes réservés, raccord au seed, butin, rencontres et services de campagne restent à terminer.</x:v>
      </x:c>
    </x:row>
    <x:row r="3577" ht="96" customHeight="1">
      <x:c r="A3577" s="115" t="str">
        <x:v>EXT-MONDE-T072-V22</x:v>
      </x:c>
      <x:c r="B3577" s="115" t="str">
        <x:v>EXT-MONDE-T072</x:v>
      </x:c>
      <x:c r="C3577" s="115" t="str">
        <x:v>Aéroports</x:v>
      </x:c>
      <x:c r="D3577" s="115" t="str">
        <x:v>Aérodrome insulaire</x:v>
      </x:c>
      <x:c r="E3577" s="115" t="n">
        <x:v>22</x:v>
      </x:c>
      <x:c r="F3577" s="115" t="str">
        <x:v>Inspection physique</x:v>
      </x:c>
      <x:c r="G3577" s="115" t="str">
        <x:v>1 niveaux ; 36 pièces ; 265 segments de mur ; 0 transitions. Inspection physique ; architecture complète encore ouverte.</x:v>
      </x:c>
      <x:c r="H3577" s="115" t="str">
        <x:v>L 1100 ; l 1500 ; hauteur 18 m ; choix de composition auteur ; dimensions réelles à documenter</x:v>
      </x:c>
      <x:c r="I3577" s="115" t="str">
        <x:v>À équilibrer</x:v>
      </x:c>
      <x:c r="J3577" s="115" t="str">
        <x:v>Non</x:v>
      </x:c>
      <x:c r="K3577" s="115" t="str">
        <x:v>Pièces décrites, murs, portes, niveaux et mobilier inspectables à l’échelle. Volumes réservés, raccord au seed, butin, rencontres et services de campagne restent à terminer.</x:v>
      </x:c>
    </x:row>
    <x:row r="3578" ht="96" customHeight="1">
      <x:c r="A3578" s="115" t="str">
        <x:v>EXT-MONDE-T072-V23</x:v>
      </x:c>
      <x:c r="B3578" s="115" t="str">
        <x:v>EXT-MONDE-T072</x:v>
      </x:c>
      <x:c r="C3578" s="115" t="str">
        <x:v>Aéroports</x:v>
      </x:c>
      <x:c r="D3578" s="115" t="str">
        <x:v>Aérodrome insulaire</x:v>
      </x:c>
      <x:c r="E3578" s="115" t="n">
        <x:v>23</x:v>
      </x:c>
      <x:c r="F3578" s="115" t="str">
        <x:v>Inspection physique</x:v>
      </x:c>
      <x:c r="G3578" s="115" t="str">
        <x:v>1 niveaux ; 36 pièces ; 265 segments de mur ; 0 transitions. Inspection physique ; architecture complète encore ouverte.</x:v>
      </x:c>
      <x:c r="H3578" s="115" t="str">
        <x:v>L 1100 ; l 1500 ; hauteur 18 m ; choix de composition auteur ; dimensions réelles à documenter</x:v>
      </x:c>
      <x:c r="I3578" s="115" t="str">
        <x:v>À équilibrer</x:v>
      </x:c>
      <x:c r="J3578" s="115" t="str">
        <x:v>Non</x:v>
      </x:c>
      <x:c r="K3578" s="115" t="str">
        <x:v>Pièces décrites, murs, portes, niveaux et mobilier inspectables à l’échelle. Volumes réservés, raccord au seed, butin, rencontres et services de campagne restent à terminer.</x:v>
      </x:c>
    </x:row>
    <x:row r="3579" ht="96" customHeight="1">
      <x:c r="A3579" s="115" t="str">
        <x:v>EXT-MONDE-T072-V24</x:v>
      </x:c>
      <x:c r="B3579" s="115" t="str">
        <x:v>EXT-MONDE-T072</x:v>
      </x:c>
      <x:c r="C3579" s="115" t="str">
        <x:v>Aéroports</x:v>
      </x:c>
      <x:c r="D3579" s="115" t="str">
        <x:v>Aérodrome insulaire</x:v>
      </x:c>
      <x:c r="E3579" s="115" t="n">
        <x:v>24</x:v>
      </x:c>
      <x:c r="F3579" s="115" t="str">
        <x:v>Inspection physique</x:v>
      </x:c>
      <x:c r="G3579" s="115" t="str">
        <x:v>1 niveaux ; 36 pièces ; 265 segments de mur ; 0 transitions. Inspection physique ; architecture complète encore ouverte.</x:v>
      </x:c>
      <x:c r="H3579" s="115" t="str">
        <x:v>L 1100 ; l 1500 ; hauteur 18 m ; choix de composition auteur ; dimensions réelles à documenter</x:v>
      </x:c>
      <x:c r="I3579" s="115" t="str">
        <x:v>À équilibrer</x:v>
      </x:c>
      <x:c r="J3579" s="115" t="str">
        <x:v>Non</x:v>
      </x:c>
      <x:c r="K3579" s="115" t="str">
        <x:v>Pièces décrites, murs, portes, niveaux et mobilier inspectables à l’échelle. Volumes réservés, raccord au seed, butin, rencontres et services de campagne restent à terminer.</x:v>
      </x:c>
    </x:row>
    <x:row r="3580" ht="96" customHeight="1">
      <x:c r="A3580" s="115" t="str">
        <x:v>EXT-MONDE-T072-V25</x:v>
      </x:c>
      <x:c r="B3580" s="115" t="str">
        <x:v>EXT-MONDE-T072</x:v>
      </x:c>
      <x:c r="C3580" s="115" t="str">
        <x:v>Aéroports</x:v>
      </x:c>
      <x:c r="D3580" s="115" t="str">
        <x:v>Aérodrome insulaire</x:v>
      </x:c>
      <x:c r="E3580" s="115" t="n">
        <x:v>25</x:v>
      </x:c>
      <x:c r="F3580" s="115" t="str">
        <x:v>Inspection physique</x:v>
      </x:c>
      <x:c r="G3580" s="115" t="str">
        <x:v>1 niveaux ; 36 pièces ; 265 segments de mur ; 0 transitions. Inspection physique ; architecture complète encore ouverte.</x:v>
      </x:c>
      <x:c r="H3580" s="115" t="str">
        <x:v>L 1100 ; l 1500 ; hauteur 18 m ; choix de composition auteur ; dimensions réelles à documenter</x:v>
      </x:c>
      <x:c r="I3580" s="115" t="str">
        <x:v>À équilibrer</x:v>
      </x:c>
      <x:c r="J3580" s="115" t="str">
        <x:v>Non</x:v>
      </x:c>
      <x:c r="K3580" s="115" t="str">
        <x:v>Pièces décrites, murs, portes, niveaux et mobilier inspectables à l’échelle. Volumes réservés, raccord au seed, butin, rencontres et services de campagne restent à terminer.</x:v>
      </x:c>
    </x:row>
    <x:row r="3581" ht="96" customHeight="1">
      <x:c r="A3581" s="115" t="str">
        <x:v>EXT-MONDE-T072-V26</x:v>
      </x:c>
      <x:c r="B3581" s="115" t="str">
        <x:v>EXT-MONDE-T072</x:v>
      </x:c>
      <x:c r="C3581" s="115" t="str">
        <x:v>Aéroports</x:v>
      </x:c>
      <x:c r="D3581" s="115" t="str">
        <x:v>Aérodrome insulaire</x:v>
      </x:c>
      <x:c r="E3581" s="115" t="n">
        <x:v>26</x:v>
      </x:c>
      <x:c r="F3581" s="115" t="str">
        <x:v>Inspection physique</x:v>
      </x:c>
      <x:c r="G3581" s="115" t="str">
        <x:v>1 niveaux ; 36 pièces ; 265 segments de mur ; 0 transitions. Inspection physique ; architecture complète encore ouverte.</x:v>
      </x:c>
      <x:c r="H3581" s="115" t="str">
        <x:v>L 1100 ; l 1500 ; hauteur 18 m ; choix de composition auteur ; dimensions réelles à documenter</x:v>
      </x:c>
      <x:c r="I3581" s="115" t="str">
        <x:v>À équilibrer</x:v>
      </x:c>
      <x:c r="J3581" s="115" t="str">
        <x:v>Non</x:v>
      </x:c>
      <x:c r="K3581" s="115" t="str">
        <x:v>Pièces décrites, murs, portes, niveaux et mobilier inspectables à l’échelle. Volumes réservés, raccord au seed, butin, rencontres et services de campagne restent à terminer.</x:v>
      </x:c>
    </x:row>
    <x:row r="3582" ht="96" customHeight="1">
      <x:c r="A3582" s="115" t="str">
        <x:v>EXT-MONDE-T072-V27</x:v>
      </x:c>
      <x:c r="B3582" s="115" t="str">
        <x:v>EXT-MONDE-T072</x:v>
      </x:c>
      <x:c r="C3582" s="115" t="str">
        <x:v>Aéroports</x:v>
      </x:c>
      <x:c r="D3582" s="115" t="str">
        <x:v>Aérodrome insulaire</x:v>
      </x:c>
      <x:c r="E3582" s="115" t="n">
        <x:v>27</x:v>
      </x:c>
      <x:c r="F3582" s="115" t="str">
        <x:v>Inspection physique</x:v>
      </x:c>
      <x:c r="G3582" s="115" t="str">
        <x:v>1 niveaux ; 36 pièces ; 265 segments de mur ; 0 transitions. Inspection physique ; architecture complète encore ouverte.</x:v>
      </x:c>
      <x:c r="H3582" s="115" t="str">
        <x:v>L 1100 ; l 1500 ; hauteur 18 m ; choix de composition auteur ; dimensions réelles à documenter</x:v>
      </x:c>
      <x:c r="I3582" s="115" t="str">
        <x:v>À équilibrer</x:v>
      </x:c>
      <x:c r="J3582" s="115" t="str">
        <x:v>Non</x:v>
      </x:c>
      <x:c r="K3582" s="115" t="str">
        <x:v>Pièces décrites, murs, portes, niveaux et mobilier inspectables à l’échelle. Volumes réservés, raccord au seed, butin, rencontres et services de campagne restent à terminer.</x:v>
      </x:c>
    </x:row>
    <x:row r="3583" ht="96" customHeight="1">
      <x:c r="A3583" s="115" t="str">
        <x:v>EXT-MONDE-T072-V28</x:v>
      </x:c>
      <x:c r="B3583" s="115" t="str">
        <x:v>EXT-MONDE-T072</x:v>
      </x:c>
      <x:c r="C3583" s="115" t="str">
        <x:v>Aéroports</x:v>
      </x:c>
      <x:c r="D3583" s="115" t="str">
        <x:v>Aérodrome insulaire</x:v>
      </x:c>
      <x:c r="E3583" s="115" t="n">
        <x:v>28</x:v>
      </x:c>
      <x:c r="F3583" s="115" t="str">
        <x:v>Inspection physique</x:v>
      </x:c>
      <x:c r="G3583" s="115" t="str">
        <x:v>1 niveaux ; 36 pièces ; 265 segments de mur ; 0 transitions. Inspection physique ; architecture complète encore ouverte.</x:v>
      </x:c>
      <x:c r="H3583" s="115" t="str">
        <x:v>L 1100 ; l 1500 ; hauteur 18 m ; choix de composition auteur ; dimensions réelles à documenter</x:v>
      </x:c>
      <x:c r="I3583" s="115" t="str">
        <x:v>À équilibrer</x:v>
      </x:c>
      <x:c r="J3583" s="115" t="str">
        <x:v>Non</x:v>
      </x:c>
      <x:c r="K3583" s="115" t="str">
        <x:v>Pièces décrites, murs, portes, niveaux et mobilier inspectables à l’échelle. Volumes réservés, raccord au seed, butin, rencontres et services de campagne restent à terminer.</x:v>
      </x:c>
    </x:row>
    <x:row r="3584" ht="96" customHeight="1">
      <x:c r="A3584" s="115" t="str">
        <x:v>EXT-MONDE-T072-V29</x:v>
      </x:c>
      <x:c r="B3584" s="115" t="str">
        <x:v>EXT-MONDE-T072</x:v>
      </x:c>
      <x:c r="C3584" s="115" t="str">
        <x:v>Aéroports</x:v>
      </x:c>
      <x:c r="D3584" s="115" t="str">
        <x:v>Aérodrome insulaire</x:v>
      </x:c>
      <x:c r="E3584" s="115" t="n">
        <x:v>29</x:v>
      </x:c>
      <x:c r="F3584" s="115" t="str">
        <x:v>Inspection physique</x:v>
      </x:c>
      <x:c r="G3584" s="115" t="str">
        <x:v>1 niveaux ; 36 pièces ; 265 segments de mur ; 0 transitions. Inspection physique ; architecture complète encore ouverte.</x:v>
      </x:c>
      <x:c r="H3584" s="115" t="str">
        <x:v>L 1100 ; l 1500 ; hauteur 18 m ; choix de composition auteur ; dimensions réelles à documenter</x:v>
      </x:c>
      <x:c r="I3584" s="115" t="str">
        <x:v>À équilibrer</x:v>
      </x:c>
      <x:c r="J3584" s="115" t="str">
        <x:v>Non</x:v>
      </x:c>
      <x:c r="K3584" s="115" t="str">
        <x:v>Pièces décrites, murs, portes, niveaux et mobilier inspectables à l’échelle. Volumes réservés, raccord au seed, butin, rencontres et services de campagne restent à terminer.</x:v>
      </x:c>
    </x:row>
    <x:row r="3585" ht="96" customHeight="1">
      <x:c r="A3585" s="115" t="str">
        <x:v>EXT-MONDE-T072-V30</x:v>
      </x:c>
      <x:c r="B3585" s="115" t="str">
        <x:v>EXT-MONDE-T072</x:v>
      </x:c>
      <x:c r="C3585" s="115" t="str">
        <x:v>Aéroports</x:v>
      </x:c>
      <x:c r="D3585" s="115" t="str">
        <x:v>Aérodrome insulaire</x:v>
      </x:c>
      <x:c r="E3585" s="115" t="n">
        <x:v>30</x:v>
      </x:c>
      <x:c r="F3585" s="115" t="str">
        <x:v>Inspection physique</x:v>
      </x:c>
      <x:c r="G3585" s="115" t="str">
        <x:v>1 niveaux ; 36 pièces ; 265 segments de mur ; 0 transitions. Inspection physique ; architecture complète encore ouverte.</x:v>
      </x:c>
      <x:c r="H3585" s="115" t="str">
        <x:v>L 1100 ; l 1500 ; hauteur 18 m ; choix de composition auteur ; dimensions réelles à documenter</x:v>
      </x:c>
      <x:c r="I3585" s="115" t="str">
        <x:v>À équilibrer</x:v>
      </x:c>
      <x:c r="J3585" s="115" t="str">
        <x:v>Non</x:v>
      </x:c>
      <x:c r="K3585" s="115" t="str">
        <x:v>Pièces décrites, murs, portes, niveaux et mobilier inspectables à l’échelle. Volumes réservés, raccord au seed, butin, rencontres et services de campagne restent à terminer.</x:v>
      </x:c>
    </x:row>
    <x:row r="3586" ht="96" customHeight="1">
      <x:c r="A3586" s="115" t="str">
        <x:v>EXT-MONDE-T072-V31</x:v>
      </x:c>
      <x:c r="B3586" s="115" t="str">
        <x:v>EXT-MONDE-T072</x:v>
      </x:c>
      <x:c r="C3586" s="115" t="str">
        <x:v>Aéroports</x:v>
      </x:c>
      <x:c r="D3586" s="115" t="str">
        <x:v>Aérodrome insulaire</x:v>
      </x:c>
      <x:c r="E3586" s="115" t="n">
        <x:v>31</x:v>
      </x:c>
      <x:c r="F3586" s="115" t="str">
        <x:v>Inspection physique</x:v>
      </x:c>
      <x:c r="G3586" s="115" t="str">
        <x:v>1 niveaux ; 36 pièces ; 265 segments de mur ; 0 transitions. Inspection physique ; architecture complète encore ouverte.</x:v>
      </x:c>
      <x:c r="H3586" s="115" t="str">
        <x:v>L 1100 ; l 1600 ; hauteur 20 m ; choix de composition auteur ; dimensions réelles à documenter</x:v>
      </x:c>
      <x:c r="I3586" s="115" t="str">
        <x:v>À équilibrer</x:v>
      </x:c>
      <x:c r="J3586" s="115" t="str">
        <x:v>Non</x:v>
      </x:c>
      <x:c r="K3586" s="115" t="str">
        <x:v>Pièces décrites, murs, portes, niveaux et mobilier inspectables à l’échelle. Volumes réservés, raccord au seed, butin, rencontres et services de campagne restent à terminer.</x:v>
      </x:c>
    </x:row>
    <x:row r="3587" ht="96" customHeight="1">
      <x:c r="A3587" s="115" t="str">
        <x:v>EXT-MONDE-T072-V32</x:v>
      </x:c>
      <x:c r="B3587" s="115" t="str">
        <x:v>EXT-MONDE-T072</x:v>
      </x:c>
      <x:c r="C3587" s="115" t="str">
        <x:v>Aéroports</x:v>
      </x:c>
      <x:c r="D3587" s="115" t="str">
        <x:v>Aérodrome insulaire</x:v>
      </x:c>
      <x:c r="E3587" s="115" t="n">
        <x:v>32</x:v>
      </x:c>
      <x:c r="F3587" s="115" t="str">
        <x:v>Inspection physique</x:v>
      </x:c>
      <x:c r="G3587" s="115" t="str">
        <x:v>1 niveaux ; 36 pièces ; 265 segments de mur ; 0 transitions. Inspection physique ; architecture complète encore ouverte.</x:v>
      </x:c>
      <x:c r="H3587" s="115" t="str">
        <x:v>L 1100 ; l 1600 ; hauteur 20 m ; choix de composition auteur ; dimensions réelles à documenter</x:v>
      </x:c>
      <x:c r="I3587" s="115" t="str">
        <x:v>À équilibrer</x:v>
      </x:c>
      <x:c r="J3587" s="115" t="str">
        <x:v>Non</x:v>
      </x:c>
      <x:c r="K3587" s="115" t="str">
        <x:v>Pièces décrites, murs, portes, niveaux et mobilier inspectables à l’échelle. Volumes réservés, raccord au seed, butin, rencontres et services de campagne restent à terminer.</x:v>
      </x:c>
    </x:row>
    <x:row r="3588" ht="96" customHeight="1">
      <x:c r="A3588" s="115" t="str">
        <x:v>EXT-MONDE-T072-V33</x:v>
      </x:c>
      <x:c r="B3588" s="115" t="str">
        <x:v>EXT-MONDE-T072</x:v>
      </x:c>
      <x:c r="C3588" s="115" t="str">
        <x:v>Aéroports</x:v>
      </x:c>
      <x:c r="D3588" s="115" t="str">
        <x:v>Aérodrome insulaire</x:v>
      </x:c>
      <x:c r="E3588" s="115" t="n">
        <x:v>33</x:v>
      </x:c>
      <x:c r="F3588" s="115" t="str">
        <x:v>Inspection physique</x:v>
      </x:c>
      <x:c r="G3588" s="115" t="str">
        <x:v>1 niveaux ; 36 pièces ; 265 segments de mur ; 0 transitions. Inspection physique ; architecture complète encore ouverte.</x:v>
      </x:c>
      <x:c r="H3588" s="115" t="str">
        <x:v>L 1100 ; l 1600 ; hauteur 20 m ; choix de composition auteur ; dimensions réelles à documenter</x:v>
      </x:c>
      <x:c r="I3588" s="115" t="str">
        <x:v>À équilibrer</x:v>
      </x:c>
      <x:c r="J3588" s="115" t="str">
        <x:v>Non</x:v>
      </x:c>
      <x:c r="K3588" s="115" t="str">
        <x:v>Pièces décrites, murs, portes, niveaux et mobilier inspectables à l’échelle. Volumes réservés, raccord au seed, butin, rencontres et services de campagne restent à terminer.</x:v>
      </x:c>
    </x:row>
    <x:row r="3589" ht="96" customHeight="1">
      <x:c r="A3589" s="115" t="str">
        <x:v>EXT-MONDE-T072-V34</x:v>
      </x:c>
      <x:c r="B3589" s="115" t="str">
        <x:v>EXT-MONDE-T072</x:v>
      </x:c>
      <x:c r="C3589" s="115" t="str">
        <x:v>Aéroports</x:v>
      </x:c>
      <x:c r="D3589" s="115" t="str">
        <x:v>Aérodrome insulaire</x:v>
      </x:c>
      <x:c r="E3589" s="115" t="n">
        <x:v>34</x:v>
      </x:c>
      <x:c r="F3589" s="115" t="str">
        <x:v>Inspection physique</x:v>
      </x:c>
      <x:c r="G3589" s="115" t="str">
        <x:v>1 niveaux ; 36 pièces ; 265 segments de mur ; 0 transitions. Inspection physique ; architecture complète encore ouverte.</x:v>
      </x:c>
      <x:c r="H3589" s="115" t="str">
        <x:v>L 1100 ; l 1600 ; hauteur 20 m ; choix de composition auteur ; dimensions réelles à documenter</x:v>
      </x:c>
      <x:c r="I3589" s="115" t="str">
        <x:v>À équilibrer</x:v>
      </x:c>
      <x:c r="J3589" s="115" t="str">
        <x:v>Non</x:v>
      </x:c>
      <x:c r="K3589" s="115" t="str">
        <x:v>Pièces décrites, murs, portes, niveaux et mobilier inspectables à l’échelle. Volumes réservés, raccord au seed, butin, rencontres et services de campagne restent à terminer.</x:v>
      </x:c>
    </x:row>
    <x:row r="3590" ht="96" customHeight="1">
      <x:c r="A3590" s="115" t="str">
        <x:v>EXT-MONDE-T072-V35</x:v>
      </x:c>
      <x:c r="B3590" s="115" t="str">
        <x:v>EXT-MONDE-T072</x:v>
      </x:c>
      <x:c r="C3590" s="115" t="str">
        <x:v>Aéroports</x:v>
      </x:c>
      <x:c r="D3590" s="115" t="str">
        <x:v>Aérodrome insulaire</x:v>
      </x:c>
      <x:c r="E3590" s="115" t="n">
        <x:v>35</x:v>
      </x:c>
      <x:c r="F3590" s="115" t="str">
        <x:v>Inspection physique</x:v>
      </x:c>
      <x:c r="G3590" s="115" t="str">
        <x:v>1 niveaux ; 36 pièces ; 265 segments de mur ; 0 transitions. Inspection physique ; architecture complète encore ouverte.</x:v>
      </x:c>
      <x:c r="H3590" s="115" t="str">
        <x:v>L 1100 ; l 1600 ; hauteur 20 m ; choix de composition auteur ; dimensions réelles à documenter</x:v>
      </x:c>
      <x:c r="I3590" s="115" t="str">
        <x:v>À équilibrer</x:v>
      </x:c>
      <x:c r="J3590" s="115" t="str">
        <x:v>Non</x:v>
      </x:c>
      <x:c r="K3590" s="115" t="str">
        <x:v>Pièces décrites, murs, portes, niveaux et mobilier inspectables à l’échelle. Volumes réservés, raccord au seed, butin, rencontres et services de campagne restent à terminer.</x:v>
      </x:c>
    </x:row>
    <x:row r="3591" ht="96" customHeight="1">
      <x:c r="A3591" s="115" t="str">
        <x:v>EXT-MONDE-T072-V36</x:v>
      </x:c>
      <x:c r="B3591" s="115" t="str">
        <x:v>EXT-MONDE-T072</x:v>
      </x:c>
      <x:c r="C3591" s="115" t="str">
        <x:v>Aéroports</x:v>
      </x:c>
      <x:c r="D3591" s="115" t="str">
        <x:v>Aérodrome insulaire</x:v>
      </x:c>
      <x:c r="E3591" s="115" t="n">
        <x:v>36</x:v>
      </x:c>
      <x:c r="F3591" s="115" t="str">
        <x:v>Inspection physique</x:v>
      </x:c>
      <x:c r="G3591" s="115" t="str">
        <x:v>1 niveaux ; 36 pièces ; 265 segments de mur ; 0 transitions. Inspection physique ; architecture complète encore ouverte.</x:v>
      </x:c>
      <x:c r="H3591" s="115" t="str">
        <x:v>L 1100 ; l 1600 ; hauteur 20 m ; choix de composition auteur ; dimensions réelles à documenter</x:v>
      </x:c>
      <x:c r="I3591" s="115" t="str">
        <x:v>À équilibrer</x:v>
      </x:c>
      <x:c r="J3591" s="115" t="str">
        <x:v>Non</x:v>
      </x:c>
      <x:c r="K3591" s="115" t="str">
        <x:v>Pièces décrites, murs, portes, niveaux et mobilier inspectables à l’échelle. Volumes réservés, raccord au seed, butin, rencontres et services de campagne restent à terminer.</x:v>
      </x:c>
    </x:row>
    <x:row r="3592" ht="96" customHeight="1">
      <x:c r="A3592" s="115" t="str">
        <x:v>EXT-MONDE-T072-V37</x:v>
      </x:c>
      <x:c r="B3592" s="115" t="str">
        <x:v>EXT-MONDE-T072</x:v>
      </x:c>
      <x:c r="C3592" s="115" t="str">
        <x:v>Aéroports</x:v>
      </x:c>
      <x:c r="D3592" s="115" t="str">
        <x:v>Aérodrome insulaire</x:v>
      </x:c>
      <x:c r="E3592" s="115" t="n">
        <x:v>37</x:v>
      </x:c>
      <x:c r="F3592" s="115" t="str">
        <x:v>Inspection physique</x:v>
      </x:c>
      <x:c r="G3592" s="115" t="str">
        <x:v>1 niveaux ; 36 pièces ; 265 segments de mur ; 0 transitions. Inspection physique ; architecture complète encore ouverte.</x:v>
      </x:c>
      <x:c r="H3592" s="115" t="str">
        <x:v>L 1100 ; l 1600 ; hauteur 20 m ; choix de composition auteur ; dimensions réelles à documenter</x:v>
      </x:c>
      <x:c r="I3592" s="115" t="str">
        <x:v>À équilibrer</x:v>
      </x:c>
      <x:c r="J3592" s="115" t="str">
        <x:v>Non</x:v>
      </x:c>
      <x:c r="K3592" s="115" t="str">
        <x:v>Pièces décrites, murs, portes, niveaux et mobilier inspectables à l’échelle. Volumes réservés, raccord au seed, butin, rencontres et services de campagne restent à terminer.</x:v>
      </x:c>
    </x:row>
    <x:row r="3593" ht="96" customHeight="1">
      <x:c r="A3593" s="115" t="str">
        <x:v>EXT-MONDE-T072-V38</x:v>
      </x:c>
      <x:c r="B3593" s="115" t="str">
        <x:v>EXT-MONDE-T072</x:v>
      </x:c>
      <x:c r="C3593" s="115" t="str">
        <x:v>Aéroports</x:v>
      </x:c>
      <x:c r="D3593" s="115" t="str">
        <x:v>Aérodrome insulaire</x:v>
      </x:c>
      <x:c r="E3593" s="115" t="n">
        <x:v>38</x:v>
      </x:c>
      <x:c r="F3593" s="115" t="str">
        <x:v>Inspection physique</x:v>
      </x:c>
      <x:c r="G3593" s="115" t="str">
        <x:v>1 niveaux ; 36 pièces ; 265 segments de mur ; 0 transitions. Inspection physique ; architecture complète encore ouverte.</x:v>
      </x:c>
      <x:c r="H3593" s="115" t="str">
        <x:v>L 1100 ; l 1600 ; hauteur 20 m ; choix de composition auteur ; dimensions réelles à documenter</x:v>
      </x:c>
      <x:c r="I3593" s="115" t="str">
        <x:v>À équilibrer</x:v>
      </x:c>
      <x:c r="J3593" s="115" t="str">
        <x:v>Non</x:v>
      </x:c>
      <x:c r="K3593" s="115" t="str">
        <x:v>Pièces décrites, murs, portes, niveaux et mobilier inspectables à l’échelle. Volumes réservés, raccord au seed, butin, rencontres et services de campagne restent à terminer.</x:v>
      </x:c>
    </x:row>
    <x:row r="3594" ht="96" customHeight="1">
      <x:c r="A3594" s="115" t="str">
        <x:v>EXT-MONDE-T072-V39</x:v>
      </x:c>
      <x:c r="B3594" s="115" t="str">
        <x:v>EXT-MONDE-T072</x:v>
      </x:c>
      <x:c r="C3594" s="115" t="str">
        <x:v>Aéroports</x:v>
      </x:c>
      <x:c r="D3594" s="115" t="str">
        <x:v>Aérodrome insulaire</x:v>
      </x:c>
      <x:c r="E3594" s="115" t="n">
        <x:v>39</x:v>
      </x:c>
      <x:c r="F3594" s="115" t="str">
        <x:v>Inspection physique</x:v>
      </x:c>
      <x:c r="G3594" s="115" t="str">
        <x:v>1 niveaux ; 36 pièces ; 265 segments de mur ; 0 transitions. Inspection physique ; architecture complète encore ouverte.</x:v>
      </x:c>
      <x:c r="H3594" s="115" t="str">
        <x:v>L 1100 ; l 1600 ; hauteur 20 m ; choix de composition auteur ; dimensions réelles à documenter</x:v>
      </x:c>
      <x:c r="I3594" s="115" t="str">
        <x:v>À équilibrer</x:v>
      </x:c>
      <x:c r="J3594" s="115" t="str">
        <x:v>Non</x:v>
      </x:c>
      <x:c r="K3594" s="115" t="str">
        <x:v>Pièces décrites, murs, portes, niveaux et mobilier inspectables à l’échelle. Volumes réservés, raccord au seed, butin, rencontres et services de campagne restent à terminer.</x:v>
      </x:c>
    </x:row>
    <x:row r="3595" ht="96" customHeight="1">
      <x:c r="A3595" s="115" t="str">
        <x:v>EXT-MONDE-T072-V40</x:v>
      </x:c>
      <x:c r="B3595" s="115" t="str">
        <x:v>EXT-MONDE-T072</x:v>
      </x:c>
      <x:c r="C3595" s="115" t="str">
        <x:v>Aéroports</x:v>
      </x:c>
      <x:c r="D3595" s="115" t="str">
        <x:v>Aérodrome insulaire</x:v>
      </x:c>
      <x:c r="E3595" s="115" t="n">
        <x:v>40</x:v>
      </x:c>
      <x:c r="F3595" s="115" t="str">
        <x:v>Inspection physique</x:v>
      </x:c>
      <x:c r="G3595" s="115" t="str">
        <x:v>1 niveaux ; 36 pièces ; 265 segments de mur ; 0 transitions. Inspection physique ; architecture complète encore ouverte.</x:v>
      </x:c>
      <x:c r="H3595" s="115" t="str">
        <x:v>L 1100 ; l 1600 ; hauteur 20 m ; choix de composition auteur ; dimensions réelles à documenter</x:v>
      </x:c>
      <x:c r="I3595" s="115" t="str">
        <x:v>À équilibrer</x:v>
      </x:c>
      <x:c r="J3595" s="115" t="str">
        <x:v>Non</x:v>
      </x:c>
      <x:c r="K3595" s="115" t="str">
        <x:v>Pièces décrites, murs, portes, niveaux et mobilier inspectables à l’échelle. Volumes réservés, raccord au seed, butin, rencontres et services de campagne restent à terminer.</x:v>
      </x:c>
    </x:row>
    <x:row r="3596" ht="96" customHeight="1">
      <x:c r="A3596" s="115" t="str">
        <x:v>EXT-MONDE-T072-V41</x:v>
      </x:c>
      <x:c r="B3596" s="115" t="str">
        <x:v>EXT-MONDE-T072</x:v>
      </x:c>
      <x:c r="C3596" s="115" t="str">
        <x:v>Aéroports</x:v>
      </x:c>
      <x:c r="D3596" s="115" t="str">
        <x:v>Aérodrome insulaire</x:v>
      </x:c>
      <x:c r="E3596" s="115" t="n">
        <x:v>41</x:v>
      </x:c>
      <x:c r="F3596" s="115" t="str">
        <x:v>Inspection physique</x:v>
      </x:c>
      <x:c r="G3596" s="115" t="str">
        <x:v>1 niveaux ; 36 pièces ; 265 segments de mur ; 0 transitions. Inspection physique ; architecture complète encore ouverte.</x:v>
      </x:c>
      <x:c r="H3596" s="115" t="str">
        <x:v>L 1100 ; l 1700 ; hauteur 22 m ; choix de composition auteur ; dimensions réelles à documenter</x:v>
      </x:c>
      <x:c r="I3596" s="115" t="str">
        <x:v>À équilibrer</x:v>
      </x:c>
      <x:c r="J3596" s="115" t="str">
        <x:v>Non</x:v>
      </x:c>
      <x:c r="K3596" s="115" t="str">
        <x:v>Pièces décrites, murs, portes, niveaux et mobilier inspectables à l’échelle. Volumes réservés, raccord au seed, butin, rencontres et services de campagne restent à terminer.</x:v>
      </x:c>
    </x:row>
    <x:row r="3597" ht="96" customHeight="1">
      <x:c r="A3597" s="115" t="str">
        <x:v>EXT-MONDE-T072-V42</x:v>
      </x:c>
      <x:c r="B3597" s="115" t="str">
        <x:v>EXT-MONDE-T072</x:v>
      </x:c>
      <x:c r="C3597" s="115" t="str">
        <x:v>Aéroports</x:v>
      </x:c>
      <x:c r="D3597" s="115" t="str">
        <x:v>Aérodrome insulaire</x:v>
      </x:c>
      <x:c r="E3597" s="115" t="n">
        <x:v>42</x:v>
      </x:c>
      <x:c r="F3597" s="115" t="str">
        <x:v>Inspection physique</x:v>
      </x:c>
      <x:c r="G3597" s="115" t="str">
        <x:v>1 niveaux ; 36 pièces ; 265 segments de mur ; 0 transitions. Inspection physique ; architecture complète encore ouverte.</x:v>
      </x:c>
      <x:c r="H3597" s="115" t="str">
        <x:v>L 1100 ; l 1700 ; hauteur 22 m ; choix de composition auteur ; dimensions réelles à documenter</x:v>
      </x:c>
      <x:c r="I3597" s="115" t="str">
        <x:v>À équilibrer</x:v>
      </x:c>
      <x:c r="J3597" s="115" t="str">
        <x:v>Non</x:v>
      </x:c>
      <x:c r="K3597" s="115" t="str">
        <x:v>Pièces décrites, murs, portes, niveaux et mobilier inspectables à l’échelle. Volumes réservés, raccord au seed, butin, rencontres et services de campagne restent à terminer.</x:v>
      </x:c>
    </x:row>
    <x:row r="3598" ht="96" customHeight="1">
      <x:c r="A3598" s="115" t="str">
        <x:v>EXT-MONDE-T072-V43</x:v>
      </x:c>
      <x:c r="B3598" s="115" t="str">
        <x:v>EXT-MONDE-T072</x:v>
      </x:c>
      <x:c r="C3598" s="115" t="str">
        <x:v>Aéroports</x:v>
      </x:c>
      <x:c r="D3598" s="115" t="str">
        <x:v>Aérodrome insulaire</x:v>
      </x:c>
      <x:c r="E3598" s="115" t="n">
        <x:v>43</x:v>
      </x:c>
      <x:c r="F3598" s="115" t="str">
        <x:v>Inspection physique</x:v>
      </x:c>
      <x:c r="G3598" s="115" t="str">
        <x:v>1 niveaux ; 36 pièces ; 265 segments de mur ; 0 transitions. Inspection physique ; architecture complète encore ouverte.</x:v>
      </x:c>
      <x:c r="H3598" s="115" t="str">
        <x:v>L 1100 ; l 1700 ; hauteur 22 m ; choix de composition auteur ; dimensions réelles à documenter</x:v>
      </x:c>
      <x:c r="I3598" s="115" t="str">
        <x:v>À équilibrer</x:v>
      </x:c>
      <x:c r="J3598" s="115" t="str">
        <x:v>Non</x:v>
      </x:c>
      <x:c r="K3598" s="115" t="str">
        <x:v>Pièces décrites, murs, portes, niveaux et mobilier inspectables à l’échelle. Volumes réservés, raccord au seed, butin, rencontres et services de campagne restent à terminer.</x:v>
      </x:c>
    </x:row>
    <x:row r="3599" ht="96" customHeight="1">
      <x:c r="A3599" s="115" t="str">
        <x:v>EXT-MONDE-T072-V44</x:v>
      </x:c>
      <x:c r="B3599" s="115" t="str">
        <x:v>EXT-MONDE-T072</x:v>
      </x:c>
      <x:c r="C3599" s="115" t="str">
        <x:v>Aéroports</x:v>
      </x:c>
      <x:c r="D3599" s="115" t="str">
        <x:v>Aérodrome insulaire</x:v>
      </x:c>
      <x:c r="E3599" s="115" t="n">
        <x:v>44</x:v>
      </x:c>
      <x:c r="F3599" s="115" t="str">
        <x:v>Inspection physique</x:v>
      </x:c>
      <x:c r="G3599" s="115" t="str">
        <x:v>1 niveaux ; 36 pièces ; 265 segments de mur ; 0 transitions. Inspection physique ; architecture complète encore ouverte.</x:v>
      </x:c>
      <x:c r="H3599" s="115" t="str">
        <x:v>L 1100 ; l 1700 ; hauteur 22 m ; choix de composition auteur ; dimensions réelles à documenter</x:v>
      </x:c>
      <x:c r="I3599" s="115" t="str">
        <x:v>À équilibrer</x:v>
      </x:c>
      <x:c r="J3599" s="115" t="str">
        <x:v>Non</x:v>
      </x:c>
      <x:c r="K3599" s="115" t="str">
        <x:v>Pièces décrites, murs, portes, niveaux et mobilier inspectables à l’échelle. Volumes réservés, raccord au seed, butin, rencontres et services de campagne restent à terminer.</x:v>
      </x:c>
    </x:row>
    <x:row r="3600" ht="96" customHeight="1">
      <x:c r="A3600" s="115" t="str">
        <x:v>EXT-MONDE-T072-V45</x:v>
      </x:c>
      <x:c r="B3600" s="115" t="str">
        <x:v>EXT-MONDE-T072</x:v>
      </x:c>
      <x:c r="C3600" s="115" t="str">
        <x:v>Aéroports</x:v>
      </x:c>
      <x:c r="D3600" s="115" t="str">
        <x:v>Aérodrome insulaire</x:v>
      </x:c>
      <x:c r="E3600" s="115" t="n">
        <x:v>45</x:v>
      </x:c>
      <x:c r="F3600" s="115" t="str">
        <x:v>Inspection physique</x:v>
      </x:c>
      <x:c r="G3600" s="115" t="str">
        <x:v>1 niveaux ; 36 pièces ; 265 segments de mur ; 0 transitions. Inspection physique ; architecture complète encore ouverte.</x:v>
      </x:c>
      <x:c r="H3600" s="115" t="str">
        <x:v>L 1100 ; l 1700 ; hauteur 22 m ; choix de composition auteur ; dimensions réelles à documenter</x:v>
      </x:c>
      <x:c r="I3600" s="115" t="str">
        <x:v>À équilibrer</x:v>
      </x:c>
      <x:c r="J3600" s="115" t="str">
        <x:v>Non</x:v>
      </x:c>
      <x:c r="K3600" s="115" t="str">
        <x:v>Pièces décrites, murs, portes, niveaux et mobilier inspectables à l’échelle. Volumes réservés, raccord au seed, butin, rencontres et services de campagne restent à terminer.</x:v>
      </x:c>
    </x:row>
    <x:row r="3601" ht="96" customHeight="1">
      <x:c r="A3601" s="115" t="str">
        <x:v>EXT-MONDE-T072-V46</x:v>
      </x:c>
      <x:c r="B3601" s="115" t="str">
        <x:v>EXT-MONDE-T072</x:v>
      </x:c>
      <x:c r="C3601" s="115" t="str">
        <x:v>Aéroports</x:v>
      </x:c>
      <x:c r="D3601" s="115" t="str">
        <x:v>Aérodrome insulaire</x:v>
      </x:c>
      <x:c r="E3601" s="115" t="n">
        <x:v>46</x:v>
      </x:c>
      <x:c r="F3601" s="115" t="str">
        <x:v>Inspection physique</x:v>
      </x:c>
      <x:c r="G3601" s="115" t="str">
        <x:v>1 niveaux ; 36 pièces ; 265 segments de mur ; 0 transitions. Inspection physique ; architecture complète encore ouverte.</x:v>
      </x:c>
      <x:c r="H3601" s="115" t="str">
        <x:v>L 1100 ; l 1700 ; hauteur 22 m ; choix de composition auteur ; dimensions réelles à documenter</x:v>
      </x:c>
      <x:c r="I3601" s="115" t="str">
        <x:v>À équilibrer</x:v>
      </x:c>
      <x:c r="J3601" s="115" t="str">
        <x:v>Non</x:v>
      </x:c>
      <x:c r="K3601" s="115" t="str">
        <x:v>Pièces décrites, murs, portes, niveaux et mobilier inspectables à l’échelle. Volumes réservés, raccord au seed, butin, rencontres et services de campagne restent à terminer.</x:v>
      </x:c>
    </x:row>
    <x:row r="3602" ht="96" customHeight="1">
      <x:c r="A3602" s="115" t="str">
        <x:v>EXT-MONDE-T072-V47</x:v>
      </x:c>
      <x:c r="B3602" s="115" t="str">
        <x:v>EXT-MONDE-T072</x:v>
      </x:c>
      <x:c r="C3602" s="115" t="str">
        <x:v>Aéroports</x:v>
      </x:c>
      <x:c r="D3602" s="115" t="str">
        <x:v>Aérodrome insulaire</x:v>
      </x:c>
      <x:c r="E3602" s="115" t="n">
        <x:v>47</x:v>
      </x:c>
      <x:c r="F3602" s="115" t="str">
        <x:v>Inspection physique</x:v>
      </x:c>
      <x:c r="G3602" s="115" t="str">
        <x:v>1 niveaux ; 36 pièces ; 265 segments de mur ; 0 transitions. Inspection physique ; architecture complète encore ouverte.</x:v>
      </x:c>
      <x:c r="H3602" s="115" t="str">
        <x:v>L 1100 ; l 1700 ; hauteur 22 m ; choix de composition auteur ; dimensions réelles à documenter</x:v>
      </x:c>
      <x:c r="I3602" s="115" t="str">
        <x:v>À équilibrer</x:v>
      </x:c>
      <x:c r="J3602" s="115" t="str">
        <x:v>Non</x:v>
      </x:c>
      <x:c r="K3602" s="115" t="str">
        <x:v>Pièces décrites, murs, portes, niveaux et mobilier inspectables à l’échelle. Volumes réservés, raccord au seed, butin, rencontres et services de campagne restent à terminer.</x:v>
      </x:c>
    </x:row>
    <x:row r="3603" ht="96" customHeight="1">
      <x:c r="A3603" s="115" t="str">
        <x:v>EXT-MONDE-T072-V48</x:v>
      </x:c>
      <x:c r="B3603" s="115" t="str">
        <x:v>EXT-MONDE-T072</x:v>
      </x:c>
      <x:c r="C3603" s="115" t="str">
        <x:v>Aéroports</x:v>
      </x:c>
      <x:c r="D3603" s="115" t="str">
        <x:v>Aérodrome insulaire</x:v>
      </x:c>
      <x:c r="E3603" s="115" t="n">
        <x:v>48</x:v>
      </x:c>
      <x:c r="F3603" s="115" t="str">
        <x:v>Inspection physique</x:v>
      </x:c>
      <x:c r="G3603" s="115" t="str">
        <x:v>1 niveaux ; 36 pièces ; 265 segments de mur ; 0 transitions. Inspection physique ; architecture complète encore ouverte.</x:v>
      </x:c>
      <x:c r="H3603" s="115" t="str">
        <x:v>L 1100 ; l 1700 ; hauteur 22 m ; choix de composition auteur ; dimensions réelles à documenter</x:v>
      </x:c>
      <x:c r="I3603" s="115" t="str">
        <x:v>À équilibrer</x:v>
      </x:c>
      <x:c r="J3603" s="115" t="str">
        <x:v>Non</x:v>
      </x:c>
      <x:c r="K3603" s="115" t="str">
        <x:v>Pièces décrites, murs, portes, niveaux et mobilier inspectables à l’échelle. Volumes réservés, raccord au seed, butin, rencontres et services de campagne restent à terminer.</x:v>
      </x:c>
    </x:row>
    <x:row r="3604" ht="96" customHeight="1">
      <x:c r="A3604" s="115" t="str">
        <x:v>EXT-MONDE-T072-V49</x:v>
      </x:c>
      <x:c r="B3604" s="115" t="str">
        <x:v>EXT-MONDE-T072</x:v>
      </x:c>
      <x:c r="C3604" s="115" t="str">
        <x:v>Aéroports</x:v>
      </x:c>
      <x:c r="D3604" s="115" t="str">
        <x:v>Aérodrome insulaire</x:v>
      </x:c>
      <x:c r="E3604" s="115" t="n">
        <x:v>49</x:v>
      </x:c>
      <x:c r="F3604" s="115" t="str">
        <x:v>Inspection physique</x:v>
      </x:c>
      <x:c r="G3604" s="115" t="str">
        <x:v>1 niveaux ; 36 pièces ; 265 segments de mur ; 0 transitions. Inspection physique ; architecture complète encore ouverte.</x:v>
      </x:c>
      <x:c r="H3604" s="115" t="str">
        <x:v>L 1100 ; l 1700 ; hauteur 22 m ; choix de composition auteur ; dimensions réelles à documenter</x:v>
      </x:c>
      <x:c r="I3604" s="115" t="str">
        <x:v>À équilibrer</x:v>
      </x:c>
      <x:c r="J3604" s="115" t="str">
        <x:v>Non</x:v>
      </x:c>
      <x:c r="K3604" s="115" t="str">
        <x:v>Pièces décrites, murs, portes, niveaux et mobilier inspectables à l’échelle. Volumes réservés, raccord au seed, butin, rencontres et services de campagne restent à terminer.</x:v>
      </x:c>
    </x:row>
    <x:row r="3605" ht="96" customHeight="1">
      <x:c r="A3605" s="115" t="str">
        <x:v>EXT-MONDE-T072-V50</x:v>
      </x:c>
      <x:c r="B3605" s="115" t="str">
        <x:v>EXT-MONDE-T072</x:v>
      </x:c>
      <x:c r="C3605" s="115" t="str">
        <x:v>Aéroports</x:v>
      </x:c>
      <x:c r="D3605" s="115" t="str">
        <x:v>Aérodrome insulaire</x:v>
      </x:c>
      <x:c r="E3605" s="115" t="n">
        <x:v>50</x:v>
      </x:c>
      <x:c r="F3605" s="115" t="str">
        <x:v>Inspection physique</x:v>
      </x:c>
      <x:c r="G3605" s="115" t="str">
        <x:v>1 niveaux ; 36 pièces ; 265 segments de mur ; 0 transitions. Inspection physique ; architecture complète encore ouverte.</x:v>
      </x:c>
      <x:c r="H3605" s="115" t="str">
        <x:v>L 1100 ; l 1700 ; hauteur 22 m ; choix de composition auteur ; dimensions réelles à documenter</x:v>
      </x:c>
      <x:c r="I3605" s="115" t="str">
        <x:v>À équilibrer</x:v>
      </x:c>
      <x:c r="J3605" s="115" t="str">
        <x:v>Non</x:v>
      </x:c>
      <x:c r="K3605" s="115" t="str">
        <x:v>Pièces décrites, murs, portes, niveaux et mobilier inspectables à l’échelle. Volumes réservés, raccord au seed, butin, rencontres et services de campagne restent à terminer.</x:v>
      </x:c>
    </x:row>
    <x:row r="3606" ht="96" customHeight="1">
      <x:c r="A3606" s="115" t="str">
        <x:v>EXT-MONDE-T073-V01</x:v>
      </x:c>
      <x:c r="B3606" s="115" t="str">
        <x:v>EXT-MONDE-T073</x:v>
      </x:c>
      <x:c r="C3606" s="115" t="str">
        <x:v>Ferroviaire</x:v>
      </x:c>
      <x:c r="D3606" s="115" t="str">
        <x:v>Gare de passage</x:v>
      </x:c>
      <x:c r="E3606" s="115" t="n">
        <x:v>1</x:v>
      </x:c>
      <x:c r="F3606" s="115" t="str">
        <x:v>Inspection physique</x:v>
      </x:c>
      <x:c r="G3606" s="115" t="str">
        <x:v>1 niveaux ; 36 pièces ; 265 segments de mur ; 0 transitions. Inspection physique ; architecture complète encore ouverte.</x:v>
      </x:c>
      <x:c r="H3606" s="115" t="str">
        <x:v>L 800 ; l 1700 ; hauteur 7 m ; choix de composition auteur ; dimensions réelles à documenter</x:v>
      </x:c>
      <x:c r="I3606" s="115" t="str">
        <x:v>À équilibrer</x:v>
      </x:c>
      <x:c r="J3606" s="115" t="str">
        <x:v>Non</x:v>
      </x:c>
      <x:c r="K3606" s="115" t="str">
        <x:v>Pièces décrites, murs, portes, niveaux et mobilier inspectables à l’échelle. Volumes réservés, raccord au seed, butin, rencontres et services de campagne restent à terminer.</x:v>
      </x:c>
    </x:row>
    <x:row r="3607" ht="96" customHeight="1">
      <x:c r="A3607" s="115" t="str">
        <x:v>EXT-MONDE-T073-V02</x:v>
      </x:c>
      <x:c r="B3607" s="115" t="str">
        <x:v>EXT-MONDE-T073</x:v>
      </x:c>
      <x:c r="C3607" s="115" t="str">
        <x:v>Ferroviaire</x:v>
      </x:c>
      <x:c r="D3607" s="115" t="str">
        <x:v>Gare de passage</x:v>
      </x:c>
      <x:c r="E3607" s="115" t="n">
        <x:v>2</x:v>
      </x:c>
      <x:c r="F3607" s="115" t="str">
        <x:v>Inspection physique</x:v>
      </x:c>
      <x:c r="G3607" s="115" t="str">
        <x:v>1 niveaux ; 36 pièces ; 265 segments de mur ; 0 transitions. Inspection physique ; architecture complète encore ouverte.</x:v>
      </x:c>
      <x:c r="H3607" s="115" t="str">
        <x:v>L 800 ; l 1700 ; hauteur 7 m ; choix de composition auteur ; dimensions réelles à documenter</x:v>
      </x:c>
      <x:c r="I3607" s="115" t="str">
        <x:v>À équilibrer</x:v>
      </x:c>
      <x:c r="J3607" s="115" t="str">
        <x:v>Non</x:v>
      </x:c>
      <x:c r="K3607" s="115" t="str">
        <x:v>Pièces décrites, murs, portes, niveaux et mobilier inspectables à l’échelle. Volumes réservés, raccord au seed, butin, rencontres et services de campagne restent à terminer.</x:v>
      </x:c>
    </x:row>
    <x:row r="3608" ht="96" customHeight="1">
      <x:c r="A3608" s="115" t="str">
        <x:v>EXT-MONDE-T073-V03</x:v>
      </x:c>
      <x:c r="B3608" s="115" t="str">
        <x:v>EXT-MONDE-T073</x:v>
      </x:c>
      <x:c r="C3608" s="115" t="str">
        <x:v>Ferroviaire</x:v>
      </x:c>
      <x:c r="D3608" s="115" t="str">
        <x:v>Gare de passage</x:v>
      </x:c>
      <x:c r="E3608" s="115" t="n">
        <x:v>3</x:v>
      </x:c>
      <x:c r="F3608" s="115" t="str">
        <x:v>Inspection physique</x:v>
      </x:c>
      <x:c r="G3608" s="115" t="str">
        <x:v>1 niveaux ; 36 pièces ; 265 segments de mur ; 0 transitions. Inspection physique ; architecture complète encore ouverte.</x:v>
      </x:c>
      <x:c r="H3608" s="115" t="str">
        <x:v>L 800 ; l 1700 ; hauteur 7 m ; choix de composition auteur ; dimensions réelles à documenter</x:v>
      </x:c>
      <x:c r="I3608" s="115" t="str">
        <x:v>À équilibrer</x:v>
      </x:c>
      <x:c r="J3608" s="115" t="str">
        <x:v>Non</x:v>
      </x:c>
      <x:c r="K3608" s="115" t="str">
        <x:v>Pièces décrites, murs, portes, niveaux et mobilier inspectables à l’échelle. Volumes réservés, raccord au seed, butin, rencontres et services de campagne restent à terminer.</x:v>
      </x:c>
    </x:row>
    <x:row r="3609" ht="96" customHeight="1">
      <x:c r="A3609" s="115" t="str">
        <x:v>EXT-MONDE-T073-V04</x:v>
      </x:c>
      <x:c r="B3609" s="115" t="str">
        <x:v>EXT-MONDE-T073</x:v>
      </x:c>
      <x:c r="C3609" s="115" t="str">
        <x:v>Ferroviaire</x:v>
      </x:c>
      <x:c r="D3609" s="115" t="str">
        <x:v>Gare de passage</x:v>
      </x:c>
      <x:c r="E3609" s="115" t="n">
        <x:v>4</x:v>
      </x:c>
      <x:c r="F3609" s="115" t="str">
        <x:v>Inspection physique</x:v>
      </x:c>
      <x:c r="G3609" s="115" t="str">
        <x:v>1 niveaux ; 36 pièces ; 265 segments de mur ; 0 transitions. Inspection physique ; architecture complète encore ouverte.</x:v>
      </x:c>
      <x:c r="H3609" s="115" t="str">
        <x:v>L 800 ; l 1700 ; hauteur 7 m ; choix de composition auteur ; dimensions réelles à documenter</x:v>
      </x:c>
      <x:c r="I3609" s="115" t="str">
        <x:v>À équilibrer</x:v>
      </x:c>
      <x:c r="J3609" s="115" t="str">
        <x:v>Non</x:v>
      </x:c>
      <x:c r="K3609" s="115" t="str">
        <x:v>Pièces décrites, murs, portes, niveaux et mobilier inspectables à l’échelle. Volumes réservés, raccord au seed, butin, rencontres et services de campagne restent à terminer.</x:v>
      </x:c>
    </x:row>
    <x:row r="3610" ht="96" customHeight="1">
      <x:c r="A3610" s="115" t="str">
        <x:v>EXT-MONDE-T073-V05</x:v>
      </x:c>
      <x:c r="B3610" s="115" t="str">
        <x:v>EXT-MONDE-T073</x:v>
      </x:c>
      <x:c r="C3610" s="115" t="str">
        <x:v>Ferroviaire</x:v>
      </x:c>
      <x:c r="D3610" s="115" t="str">
        <x:v>Gare de passage</x:v>
      </x:c>
      <x:c r="E3610" s="115" t="n">
        <x:v>5</x:v>
      </x:c>
      <x:c r="F3610" s="115" t="str">
        <x:v>Inspection physique</x:v>
      </x:c>
      <x:c r="G3610" s="115" t="str">
        <x:v>1 niveaux ; 36 pièces ; 265 segments de mur ; 0 transitions. Inspection physique ; architecture complète encore ouverte.</x:v>
      </x:c>
      <x:c r="H3610" s="115" t="str">
        <x:v>L 800 ; l 1700 ; hauteur 7 m ; choix de composition auteur ; dimensions réelles à documenter</x:v>
      </x:c>
      <x:c r="I3610" s="115" t="str">
        <x:v>À équilibrer</x:v>
      </x:c>
      <x:c r="J3610" s="115" t="str">
        <x:v>Non</x:v>
      </x:c>
      <x:c r="K3610" s="115" t="str">
        <x:v>Pièces décrites, murs, portes, niveaux et mobilier inspectables à l’échelle. Volumes réservés, raccord au seed, butin, rencontres et services de campagne restent à terminer.</x:v>
      </x:c>
    </x:row>
    <x:row r="3611" ht="96" customHeight="1">
      <x:c r="A3611" s="115" t="str">
        <x:v>EXT-MONDE-T073-V06</x:v>
      </x:c>
      <x:c r="B3611" s="115" t="str">
        <x:v>EXT-MONDE-T073</x:v>
      </x:c>
      <x:c r="C3611" s="115" t="str">
        <x:v>Ferroviaire</x:v>
      </x:c>
      <x:c r="D3611" s="115" t="str">
        <x:v>Gare de passage</x:v>
      </x:c>
      <x:c r="E3611" s="115" t="n">
        <x:v>6</x:v>
      </x:c>
      <x:c r="F3611" s="115" t="str">
        <x:v>Inspection physique</x:v>
      </x:c>
      <x:c r="G3611" s="115" t="str">
        <x:v>1 niveaux ; 36 pièces ; 265 segments de mur ; 0 transitions. Inspection physique ; architecture complète encore ouverte.</x:v>
      </x:c>
      <x:c r="H3611" s="115" t="str">
        <x:v>L 800 ; l 1700 ; hauteur 7 m ; choix de composition auteur ; dimensions réelles à documenter</x:v>
      </x:c>
      <x:c r="I3611" s="115" t="str">
        <x:v>À équilibrer</x:v>
      </x:c>
      <x:c r="J3611" s="115" t="str">
        <x:v>Non</x:v>
      </x:c>
      <x:c r="K3611" s="115" t="str">
        <x:v>Pièces décrites, murs, portes, niveaux et mobilier inspectables à l’échelle. Volumes réservés, raccord au seed, butin, rencontres et services de campagne restent à terminer.</x:v>
      </x:c>
    </x:row>
    <x:row r="3612" ht="96" customHeight="1">
      <x:c r="A3612" s="115" t="str">
        <x:v>EXT-MONDE-T073-V07</x:v>
      </x:c>
      <x:c r="B3612" s="115" t="str">
        <x:v>EXT-MONDE-T073</x:v>
      </x:c>
      <x:c r="C3612" s="115" t="str">
        <x:v>Ferroviaire</x:v>
      </x:c>
      <x:c r="D3612" s="115" t="str">
        <x:v>Gare de passage</x:v>
      </x:c>
      <x:c r="E3612" s="115" t="n">
        <x:v>7</x:v>
      </x:c>
      <x:c r="F3612" s="115" t="str">
        <x:v>Inspection physique</x:v>
      </x:c>
      <x:c r="G3612" s="115" t="str">
        <x:v>1 niveaux ; 36 pièces ; 265 segments de mur ; 0 transitions. Inspection physique ; architecture complète encore ouverte.</x:v>
      </x:c>
      <x:c r="H3612" s="115" t="str">
        <x:v>L 800 ; l 1700 ; hauteur 7 m ; choix de composition auteur ; dimensions réelles à documenter</x:v>
      </x:c>
      <x:c r="I3612" s="115" t="str">
        <x:v>À équilibrer</x:v>
      </x:c>
      <x:c r="J3612" s="115" t="str">
        <x:v>Non</x:v>
      </x:c>
      <x:c r="K3612" s="115" t="str">
        <x:v>Pièces décrites, murs, portes, niveaux et mobilier inspectables à l’échelle. Volumes réservés, raccord au seed, butin, rencontres et services de campagne restent à terminer.</x:v>
      </x:c>
    </x:row>
    <x:row r="3613" ht="96" customHeight="1">
      <x:c r="A3613" s="115" t="str">
        <x:v>EXT-MONDE-T073-V08</x:v>
      </x:c>
      <x:c r="B3613" s="115" t="str">
        <x:v>EXT-MONDE-T073</x:v>
      </x:c>
      <x:c r="C3613" s="115" t="str">
        <x:v>Ferroviaire</x:v>
      </x:c>
      <x:c r="D3613" s="115" t="str">
        <x:v>Gare de passage</x:v>
      </x:c>
      <x:c r="E3613" s="115" t="n">
        <x:v>8</x:v>
      </x:c>
      <x:c r="F3613" s="115" t="str">
        <x:v>Inspection physique</x:v>
      </x:c>
      <x:c r="G3613" s="115" t="str">
        <x:v>1 niveaux ; 36 pièces ; 265 segments de mur ; 0 transitions. Inspection physique ; architecture complète encore ouverte.</x:v>
      </x:c>
      <x:c r="H3613" s="115" t="str">
        <x:v>L 800 ; l 1700 ; hauteur 7 m ; choix de composition auteur ; dimensions réelles à documenter</x:v>
      </x:c>
      <x:c r="I3613" s="115" t="str">
        <x:v>À équilibrer</x:v>
      </x:c>
      <x:c r="J3613" s="115" t="str">
        <x:v>Non</x:v>
      </x:c>
      <x:c r="K3613" s="115" t="str">
        <x:v>Pièces décrites, murs, portes, niveaux et mobilier inspectables à l’échelle. Volumes réservés, raccord au seed, butin, rencontres et services de campagne restent à terminer.</x:v>
      </x:c>
    </x:row>
    <x:row r="3614" ht="96" customHeight="1">
      <x:c r="A3614" s="115" t="str">
        <x:v>EXT-MONDE-T073-V09</x:v>
      </x:c>
      <x:c r="B3614" s="115" t="str">
        <x:v>EXT-MONDE-T073</x:v>
      </x:c>
      <x:c r="C3614" s="115" t="str">
        <x:v>Ferroviaire</x:v>
      </x:c>
      <x:c r="D3614" s="115" t="str">
        <x:v>Gare de passage</x:v>
      </x:c>
      <x:c r="E3614" s="115" t="n">
        <x:v>9</x:v>
      </x:c>
      <x:c r="F3614" s="115" t="str">
        <x:v>Inspection physique</x:v>
      </x:c>
      <x:c r="G3614" s="115" t="str">
        <x:v>1 niveaux ; 36 pièces ; 265 segments de mur ; 0 transitions. Inspection physique ; architecture complète encore ouverte.</x:v>
      </x:c>
      <x:c r="H3614" s="115" t="str">
        <x:v>L 800 ; l 1700 ; hauteur 7 m ; choix de composition auteur ; dimensions réelles à documenter</x:v>
      </x:c>
      <x:c r="I3614" s="115" t="str">
        <x:v>À équilibrer</x:v>
      </x:c>
      <x:c r="J3614" s="115" t="str">
        <x:v>Non</x:v>
      </x:c>
      <x:c r="K3614" s="115" t="str">
        <x:v>Pièces décrites, murs, portes, niveaux et mobilier inspectables à l’échelle. Volumes réservés, raccord au seed, butin, rencontres et services de campagne restent à terminer.</x:v>
      </x:c>
    </x:row>
    <x:row r="3615" ht="96" customHeight="1">
      <x:c r="A3615" s="115" t="str">
        <x:v>EXT-MONDE-T073-V10</x:v>
      </x:c>
      <x:c r="B3615" s="115" t="str">
        <x:v>EXT-MONDE-T073</x:v>
      </x:c>
      <x:c r="C3615" s="115" t="str">
        <x:v>Ferroviaire</x:v>
      </x:c>
      <x:c r="D3615" s="115" t="str">
        <x:v>Gare de passage</x:v>
      </x:c>
      <x:c r="E3615" s="115" t="n">
        <x:v>10</x:v>
      </x:c>
      <x:c r="F3615" s="115" t="str">
        <x:v>Inspection physique</x:v>
      </x:c>
      <x:c r="G3615" s="115" t="str">
        <x:v>1 niveaux ; 36 pièces ; 265 segments de mur ; 0 transitions. Inspection physique ; architecture complète encore ouverte.</x:v>
      </x:c>
      <x:c r="H3615" s="115" t="str">
        <x:v>L 800 ; l 1700 ; hauteur 7 m ; choix de composition auteur ; dimensions réelles à documenter</x:v>
      </x:c>
      <x:c r="I3615" s="115" t="str">
        <x:v>À équilibrer</x:v>
      </x:c>
      <x:c r="J3615" s="115" t="str">
        <x:v>Non</x:v>
      </x:c>
      <x:c r="K3615" s="115" t="str">
        <x:v>Pièces décrites, murs, portes, niveaux et mobilier inspectables à l’échelle. Volumes réservés, raccord au seed, butin, rencontres et services de campagne restent à terminer.</x:v>
      </x:c>
    </x:row>
    <x:row r="3616" ht="96" customHeight="1">
      <x:c r="A3616" s="115" t="str">
        <x:v>EXT-MONDE-T073-V11</x:v>
      </x:c>
      <x:c r="B3616" s="115" t="str">
        <x:v>EXT-MONDE-T073</x:v>
      </x:c>
      <x:c r="C3616" s="115" t="str">
        <x:v>Ferroviaire</x:v>
      </x:c>
      <x:c r="D3616" s="115" t="str">
        <x:v>Gare de passage</x:v>
      </x:c>
      <x:c r="E3616" s="115" t="n">
        <x:v>11</x:v>
      </x:c>
      <x:c r="F3616" s="115" t="str">
        <x:v>Inspection physique</x:v>
      </x:c>
      <x:c r="G3616" s="115" t="str">
        <x:v>1 niveaux ; 36 pièces ; 265 segments de mur ; 0 transitions. Inspection physique ; architecture complète encore ouverte.</x:v>
      </x:c>
      <x:c r="H3616" s="115" t="str">
        <x:v>L 800 ; l 1860 ; hauteur 7,2 m ; choix de composition auteur ; dimensions réelles à documenter</x:v>
      </x:c>
      <x:c r="I3616" s="115" t="str">
        <x:v>À équilibrer</x:v>
      </x:c>
      <x:c r="J3616" s="115" t="str">
        <x:v>Non</x:v>
      </x:c>
      <x:c r="K3616" s="115" t="str">
        <x:v>Pièces décrites, murs, portes, niveaux et mobilier inspectables à l’échelle. Volumes réservés, raccord au seed, butin, rencontres et services de campagne restent à terminer.</x:v>
      </x:c>
    </x:row>
    <x:row r="3617" ht="96" customHeight="1">
      <x:c r="A3617" s="115" t="str">
        <x:v>EXT-MONDE-T073-V12</x:v>
      </x:c>
      <x:c r="B3617" s="115" t="str">
        <x:v>EXT-MONDE-T073</x:v>
      </x:c>
      <x:c r="C3617" s="115" t="str">
        <x:v>Ferroviaire</x:v>
      </x:c>
      <x:c r="D3617" s="115" t="str">
        <x:v>Gare de passage</x:v>
      </x:c>
      <x:c r="E3617" s="115" t="n">
        <x:v>12</x:v>
      </x:c>
      <x:c r="F3617" s="115" t="str">
        <x:v>Inspection physique</x:v>
      </x:c>
      <x:c r="G3617" s="115" t="str">
        <x:v>1 niveaux ; 36 pièces ; 265 segments de mur ; 0 transitions. Inspection physique ; architecture complète encore ouverte.</x:v>
      </x:c>
      <x:c r="H3617" s="115" t="str">
        <x:v>L 800 ; l 1860 ; hauteur 7,2 m ; choix de composition auteur ; dimensions réelles à documenter</x:v>
      </x:c>
      <x:c r="I3617" s="115" t="str">
        <x:v>À équilibrer</x:v>
      </x:c>
      <x:c r="J3617" s="115" t="str">
        <x:v>Non</x:v>
      </x:c>
      <x:c r="K3617" s="115" t="str">
        <x:v>Pièces décrites, murs, portes, niveaux et mobilier inspectables à l’échelle. Volumes réservés, raccord au seed, butin, rencontres et services de campagne restent à terminer.</x:v>
      </x:c>
    </x:row>
    <x:row r="3618" ht="96" customHeight="1">
      <x:c r="A3618" s="115" t="str">
        <x:v>EXT-MONDE-T073-V13</x:v>
      </x:c>
      <x:c r="B3618" s="115" t="str">
        <x:v>EXT-MONDE-T073</x:v>
      </x:c>
      <x:c r="C3618" s="115" t="str">
        <x:v>Ferroviaire</x:v>
      </x:c>
      <x:c r="D3618" s="115" t="str">
        <x:v>Gare de passage</x:v>
      </x:c>
      <x:c r="E3618" s="115" t="n">
        <x:v>13</x:v>
      </x:c>
      <x:c r="F3618" s="115" t="str">
        <x:v>Inspection physique</x:v>
      </x:c>
      <x:c r="G3618" s="115" t="str">
        <x:v>1 niveaux ; 36 pièces ; 265 segments de mur ; 0 transitions. Inspection physique ; architecture complète encore ouverte.</x:v>
      </x:c>
      <x:c r="H3618" s="115" t="str">
        <x:v>L 800 ; l 1860 ; hauteur 7,2 m ; choix de composition auteur ; dimensions réelles à documenter</x:v>
      </x:c>
      <x:c r="I3618" s="115" t="str">
        <x:v>À équilibrer</x:v>
      </x:c>
      <x:c r="J3618" s="115" t="str">
        <x:v>Non</x:v>
      </x:c>
      <x:c r="K3618" s="115" t="str">
        <x:v>Pièces décrites, murs, portes, niveaux et mobilier inspectables à l’échelle. Volumes réservés, raccord au seed, butin, rencontres et services de campagne restent à terminer.</x:v>
      </x:c>
    </x:row>
    <x:row r="3619" ht="96" customHeight="1">
      <x:c r="A3619" s="115" t="str">
        <x:v>EXT-MONDE-T073-V14</x:v>
      </x:c>
      <x:c r="B3619" s="115" t="str">
        <x:v>EXT-MONDE-T073</x:v>
      </x:c>
      <x:c r="C3619" s="115" t="str">
        <x:v>Ferroviaire</x:v>
      </x:c>
      <x:c r="D3619" s="115" t="str">
        <x:v>Gare de passage</x:v>
      </x:c>
      <x:c r="E3619" s="115" t="n">
        <x:v>14</x:v>
      </x:c>
      <x:c r="F3619" s="115" t="str">
        <x:v>Inspection physique</x:v>
      </x:c>
      <x:c r="G3619" s="115" t="str">
        <x:v>1 niveaux ; 36 pièces ; 265 segments de mur ; 0 transitions. Inspection physique ; architecture complète encore ouverte.</x:v>
      </x:c>
      <x:c r="H3619" s="115" t="str">
        <x:v>L 800 ; l 1860 ; hauteur 7,2 m ; choix de composition auteur ; dimensions réelles à documenter</x:v>
      </x:c>
      <x:c r="I3619" s="115" t="str">
        <x:v>À équilibrer</x:v>
      </x:c>
      <x:c r="J3619" s="115" t="str">
        <x:v>Non</x:v>
      </x:c>
      <x:c r="K3619" s="115" t="str">
        <x:v>Pièces décrites, murs, portes, niveaux et mobilier inspectables à l’échelle. Volumes réservés, raccord au seed, butin, rencontres et services de campagne restent à terminer.</x:v>
      </x:c>
    </x:row>
    <x:row r="3620" ht="96" customHeight="1">
      <x:c r="A3620" s="115" t="str">
        <x:v>EXT-MONDE-T073-V15</x:v>
      </x:c>
      <x:c r="B3620" s="115" t="str">
        <x:v>EXT-MONDE-T073</x:v>
      </x:c>
      <x:c r="C3620" s="115" t="str">
        <x:v>Ferroviaire</x:v>
      </x:c>
      <x:c r="D3620" s="115" t="str">
        <x:v>Gare de passage</x:v>
      </x:c>
      <x:c r="E3620" s="115" t="n">
        <x:v>15</x:v>
      </x:c>
      <x:c r="F3620" s="115" t="str">
        <x:v>Inspection physique</x:v>
      </x:c>
      <x:c r="G3620" s="115" t="str">
        <x:v>1 niveaux ; 36 pièces ; 265 segments de mur ; 0 transitions. Inspection physique ; architecture complète encore ouverte.</x:v>
      </x:c>
      <x:c r="H3620" s="115" t="str">
        <x:v>L 800 ; l 1860 ; hauteur 7,2 m ; choix de composition auteur ; dimensions réelles à documenter</x:v>
      </x:c>
      <x:c r="I3620" s="115" t="str">
        <x:v>À équilibrer</x:v>
      </x:c>
      <x:c r="J3620" s="115" t="str">
        <x:v>Non</x:v>
      </x:c>
      <x:c r="K3620" s="115" t="str">
        <x:v>Pièces décrites, murs, portes, niveaux et mobilier inspectables à l’échelle. Volumes réservés, raccord au seed, butin, rencontres et services de campagne restent à terminer.</x:v>
      </x:c>
    </x:row>
    <x:row r="3621" ht="96" customHeight="1">
      <x:c r="A3621" s="115" t="str">
        <x:v>EXT-MONDE-T073-V16</x:v>
      </x:c>
      <x:c r="B3621" s="115" t="str">
        <x:v>EXT-MONDE-T073</x:v>
      </x:c>
      <x:c r="C3621" s="115" t="str">
        <x:v>Ferroviaire</x:v>
      </x:c>
      <x:c r="D3621" s="115" t="str">
        <x:v>Gare de passage</x:v>
      </x:c>
      <x:c r="E3621" s="115" t="n">
        <x:v>16</x:v>
      </x:c>
      <x:c r="F3621" s="115" t="str">
        <x:v>Inspection physique</x:v>
      </x:c>
      <x:c r="G3621" s="115" t="str">
        <x:v>1 niveaux ; 36 pièces ; 265 segments de mur ; 0 transitions. Inspection physique ; architecture complète encore ouverte.</x:v>
      </x:c>
      <x:c r="H3621" s="115" t="str">
        <x:v>L 800 ; l 1860 ; hauteur 7,2 m ; choix de composition auteur ; dimensions réelles à documenter</x:v>
      </x:c>
      <x:c r="I3621" s="115" t="str">
        <x:v>À équilibrer</x:v>
      </x:c>
      <x:c r="J3621" s="115" t="str">
        <x:v>Non</x:v>
      </x:c>
      <x:c r="K3621" s="115" t="str">
        <x:v>Pièces décrites, murs, portes, niveaux et mobilier inspectables à l’échelle. Volumes réservés, raccord au seed, butin, rencontres et services de campagne restent à terminer.</x:v>
      </x:c>
    </x:row>
    <x:row r="3622" ht="96" customHeight="1">
      <x:c r="A3622" s="115" t="str">
        <x:v>EXT-MONDE-T073-V17</x:v>
      </x:c>
      <x:c r="B3622" s="115" t="str">
        <x:v>EXT-MONDE-T073</x:v>
      </x:c>
      <x:c r="C3622" s="115" t="str">
        <x:v>Ferroviaire</x:v>
      </x:c>
      <x:c r="D3622" s="115" t="str">
        <x:v>Gare de passage</x:v>
      </x:c>
      <x:c r="E3622" s="115" t="n">
        <x:v>17</x:v>
      </x:c>
      <x:c r="F3622" s="115" t="str">
        <x:v>Inspection physique</x:v>
      </x:c>
      <x:c r="G3622" s="115" t="str">
        <x:v>1 niveaux ; 36 pièces ; 265 segments de mur ; 0 transitions. Inspection physique ; architecture complète encore ouverte.</x:v>
      </x:c>
      <x:c r="H3622" s="115" t="str">
        <x:v>L 800 ; l 1860 ; hauteur 7,2 m ; choix de composition auteur ; dimensions réelles à documenter</x:v>
      </x:c>
      <x:c r="I3622" s="115" t="str">
        <x:v>À équilibrer</x:v>
      </x:c>
      <x:c r="J3622" s="115" t="str">
        <x:v>Non</x:v>
      </x:c>
      <x:c r="K3622" s="115" t="str">
        <x:v>Pièces décrites, murs, portes, niveaux et mobilier inspectables à l’échelle. Volumes réservés, raccord au seed, butin, rencontres et services de campagne restent à terminer.</x:v>
      </x:c>
    </x:row>
    <x:row r="3623" ht="96" customHeight="1">
      <x:c r="A3623" s="115" t="str">
        <x:v>EXT-MONDE-T073-V18</x:v>
      </x:c>
      <x:c r="B3623" s="115" t="str">
        <x:v>EXT-MONDE-T073</x:v>
      </x:c>
      <x:c r="C3623" s="115" t="str">
        <x:v>Ferroviaire</x:v>
      </x:c>
      <x:c r="D3623" s="115" t="str">
        <x:v>Gare de passage</x:v>
      </x:c>
      <x:c r="E3623" s="115" t="n">
        <x:v>18</x:v>
      </x:c>
      <x:c r="F3623" s="115" t="str">
        <x:v>Inspection physique</x:v>
      </x:c>
      <x:c r="G3623" s="115" t="str">
        <x:v>1 niveaux ; 36 pièces ; 265 segments de mur ; 0 transitions. Inspection physique ; architecture complète encore ouverte.</x:v>
      </x:c>
      <x:c r="H3623" s="115" t="str">
        <x:v>L 800 ; l 1860 ; hauteur 7,2 m ; choix de composition auteur ; dimensions réelles à documenter</x:v>
      </x:c>
      <x:c r="I3623" s="115" t="str">
        <x:v>À équilibrer</x:v>
      </x:c>
      <x:c r="J3623" s="115" t="str">
        <x:v>Non</x:v>
      </x:c>
      <x:c r="K3623" s="115" t="str">
        <x:v>Pièces décrites, murs, portes, niveaux et mobilier inspectables à l’échelle. Volumes réservés, raccord au seed, butin, rencontres et services de campagne restent à terminer.</x:v>
      </x:c>
    </x:row>
    <x:row r="3624" ht="96" customHeight="1">
      <x:c r="A3624" s="115" t="str">
        <x:v>EXT-MONDE-T073-V19</x:v>
      </x:c>
      <x:c r="B3624" s="115" t="str">
        <x:v>EXT-MONDE-T073</x:v>
      </x:c>
      <x:c r="C3624" s="115" t="str">
        <x:v>Ferroviaire</x:v>
      </x:c>
      <x:c r="D3624" s="115" t="str">
        <x:v>Gare de passage</x:v>
      </x:c>
      <x:c r="E3624" s="115" t="n">
        <x:v>19</x:v>
      </x:c>
      <x:c r="F3624" s="115" t="str">
        <x:v>Inspection physique</x:v>
      </x:c>
      <x:c r="G3624" s="115" t="str">
        <x:v>1 niveaux ; 36 pièces ; 265 segments de mur ; 0 transitions. Inspection physique ; architecture complète encore ouverte.</x:v>
      </x:c>
      <x:c r="H3624" s="115" t="str">
        <x:v>L 800 ; l 1860 ; hauteur 7,2 m ; choix de composition auteur ; dimensions réelles à documenter</x:v>
      </x:c>
      <x:c r="I3624" s="115" t="str">
        <x:v>À équilibrer</x:v>
      </x:c>
      <x:c r="J3624" s="115" t="str">
        <x:v>Non</x:v>
      </x:c>
      <x:c r="K3624" s="115" t="str">
        <x:v>Pièces décrites, murs, portes, niveaux et mobilier inspectables à l’échelle. Volumes réservés, raccord au seed, butin, rencontres et services de campagne restent à terminer.</x:v>
      </x:c>
    </x:row>
    <x:row r="3625" ht="96" customHeight="1">
      <x:c r="A3625" s="115" t="str">
        <x:v>EXT-MONDE-T073-V20</x:v>
      </x:c>
      <x:c r="B3625" s="115" t="str">
        <x:v>EXT-MONDE-T073</x:v>
      </x:c>
      <x:c r="C3625" s="115" t="str">
        <x:v>Ferroviaire</x:v>
      </x:c>
      <x:c r="D3625" s="115" t="str">
        <x:v>Gare de passage</x:v>
      </x:c>
      <x:c r="E3625" s="115" t="n">
        <x:v>20</x:v>
      </x:c>
      <x:c r="F3625" s="115" t="str">
        <x:v>Inspection physique</x:v>
      </x:c>
      <x:c r="G3625" s="115" t="str">
        <x:v>1 niveaux ; 36 pièces ; 265 segments de mur ; 0 transitions. Inspection physique ; architecture complète encore ouverte.</x:v>
      </x:c>
      <x:c r="H3625" s="115" t="str">
        <x:v>L 800 ; l 1860 ; hauteur 7,2 m ; choix de composition auteur ; dimensions réelles à documenter</x:v>
      </x:c>
      <x:c r="I3625" s="115" t="str">
        <x:v>À équilibrer</x:v>
      </x:c>
      <x:c r="J3625" s="115" t="str">
        <x:v>Non</x:v>
      </x:c>
      <x:c r="K3625" s="115" t="str">
        <x:v>Pièces décrites, murs, portes, niveaux et mobilier inspectables à l’échelle. Volumes réservés, raccord au seed, butin, rencontres et services de campagne restent à terminer.</x:v>
      </x:c>
    </x:row>
    <x:row r="3626" ht="96" customHeight="1">
      <x:c r="A3626" s="115" t="str">
        <x:v>EXT-MONDE-T073-V21</x:v>
      </x:c>
      <x:c r="B3626" s="115" t="str">
        <x:v>EXT-MONDE-T073</x:v>
      </x:c>
      <x:c r="C3626" s="115" t="str">
        <x:v>Ferroviaire</x:v>
      </x:c>
      <x:c r="D3626" s="115" t="str">
        <x:v>Gare de passage</x:v>
      </x:c>
      <x:c r="E3626" s="115" t="n">
        <x:v>21</x:v>
      </x:c>
      <x:c r="F3626" s="115" t="str">
        <x:v>Inspection physique</x:v>
      </x:c>
      <x:c r="G3626" s="115" t="str">
        <x:v>1 niveaux ; 36 pièces ; 265 segments de mur ; 0 transitions. Inspection physique ; architecture complète encore ouverte.</x:v>
      </x:c>
      <x:c r="H3626" s="115" t="str">
        <x:v>L 800 ; l 2020 ; hauteur 7,4 m ; choix de composition auteur ; dimensions réelles à documenter</x:v>
      </x:c>
      <x:c r="I3626" s="115" t="str">
        <x:v>À équilibrer</x:v>
      </x:c>
      <x:c r="J3626" s="115" t="str">
        <x:v>Non</x:v>
      </x:c>
      <x:c r="K3626" s="115" t="str">
        <x:v>Pièces décrites, murs, portes, niveaux et mobilier inspectables à l’échelle. Volumes réservés, raccord au seed, butin, rencontres et services de campagne restent à terminer.</x:v>
      </x:c>
    </x:row>
    <x:row r="3627" ht="96" customHeight="1">
      <x:c r="A3627" s="115" t="str">
        <x:v>EXT-MONDE-T073-V22</x:v>
      </x:c>
      <x:c r="B3627" s="115" t="str">
        <x:v>EXT-MONDE-T073</x:v>
      </x:c>
      <x:c r="C3627" s="115" t="str">
        <x:v>Ferroviaire</x:v>
      </x:c>
      <x:c r="D3627" s="115" t="str">
        <x:v>Gare de passage</x:v>
      </x:c>
      <x:c r="E3627" s="115" t="n">
        <x:v>22</x:v>
      </x:c>
      <x:c r="F3627" s="115" t="str">
        <x:v>Inspection physique</x:v>
      </x:c>
      <x:c r="G3627" s="115" t="str">
        <x:v>1 niveaux ; 36 pièces ; 265 segments de mur ; 0 transitions. Inspection physique ; architecture complète encore ouverte.</x:v>
      </x:c>
      <x:c r="H3627" s="115" t="str">
        <x:v>L 800 ; l 2020 ; hauteur 7,4 m ; choix de composition auteur ; dimensions réelles à documenter</x:v>
      </x:c>
      <x:c r="I3627" s="115" t="str">
        <x:v>À équilibrer</x:v>
      </x:c>
      <x:c r="J3627" s="115" t="str">
        <x:v>Non</x:v>
      </x:c>
      <x:c r="K3627" s="115" t="str">
        <x:v>Pièces décrites, murs, portes, niveaux et mobilier inspectables à l’échelle. Volumes réservés, raccord au seed, butin, rencontres et services de campagne restent à terminer.</x:v>
      </x:c>
    </x:row>
    <x:row r="3628" ht="96" customHeight="1">
      <x:c r="A3628" s="115" t="str">
        <x:v>EXT-MONDE-T073-V23</x:v>
      </x:c>
      <x:c r="B3628" s="115" t="str">
        <x:v>EXT-MONDE-T073</x:v>
      </x:c>
      <x:c r="C3628" s="115" t="str">
        <x:v>Ferroviaire</x:v>
      </x:c>
      <x:c r="D3628" s="115" t="str">
        <x:v>Gare de passage</x:v>
      </x:c>
      <x:c r="E3628" s="115" t="n">
        <x:v>23</x:v>
      </x:c>
      <x:c r="F3628" s="115" t="str">
        <x:v>Inspection physique</x:v>
      </x:c>
      <x:c r="G3628" s="115" t="str">
        <x:v>1 niveaux ; 36 pièces ; 265 segments de mur ; 0 transitions. Inspection physique ; architecture complète encore ouverte.</x:v>
      </x:c>
      <x:c r="H3628" s="115" t="str">
        <x:v>L 800 ; l 2020 ; hauteur 7,4 m ; choix de composition auteur ; dimensions réelles à documenter</x:v>
      </x:c>
      <x:c r="I3628" s="115" t="str">
        <x:v>À équilibrer</x:v>
      </x:c>
      <x:c r="J3628" s="115" t="str">
        <x:v>Non</x:v>
      </x:c>
      <x:c r="K3628" s="115" t="str">
        <x:v>Pièces décrites, murs, portes, niveaux et mobilier inspectables à l’échelle. Volumes réservés, raccord au seed, butin, rencontres et services de campagne restent à terminer.</x:v>
      </x:c>
    </x:row>
    <x:row r="3629" ht="96" customHeight="1">
      <x:c r="A3629" s="115" t="str">
        <x:v>EXT-MONDE-T073-V24</x:v>
      </x:c>
      <x:c r="B3629" s="115" t="str">
        <x:v>EXT-MONDE-T073</x:v>
      </x:c>
      <x:c r="C3629" s="115" t="str">
        <x:v>Ferroviaire</x:v>
      </x:c>
      <x:c r="D3629" s="115" t="str">
        <x:v>Gare de passage</x:v>
      </x:c>
      <x:c r="E3629" s="115" t="n">
        <x:v>24</x:v>
      </x:c>
      <x:c r="F3629" s="115" t="str">
        <x:v>Inspection physique</x:v>
      </x:c>
      <x:c r="G3629" s="115" t="str">
        <x:v>1 niveaux ; 36 pièces ; 265 segments de mur ; 0 transitions. Inspection physique ; architecture complète encore ouverte.</x:v>
      </x:c>
      <x:c r="H3629" s="115" t="str">
        <x:v>L 800 ; l 2020 ; hauteur 7,4 m ; choix de composition auteur ; dimensions réelles à documenter</x:v>
      </x:c>
      <x:c r="I3629" s="115" t="str">
        <x:v>À équilibrer</x:v>
      </x:c>
      <x:c r="J3629" s="115" t="str">
        <x:v>Non</x:v>
      </x:c>
      <x:c r="K3629" s="115" t="str">
        <x:v>Pièces décrites, murs, portes, niveaux et mobilier inspectables à l’échelle. Volumes réservés, raccord au seed, butin, rencontres et services de campagne restent à terminer.</x:v>
      </x:c>
    </x:row>
    <x:row r="3630" ht="96" customHeight="1">
      <x:c r="A3630" s="115" t="str">
        <x:v>EXT-MONDE-T073-V25</x:v>
      </x:c>
      <x:c r="B3630" s="115" t="str">
        <x:v>EXT-MONDE-T073</x:v>
      </x:c>
      <x:c r="C3630" s="115" t="str">
        <x:v>Ferroviaire</x:v>
      </x:c>
      <x:c r="D3630" s="115" t="str">
        <x:v>Gare de passage</x:v>
      </x:c>
      <x:c r="E3630" s="115" t="n">
        <x:v>25</x:v>
      </x:c>
      <x:c r="F3630" s="115" t="str">
        <x:v>Inspection physique</x:v>
      </x:c>
      <x:c r="G3630" s="115" t="str">
        <x:v>1 niveaux ; 36 pièces ; 265 segments de mur ; 0 transitions. Inspection physique ; architecture complète encore ouverte.</x:v>
      </x:c>
      <x:c r="H3630" s="115" t="str">
        <x:v>L 800 ; l 2020 ; hauteur 7,4 m ; choix de composition auteur ; dimensions réelles à documenter</x:v>
      </x:c>
      <x:c r="I3630" s="115" t="str">
        <x:v>À équilibrer</x:v>
      </x:c>
      <x:c r="J3630" s="115" t="str">
        <x:v>Non</x:v>
      </x:c>
      <x:c r="K3630" s="115" t="str">
        <x:v>Pièces décrites, murs, portes, niveaux et mobilier inspectables à l’échelle. Volumes réservés, raccord au seed, butin, rencontres et services de campagne restent à terminer.</x:v>
      </x:c>
    </x:row>
    <x:row r="3631" ht="96" customHeight="1">
      <x:c r="A3631" s="115" t="str">
        <x:v>EXT-MONDE-T073-V26</x:v>
      </x:c>
      <x:c r="B3631" s="115" t="str">
        <x:v>EXT-MONDE-T073</x:v>
      </x:c>
      <x:c r="C3631" s="115" t="str">
        <x:v>Ferroviaire</x:v>
      </x:c>
      <x:c r="D3631" s="115" t="str">
        <x:v>Gare de passage</x:v>
      </x:c>
      <x:c r="E3631" s="115" t="n">
        <x:v>26</x:v>
      </x:c>
      <x:c r="F3631" s="115" t="str">
        <x:v>Inspection physique</x:v>
      </x:c>
      <x:c r="G3631" s="115" t="str">
        <x:v>1 niveaux ; 36 pièces ; 265 segments de mur ; 0 transitions. Inspection physique ; architecture complète encore ouverte.</x:v>
      </x:c>
      <x:c r="H3631" s="115" t="str">
        <x:v>L 800 ; l 2020 ; hauteur 7,4 m ; choix de composition auteur ; dimensions réelles à documenter</x:v>
      </x:c>
      <x:c r="I3631" s="115" t="str">
        <x:v>À équilibrer</x:v>
      </x:c>
      <x:c r="J3631" s="115" t="str">
        <x:v>Non</x:v>
      </x:c>
      <x:c r="K3631" s="115" t="str">
        <x:v>Pièces décrites, murs, portes, niveaux et mobilier inspectables à l’échelle. Volumes réservés, raccord au seed, butin, rencontres et services de campagne restent à terminer.</x:v>
      </x:c>
    </x:row>
    <x:row r="3632" ht="96" customHeight="1">
      <x:c r="A3632" s="115" t="str">
        <x:v>EXT-MONDE-T073-V27</x:v>
      </x:c>
      <x:c r="B3632" s="115" t="str">
        <x:v>EXT-MONDE-T073</x:v>
      </x:c>
      <x:c r="C3632" s="115" t="str">
        <x:v>Ferroviaire</x:v>
      </x:c>
      <x:c r="D3632" s="115" t="str">
        <x:v>Gare de passage</x:v>
      </x:c>
      <x:c r="E3632" s="115" t="n">
        <x:v>27</x:v>
      </x:c>
      <x:c r="F3632" s="115" t="str">
        <x:v>Inspection physique</x:v>
      </x:c>
      <x:c r="G3632" s="115" t="str">
        <x:v>1 niveaux ; 36 pièces ; 265 segments de mur ; 0 transitions. Inspection physique ; architecture complète encore ouverte.</x:v>
      </x:c>
      <x:c r="H3632" s="115" t="str">
        <x:v>L 800 ; l 2020 ; hauteur 7,4 m ; choix de composition auteur ; dimensions réelles à documenter</x:v>
      </x:c>
      <x:c r="I3632" s="115" t="str">
        <x:v>À équilibrer</x:v>
      </x:c>
      <x:c r="J3632" s="115" t="str">
        <x:v>Non</x:v>
      </x:c>
      <x:c r="K3632" s="115" t="str">
        <x:v>Pièces décrites, murs, portes, niveaux et mobilier inspectables à l’échelle. Volumes réservés, raccord au seed, butin, rencontres et services de campagne restent à terminer.</x:v>
      </x:c>
    </x:row>
    <x:row r="3633" ht="96" customHeight="1">
      <x:c r="A3633" s="115" t="str">
        <x:v>EXT-MONDE-T073-V28</x:v>
      </x:c>
      <x:c r="B3633" s="115" t="str">
        <x:v>EXT-MONDE-T073</x:v>
      </x:c>
      <x:c r="C3633" s="115" t="str">
        <x:v>Ferroviaire</x:v>
      </x:c>
      <x:c r="D3633" s="115" t="str">
        <x:v>Gare de passage</x:v>
      </x:c>
      <x:c r="E3633" s="115" t="n">
        <x:v>28</x:v>
      </x:c>
      <x:c r="F3633" s="115" t="str">
        <x:v>Inspection physique</x:v>
      </x:c>
      <x:c r="G3633" s="115" t="str">
        <x:v>1 niveaux ; 36 pièces ; 265 segments de mur ; 0 transitions. Inspection physique ; architecture complète encore ouverte.</x:v>
      </x:c>
      <x:c r="H3633" s="115" t="str">
        <x:v>L 800 ; l 2020 ; hauteur 7,4 m ; choix de composition auteur ; dimensions réelles à documenter</x:v>
      </x:c>
      <x:c r="I3633" s="115" t="str">
        <x:v>À équilibrer</x:v>
      </x:c>
      <x:c r="J3633" s="115" t="str">
        <x:v>Non</x:v>
      </x:c>
      <x:c r="K3633" s="115" t="str">
        <x:v>Pièces décrites, murs, portes, niveaux et mobilier inspectables à l’échelle. Volumes réservés, raccord au seed, butin, rencontres et services de campagne restent à terminer.</x:v>
      </x:c>
    </x:row>
    <x:row r="3634" ht="96" customHeight="1">
      <x:c r="A3634" s="115" t="str">
        <x:v>EXT-MONDE-T073-V29</x:v>
      </x:c>
      <x:c r="B3634" s="115" t="str">
        <x:v>EXT-MONDE-T073</x:v>
      </x:c>
      <x:c r="C3634" s="115" t="str">
        <x:v>Ferroviaire</x:v>
      </x:c>
      <x:c r="D3634" s="115" t="str">
        <x:v>Gare de passage</x:v>
      </x:c>
      <x:c r="E3634" s="115" t="n">
        <x:v>29</x:v>
      </x:c>
      <x:c r="F3634" s="115" t="str">
        <x:v>Inspection physique</x:v>
      </x:c>
      <x:c r="G3634" s="115" t="str">
        <x:v>1 niveaux ; 36 pièces ; 265 segments de mur ; 0 transitions. Inspection physique ; architecture complète encore ouverte.</x:v>
      </x:c>
      <x:c r="H3634" s="115" t="str">
        <x:v>L 800 ; l 2020 ; hauteur 7,4 m ; choix de composition auteur ; dimensions réelles à documenter</x:v>
      </x:c>
      <x:c r="I3634" s="115" t="str">
        <x:v>À équilibrer</x:v>
      </x:c>
      <x:c r="J3634" s="115" t="str">
        <x:v>Non</x:v>
      </x:c>
      <x:c r="K3634" s="115" t="str">
        <x:v>Pièces décrites, murs, portes, niveaux et mobilier inspectables à l’échelle. Volumes réservés, raccord au seed, butin, rencontres et services de campagne restent à terminer.</x:v>
      </x:c>
    </x:row>
    <x:row r="3635" ht="96" customHeight="1">
      <x:c r="A3635" s="115" t="str">
        <x:v>EXT-MONDE-T073-V30</x:v>
      </x:c>
      <x:c r="B3635" s="115" t="str">
        <x:v>EXT-MONDE-T073</x:v>
      </x:c>
      <x:c r="C3635" s="115" t="str">
        <x:v>Ferroviaire</x:v>
      </x:c>
      <x:c r="D3635" s="115" t="str">
        <x:v>Gare de passage</x:v>
      </x:c>
      <x:c r="E3635" s="115" t="n">
        <x:v>30</x:v>
      </x:c>
      <x:c r="F3635" s="115" t="str">
        <x:v>Inspection physique</x:v>
      </x:c>
      <x:c r="G3635" s="115" t="str">
        <x:v>1 niveaux ; 36 pièces ; 265 segments de mur ; 0 transitions. Inspection physique ; architecture complète encore ouverte.</x:v>
      </x:c>
      <x:c r="H3635" s="115" t="str">
        <x:v>L 800 ; l 2020 ; hauteur 7,4 m ; choix de composition auteur ; dimensions réelles à documenter</x:v>
      </x:c>
      <x:c r="I3635" s="115" t="str">
        <x:v>À équilibrer</x:v>
      </x:c>
      <x:c r="J3635" s="115" t="str">
        <x:v>Non</x:v>
      </x:c>
      <x:c r="K3635" s="115" t="str">
        <x:v>Pièces décrites, murs, portes, niveaux et mobilier inspectables à l’échelle. Volumes réservés, raccord au seed, butin, rencontres et services de campagne restent à terminer.</x:v>
      </x:c>
    </x:row>
    <x:row r="3636" ht="96" customHeight="1">
      <x:c r="A3636" s="115" t="str">
        <x:v>EXT-MONDE-T073-V31</x:v>
      </x:c>
      <x:c r="B3636" s="115" t="str">
        <x:v>EXT-MONDE-T073</x:v>
      </x:c>
      <x:c r="C3636" s="115" t="str">
        <x:v>Ferroviaire</x:v>
      </x:c>
      <x:c r="D3636" s="115" t="str">
        <x:v>Gare de passage</x:v>
      </x:c>
      <x:c r="E3636" s="115" t="n">
        <x:v>31</x:v>
      </x:c>
      <x:c r="F3636" s="115" t="str">
        <x:v>Inspection physique</x:v>
      </x:c>
      <x:c r="G3636" s="115" t="str">
        <x:v>1 niveaux ; 36 pièces ; 265 segments de mur ; 0 transitions. Inspection physique ; architecture complète encore ouverte.</x:v>
      </x:c>
      <x:c r="H3636" s="115" t="str">
        <x:v>L 800 ; l 2180 ; hauteur 7,6 m ; choix de composition auteur ; dimensions réelles à documenter</x:v>
      </x:c>
      <x:c r="I3636" s="115" t="str">
        <x:v>À équilibrer</x:v>
      </x:c>
      <x:c r="J3636" s="115" t="str">
        <x:v>Non</x:v>
      </x:c>
      <x:c r="K3636" s="115" t="str">
        <x:v>Pièces décrites, murs, portes, niveaux et mobilier inspectables à l’échelle. Volumes réservés, raccord au seed, butin, rencontres et services de campagne restent à terminer.</x:v>
      </x:c>
    </x:row>
    <x:row r="3637" ht="96" customHeight="1">
      <x:c r="A3637" s="115" t="str">
        <x:v>EXT-MONDE-T073-V32</x:v>
      </x:c>
      <x:c r="B3637" s="115" t="str">
        <x:v>EXT-MONDE-T073</x:v>
      </x:c>
      <x:c r="C3637" s="115" t="str">
        <x:v>Ferroviaire</x:v>
      </x:c>
      <x:c r="D3637" s="115" t="str">
        <x:v>Gare de passage</x:v>
      </x:c>
      <x:c r="E3637" s="115" t="n">
        <x:v>32</x:v>
      </x:c>
      <x:c r="F3637" s="115" t="str">
        <x:v>Inspection physique</x:v>
      </x:c>
      <x:c r="G3637" s="115" t="str">
        <x:v>1 niveaux ; 36 pièces ; 265 segments de mur ; 0 transitions. Inspection physique ; architecture complète encore ouverte.</x:v>
      </x:c>
      <x:c r="H3637" s="115" t="str">
        <x:v>L 800 ; l 2180 ; hauteur 7,6 m ; choix de composition auteur ; dimensions réelles à documenter</x:v>
      </x:c>
      <x:c r="I3637" s="115" t="str">
        <x:v>À équilibrer</x:v>
      </x:c>
      <x:c r="J3637" s="115" t="str">
        <x:v>Non</x:v>
      </x:c>
      <x:c r="K3637" s="115" t="str">
        <x:v>Pièces décrites, murs, portes, niveaux et mobilier inspectables à l’échelle. Volumes réservés, raccord au seed, butin, rencontres et services de campagne restent à terminer.</x:v>
      </x:c>
    </x:row>
    <x:row r="3638" ht="96" customHeight="1">
      <x:c r="A3638" s="115" t="str">
        <x:v>EXT-MONDE-T073-V33</x:v>
      </x:c>
      <x:c r="B3638" s="115" t="str">
        <x:v>EXT-MONDE-T073</x:v>
      </x:c>
      <x:c r="C3638" s="115" t="str">
        <x:v>Ferroviaire</x:v>
      </x:c>
      <x:c r="D3638" s="115" t="str">
        <x:v>Gare de passage</x:v>
      </x:c>
      <x:c r="E3638" s="115" t="n">
        <x:v>33</x:v>
      </x:c>
      <x:c r="F3638" s="115" t="str">
        <x:v>Inspection physique</x:v>
      </x:c>
      <x:c r="G3638" s="115" t="str">
        <x:v>1 niveaux ; 36 pièces ; 265 segments de mur ; 0 transitions. Inspection physique ; architecture complète encore ouverte.</x:v>
      </x:c>
      <x:c r="H3638" s="115" t="str">
        <x:v>L 800 ; l 2180 ; hauteur 7,6 m ; choix de composition auteur ; dimensions réelles à documenter</x:v>
      </x:c>
      <x:c r="I3638" s="115" t="str">
        <x:v>À équilibrer</x:v>
      </x:c>
      <x:c r="J3638" s="115" t="str">
        <x:v>Non</x:v>
      </x:c>
      <x:c r="K3638" s="115" t="str">
        <x:v>Pièces décrites, murs, portes, niveaux et mobilier inspectables à l’échelle. Volumes réservés, raccord au seed, butin, rencontres et services de campagne restent à terminer.</x:v>
      </x:c>
    </x:row>
    <x:row r="3639" ht="96" customHeight="1">
      <x:c r="A3639" s="115" t="str">
        <x:v>EXT-MONDE-T073-V34</x:v>
      </x:c>
      <x:c r="B3639" s="115" t="str">
        <x:v>EXT-MONDE-T073</x:v>
      </x:c>
      <x:c r="C3639" s="115" t="str">
        <x:v>Ferroviaire</x:v>
      </x:c>
      <x:c r="D3639" s="115" t="str">
        <x:v>Gare de passage</x:v>
      </x:c>
      <x:c r="E3639" s="115" t="n">
        <x:v>34</x:v>
      </x:c>
      <x:c r="F3639" s="115" t="str">
        <x:v>Inspection physique</x:v>
      </x:c>
      <x:c r="G3639" s="115" t="str">
        <x:v>1 niveaux ; 36 pièces ; 265 segments de mur ; 0 transitions. Inspection physique ; architecture complète encore ouverte.</x:v>
      </x:c>
      <x:c r="H3639" s="115" t="str">
        <x:v>L 800 ; l 2180 ; hauteur 7,6 m ; choix de composition auteur ; dimensions réelles à documenter</x:v>
      </x:c>
      <x:c r="I3639" s="115" t="str">
        <x:v>À équilibrer</x:v>
      </x:c>
      <x:c r="J3639" s="115" t="str">
        <x:v>Non</x:v>
      </x:c>
      <x:c r="K3639" s="115" t="str">
        <x:v>Pièces décrites, murs, portes, niveaux et mobilier inspectables à l’échelle. Volumes réservés, raccord au seed, butin, rencontres et services de campagne restent à terminer.</x:v>
      </x:c>
    </x:row>
    <x:row r="3640" ht="96" customHeight="1">
      <x:c r="A3640" s="115" t="str">
        <x:v>EXT-MONDE-T073-V35</x:v>
      </x:c>
      <x:c r="B3640" s="115" t="str">
        <x:v>EXT-MONDE-T073</x:v>
      </x:c>
      <x:c r="C3640" s="115" t="str">
        <x:v>Ferroviaire</x:v>
      </x:c>
      <x:c r="D3640" s="115" t="str">
        <x:v>Gare de passage</x:v>
      </x:c>
      <x:c r="E3640" s="115" t="n">
        <x:v>35</x:v>
      </x:c>
      <x:c r="F3640" s="115" t="str">
        <x:v>Inspection physique</x:v>
      </x:c>
      <x:c r="G3640" s="115" t="str">
        <x:v>1 niveaux ; 36 pièces ; 265 segments de mur ; 0 transitions. Inspection physique ; architecture complète encore ouverte.</x:v>
      </x:c>
      <x:c r="H3640" s="115" t="str">
        <x:v>L 800 ; l 2180 ; hauteur 7,6 m ; choix de composition auteur ; dimensions réelles à documenter</x:v>
      </x:c>
      <x:c r="I3640" s="115" t="str">
        <x:v>À équilibrer</x:v>
      </x:c>
      <x:c r="J3640" s="115" t="str">
        <x:v>Non</x:v>
      </x:c>
      <x:c r="K3640" s="115" t="str">
        <x:v>Pièces décrites, murs, portes, niveaux et mobilier inspectables à l’échelle. Volumes réservés, raccord au seed, butin, rencontres et services de campagne restent à terminer.</x:v>
      </x:c>
    </x:row>
    <x:row r="3641" ht="96" customHeight="1">
      <x:c r="A3641" s="115" t="str">
        <x:v>EXT-MONDE-T073-V36</x:v>
      </x:c>
      <x:c r="B3641" s="115" t="str">
        <x:v>EXT-MONDE-T073</x:v>
      </x:c>
      <x:c r="C3641" s="115" t="str">
        <x:v>Ferroviaire</x:v>
      </x:c>
      <x:c r="D3641" s="115" t="str">
        <x:v>Gare de passage</x:v>
      </x:c>
      <x:c r="E3641" s="115" t="n">
        <x:v>36</x:v>
      </x:c>
      <x:c r="F3641" s="115" t="str">
        <x:v>Inspection physique</x:v>
      </x:c>
      <x:c r="G3641" s="115" t="str">
        <x:v>1 niveaux ; 36 pièces ; 265 segments de mur ; 0 transitions. Inspection physique ; architecture complète encore ouverte.</x:v>
      </x:c>
      <x:c r="H3641" s="115" t="str">
        <x:v>L 800 ; l 2180 ; hauteur 7,6 m ; choix de composition auteur ; dimensions réelles à documenter</x:v>
      </x:c>
      <x:c r="I3641" s="115" t="str">
        <x:v>À équilibrer</x:v>
      </x:c>
      <x:c r="J3641" s="115" t="str">
        <x:v>Non</x:v>
      </x:c>
      <x:c r="K3641" s="115" t="str">
        <x:v>Pièces décrites, murs, portes, niveaux et mobilier inspectables à l’échelle. Volumes réservés, raccord au seed, butin, rencontres et services de campagne restent à terminer.</x:v>
      </x:c>
    </x:row>
    <x:row r="3642" ht="96" customHeight="1">
      <x:c r="A3642" s="115" t="str">
        <x:v>EXT-MONDE-T073-V37</x:v>
      </x:c>
      <x:c r="B3642" s="115" t="str">
        <x:v>EXT-MONDE-T073</x:v>
      </x:c>
      <x:c r="C3642" s="115" t="str">
        <x:v>Ferroviaire</x:v>
      </x:c>
      <x:c r="D3642" s="115" t="str">
        <x:v>Gare de passage</x:v>
      </x:c>
      <x:c r="E3642" s="115" t="n">
        <x:v>37</x:v>
      </x:c>
      <x:c r="F3642" s="115" t="str">
        <x:v>Inspection physique</x:v>
      </x:c>
      <x:c r="G3642" s="115" t="str">
        <x:v>1 niveaux ; 36 pièces ; 265 segments de mur ; 0 transitions. Inspection physique ; architecture complète encore ouverte.</x:v>
      </x:c>
      <x:c r="H3642" s="115" t="str">
        <x:v>L 800 ; l 2180 ; hauteur 7,6 m ; choix de composition auteur ; dimensions réelles à documenter</x:v>
      </x:c>
      <x:c r="I3642" s="115" t="str">
        <x:v>À équilibrer</x:v>
      </x:c>
      <x:c r="J3642" s="115" t="str">
        <x:v>Non</x:v>
      </x:c>
      <x:c r="K3642" s="115" t="str">
        <x:v>Pièces décrites, murs, portes, niveaux et mobilier inspectables à l’échelle. Volumes réservés, raccord au seed, butin, rencontres et services de campagne restent à terminer.</x:v>
      </x:c>
    </x:row>
    <x:row r="3643" ht="96" customHeight="1">
      <x:c r="A3643" s="115" t="str">
        <x:v>EXT-MONDE-T073-V38</x:v>
      </x:c>
      <x:c r="B3643" s="115" t="str">
        <x:v>EXT-MONDE-T073</x:v>
      </x:c>
      <x:c r="C3643" s="115" t="str">
        <x:v>Ferroviaire</x:v>
      </x:c>
      <x:c r="D3643" s="115" t="str">
        <x:v>Gare de passage</x:v>
      </x:c>
      <x:c r="E3643" s="115" t="n">
        <x:v>38</x:v>
      </x:c>
      <x:c r="F3643" s="115" t="str">
        <x:v>Inspection physique</x:v>
      </x:c>
      <x:c r="G3643" s="115" t="str">
        <x:v>1 niveaux ; 36 pièces ; 265 segments de mur ; 0 transitions. Inspection physique ; architecture complète encore ouverte.</x:v>
      </x:c>
      <x:c r="H3643" s="115" t="str">
        <x:v>L 800 ; l 2180 ; hauteur 7,6 m ; choix de composition auteur ; dimensions réelles à documenter</x:v>
      </x:c>
      <x:c r="I3643" s="115" t="str">
        <x:v>À équilibrer</x:v>
      </x:c>
      <x:c r="J3643" s="115" t="str">
        <x:v>Non</x:v>
      </x:c>
      <x:c r="K3643" s="115" t="str">
        <x:v>Pièces décrites, murs, portes, niveaux et mobilier inspectables à l’échelle. Volumes réservés, raccord au seed, butin, rencontres et services de campagne restent à terminer.</x:v>
      </x:c>
    </x:row>
    <x:row r="3644" ht="96" customHeight="1">
      <x:c r="A3644" s="115" t="str">
        <x:v>EXT-MONDE-T073-V39</x:v>
      </x:c>
      <x:c r="B3644" s="115" t="str">
        <x:v>EXT-MONDE-T073</x:v>
      </x:c>
      <x:c r="C3644" s="115" t="str">
        <x:v>Ferroviaire</x:v>
      </x:c>
      <x:c r="D3644" s="115" t="str">
        <x:v>Gare de passage</x:v>
      </x:c>
      <x:c r="E3644" s="115" t="n">
        <x:v>39</x:v>
      </x:c>
      <x:c r="F3644" s="115" t="str">
        <x:v>Inspection physique</x:v>
      </x:c>
      <x:c r="G3644" s="115" t="str">
        <x:v>1 niveaux ; 36 pièces ; 265 segments de mur ; 0 transitions. Inspection physique ; architecture complète encore ouverte.</x:v>
      </x:c>
      <x:c r="H3644" s="115" t="str">
        <x:v>L 800 ; l 2180 ; hauteur 7,6 m ; choix de composition auteur ; dimensions réelles à documenter</x:v>
      </x:c>
      <x:c r="I3644" s="115" t="str">
        <x:v>À équilibrer</x:v>
      </x:c>
      <x:c r="J3644" s="115" t="str">
        <x:v>Non</x:v>
      </x:c>
      <x:c r="K3644" s="115" t="str">
        <x:v>Pièces décrites, murs, portes, niveaux et mobilier inspectables à l’échelle. Volumes réservés, raccord au seed, butin, rencontres et services de campagne restent à terminer.</x:v>
      </x:c>
    </x:row>
    <x:row r="3645" ht="96" customHeight="1">
      <x:c r="A3645" s="115" t="str">
        <x:v>EXT-MONDE-T073-V40</x:v>
      </x:c>
      <x:c r="B3645" s="115" t="str">
        <x:v>EXT-MONDE-T073</x:v>
      </x:c>
      <x:c r="C3645" s="115" t="str">
        <x:v>Ferroviaire</x:v>
      </x:c>
      <x:c r="D3645" s="115" t="str">
        <x:v>Gare de passage</x:v>
      </x:c>
      <x:c r="E3645" s="115" t="n">
        <x:v>40</x:v>
      </x:c>
      <x:c r="F3645" s="115" t="str">
        <x:v>Inspection physique</x:v>
      </x:c>
      <x:c r="G3645" s="115" t="str">
        <x:v>1 niveaux ; 36 pièces ; 265 segments de mur ; 0 transitions. Inspection physique ; architecture complète encore ouverte.</x:v>
      </x:c>
      <x:c r="H3645" s="115" t="str">
        <x:v>L 800 ; l 2180 ; hauteur 7,6 m ; choix de composition auteur ; dimensions réelles à documenter</x:v>
      </x:c>
      <x:c r="I3645" s="115" t="str">
        <x:v>À équilibrer</x:v>
      </x:c>
      <x:c r="J3645" s="115" t="str">
        <x:v>Non</x:v>
      </x:c>
      <x:c r="K3645" s="115" t="str">
        <x:v>Pièces décrites, murs, portes, niveaux et mobilier inspectables à l’échelle. Volumes réservés, raccord au seed, butin, rencontres et services de campagne restent à terminer.</x:v>
      </x:c>
    </x:row>
    <x:row r="3646" ht="96" customHeight="1">
      <x:c r="A3646" s="115" t="str">
        <x:v>EXT-MONDE-T073-V41</x:v>
      </x:c>
      <x:c r="B3646" s="115" t="str">
        <x:v>EXT-MONDE-T073</x:v>
      </x:c>
      <x:c r="C3646" s="115" t="str">
        <x:v>Ferroviaire</x:v>
      </x:c>
      <x:c r="D3646" s="115" t="str">
        <x:v>Gare de passage</x:v>
      </x:c>
      <x:c r="E3646" s="115" t="n">
        <x:v>41</x:v>
      </x:c>
      <x:c r="F3646" s="115" t="str">
        <x:v>Inspection physique</x:v>
      </x:c>
      <x:c r="G3646" s="115" t="str">
        <x:v>1 niveaux ; 36 pièces ; 265 segments de mur ; 0 transitions. Inspection physique ; architecture complète encore ouverte.</x:v>
      </x:c>
      <x:c r="H3646" s="115" t="str">
        <x:v>L 800 ; l 2340 ; hauteur 7,8 m ; choix de composition auteur ; dimensions réelles à documenter</x:v>
      </x:c>
      <x:c r="I3646" s="115" t="str">
        <x:v>À équilibrer</x:v>
      </x:c>
      <x:c r="J3646" s="115" t="str">
        <x:v>Non</x:v>
      </x:c>
      <x:c r="K3646" s="115" t="str">
        <x:v>Pièces décrites, murs, portes, niveaux et mobilier inspectables à l’échelle. Volumes réservés, raccord au seed, butin, rencontres et services de campagne restent à terminer.</x:v>
      </x:c>
    </x:row>
    <x:row r="3647" ht="96" customHeight="1">
      <x:c r="A3647" s="115" t="str">
        <x:v>EXT-MONDE-T073-V42</x:v>
      </x:c>
      <x:c r="B3647" s="115" t="str">
        <x:v>EXT-MONDE-T073</x:v>
      </x:c>
      <x:c r="C3647" s="115" t="str">
        <x:v>Ferroviaire</x:v>
      </x:c>
      <x:c r="D3647" s="115" t="str">
        <x:v>Gare de passage</x:v>
      </x:c>
      <x:c r="E3647" s="115" t="n">
        <x:v>42</x:v>
      </x:c>
      <x:c r="F3647" s="115" t="str">
        <x:v>Inspection physique</x:v>
      </x:c>
      <x:c r="G3647" s="115" t="str">
        <x:v>1 niveaux ; 36 pièces ; 265 segments de mur ; 0 transitions. Inspection physique ; architecture complète encore ouverte.</x:v>
      </x:c>
      <x:c r="H3647" s="115" t="str">
        <x:v>L 800 ; l 2340 ; hauteur 7,8 m ; choix de composition auteur ; dimensions réelles à documenter</x:v>
      </x:c>
      <x:c r="I3647" s="115" t="str">
        <x:v>À équilibrer</x:v>
      </x:c>
      <x:c r="J3647" s="115" t="str">
        <x:v>Non</x:v>
      </x:c>
      <x:c r="K3647" s="115" t="str">
        <x:v>Pièces décrites, murs, portes, niveaux et mobilier inspectables à l’échelle. Volumes réservés, raccord au seed, butin, rencontres et services de campagne restent à terminer.</x:v>
      </x:c>
    </x:row>
    <x:row r="3648" ht="96" customHeight="1">
      <x:c r="A3648" s="115" t="str">
        <x:v>EXT-MONDE-T073-V43</x:v>
      </x:c>
      <x:c r="B3648" s="115" t="str">
        <x:v>EXT-MONDE-T073</x:v>
      </x:c>
      <x:c r="C3648" s="115" t="str">
        <x:v>Ferroviaire</x:v>
      </x:c>
      <x:c r="D3648" s="115" t="str">
        <x:v>Gare de passage</x:v>
      </x:c>
      <x:c r="E3648" s="115" t="n">
        <x:v>43</x:v>
      </x:c>
      <x:c r="F3648" s="115" t="str">
        <x:v>Inspection physique</x:v>
      </x:c>
      <x:c r="G3648" s="115" t="str">
        <x:v>1 niveaux ; 36 pièces ; 265 segments de mur ; 0 transitions. Inspection physique ; architecture complète encore ouverte.</x:v>
      </x:c>
      <x:c r="H3648" s="115" t="str">
        <x:v>L 800 ; l 2340 ; hauteur 7,8 m ; choix de composition auteur ; dimensions réelles à documenter</x:v>
      </x:c>
      <x:c r="I3648" s="115" t="str">
        <x:v>À équilibrer</x:v>
      </x:c>
      <x:c r="J3648" s="115" t="str">
        <x:v>Non</x:v>
      </x:c>
      <x:c r="K3648" s="115" t="str">
        <x:v>Pièces décrites, murs, portes, niveaux et mobilier inspectables à l’échelle. Volumes réservés, raccord au seed, butin, rencontres et services de campagne restent à terminer.</x:v>
      </x:c>
    </x:row>
    <x:row r="3649" ht="96" customHeight="1">
      <x:c r="A3649" s="115" t="str">
        <x:v>EXT-MONDE-T073-V44</x:v>
      </x:c>
      <x:c r="B3649" s="115" t="str">
        <x:v>EXT-MONDE-T073</x:v>
      </x:c>
      <x:c r="C3649" s="115" t="str">
        <x:v>Ferroviaire</x:v>
      </x:c>
      <x:c r="D3649" s="115" t="str">
        <x:v>Gare de passage</x:v>
      </x:c>
      <x:c r="E3649" s="115" t="n">
        <x:v>44</x:v>
      </x:c>
      <x:c r="F3649" s="115" t="str">
        <x:v>Inspection physique</x:v>
      </x:c>
      <x:c r="G3649" s="115" t="str">
        <x:v>1 niveaux ; 36 pièces ; 265 segments de mur ; 0 transitions. Inspection physique ; architecture complète encore ouverte.</x:v>
      </x:c>
      <x:c r="H3649" s="115" t="str">
        <x:v>L 800 ; l 2340 ; hauteur 7,8 m ; choix de composition auteur ; dimensions réelles à documenter</x:v>
      </x:c>
      <x:c r="I3649" s="115" t="str">
        <x:v>À équilibrer</x:v>
      </x:c>
      <x:c r="J3649" s="115" t="str">
        <x:v>Non</x:v>
      </x:c>
      <x:c r="K3649" s="115" t="str">
        <x:v>Pièces décrites, murs, portes, niveaux et mobilier inspectables à l’échelle. Volumes réservés, raccord au seed, butin, rencontres et services de campagne restent à terminer.</x:v>
      </x:c>
    </x:row>
    <x:row r="3650" ht="96" customHeight="1">
      <x:c r="A3650" s="115" t="str">
        <x:v>EXT-MONDE-T073-V45</x:v>
      </x:c>
      <x:c r="B3650" s="115" t="str">
        <x:v>EXT-MONDE-T073</x:v>
      </x:c>
      <x:c r="C3650" s="115" t="str">
        <x:v>Ferroviaire</x:v>
      </x:c>
      <x:c r="D3650" s="115" t="str">
        <x:v>Gare de passage</x:v>
      </x:c>
      <x:c r="E3650" s="115" t="n">
        <x:v>45</x:v>
      </x:c>
      <x:c r="F3650" s="115" t="str">
        <x:v>Inspection physique</x:v>
      </x:c>
      <x:c r="G3650" s="115" t="str">
        <x:v>1 niveaux ; 36 pièces ; 265 segments de mur ; 0 transitions. Inspection physique ; architecture complète encore ouverte.</x:v>
      </x:c>
      <x:c r="H3650" s="115" t="str">
        <x:v>L 800 ; l 2340 ; hauteur 7,8 m ; choix de composition auteur ; dimensions réelles à documenter</x:v>
      </x:c>
      <x:c r="I3650" s="115" t="str">
        <x:v>À équilibrer</x:v>
      </x:c>
      <x:c r="J3650" s="115" t="str">
        <x:v>Non</x:v>
      </x:c>
      <x:c r="K3650" s="115" t="str">
        <x:v>Pièces décrites, murs, portes, niveaux et mobilier inspectables à l’échelle. Volumes réservés, raccord au seed, butin, rencontres et services de campagne restent à terminer.</x:v>
      </x:c>
    </x:row>
    <x:row r="3651" ht="96" customHeight="1">
      <x:c r="A3651" s="115" t="str">
        <x:v>EXT-MONDE-T073-V46</x:v>
      </x:c>
      <x:c r="B3651" s="115" t="str">
        <x:v>EXT-MONDE-T073</x:v>
      </x:c>
      <x:c r="C3651" s="115" t="str">
        <x:v>Ferroviaire</x:v>
      </x:c>
      <x:c r="D3651" s="115" t="str">
        <x:v>Gare de passage</x:v>
      </x:c>
      <x:c r="E3651" s="115" t="n">
        <x:v>46</x:v>
      </x:c>
      <x:c r="F3651" s="115" t="str">
        <x:v>Inspection physique</x:v>
      </x:c>
      <x:c r="G3651" s="115" t="str">
        <x:v>1 niveaux ; 36 pièces ; 265 segments de mur ; 0 transitions. Inspection physique ; architecture complète encore ouverte.</x:v>
      </x:c>
      <x:c r="H3651" s="115" t="str">
        <x:v>L 800 ; l 2340 ; hauteur 7,8 m ; choix de composition auteur ; dimensions réelles à documenter</x:v>
      </x:c>
      <x:c r="I3651" s="115" t="str">
        <x:v>À équilibrer</x:v>
      </x:c>
      <x:c r="J3651" s="115" t="str">
        <x:v>Non</x:v>
      </x:c>
      <x:c r="K3651" s="115" t="str">
        <x:v>Pièces décrites, murs, portes, niveaux et mobilier inspectables à l’échelle. Volumes réservés, raccord au seed, butin, rencontres et services de campagne restent à terminer.</x:v>
      </x:c>
    </x:row>
    <x:row r="3652" ht="96" customHeight="1">
      <x:c r="A3652" s="115" t="str">
        <x:v>EXT-MONDE-T073-V47</x:v>
      </x:c>
      <x:c r="B3652" s="115" t="str">
        <x:v>EXT-MONDE-T073</x:v>
      </x:c>
      <x:c r="C3652" s="115" t="str">
        <x:v>Ferroviaire</x:v>
      </x:c>
      <x:c r="D3652" s="115" t="str">
        <x:v>Gare de passage</x:v>
      </x:c>
      <x:c r="E3652" s="115" t="n">
        <x:v>47</x:v>
      </x:c>
      <x:c r="F3652" s="115" t="str">
        <x:v>Inspection physique</x:v>
      </x:c>
      <x:c r="G3652" s="115" t="str">
        <x:v>1 niveaux ; 36 pièces ; 265 segments de mur ; 0 transitions. Inspection physique ; architecture complète encore ouverte.</x:v>
      </x:c>
      <x:c r="H3652" s="115" t="str">
        <x:v>L 800 ; l 2340 ; hauteur 7,8 m ; choix de composition auteur ; dimensions réelles à documenter</x:v>
      </x:c>
      <x:c r="I3652" s="115" t="str">
        <x:v>À équilibrer</x:v>
      </x:c>
      <x:c r="J3652" s="115" t="str">
        <x:v>Non</x:v>
      </x:c>
      <x:c r="K3652" s="115" t="str">
        <x:v>Pièces décrites, murs, portes, niveaux et mobilier inspectables à l’échelle. Volumes réservés, raccord au seed, butin, rencontres et services de campagne restent à terminer.</x:v>
      </x:c>
    </x:row>
    <x:row r="3653" ht="96" customHeight="1">
      <x:c r="A3653" s="115" t="str">
        <x:v>EXT-MONDE-T073-V48</x:v>
      </x:c>
      <x:c r="B3653" s="115" t="str">
        <x:v>EXT-MONDE-T073</x:v>
      </x:c>
      <x:c r="C3653" s="115" t="str">
        <x:v>Ferroviaire</x:v>
      </x:c>
      <x:c r="D3653" s="115" t="str">
        <x:v>Gare de passage</x:v>
      </x:c>
      <x:c r="E3653" s="115" t="n">
        <x:v>48</x:v>
      </x:c>
      <x:c r="F3653" s="115" t="str">
        <x:v>Inspection physique</x:v>
      </x:c>
      <x:c r="G3653" s="115" t="str">
        <x:v>1 niveaux ; 36 pièces ; 265 segments de mur ; 0 transitions. Inspection physique ; architecture complète encore ouverte.</x:v>
      </x:c>
      <x:c r="H3653" s="115" t="str">
        <x:v>L 800 ; l 2340 ; hauteur 7,8 m ; choix de composition auteur ; dimensions réelles à documenter</x:v>
      </x:c>
      <x:c r="I3653" s="115" t="str">
        <x:v>À équilibrer</x:v>
      </x:c>
      <x:c r="J3653" s="115" t="str">
        <x:v>Non</x:v>
      </x:c>
      <x:c r="K3653" s="115" t="str">
        <x:v>Pièces décrites, murs, portes, niveaux et mobilier inspectables à l’échelle. Volumes réservés, raccord au seed, butin, rencontres et services de campagne restent à terminer.</x:v>
      </x:c>
    </x:row>
    <x:row r="3654" ht="96" customHeight="1">
      <x:c r="A3654" s="115" t="str">
        <x:v>EXT-MONDE-T073-V49</x:v>
      </x:c>
      <x:c r="B3654" s="115" t="str">
        <x:v>EXT-MONDE-T073</x:v>
      </x:c>
      <x:c r="C3654" s="115" t="str">
        <x:v>Ferroviaire</x:v>
      </x:c>
      <x:c r="D3654" s="115" t="str">
        <x:v>Gare de passage</x:v>
      </x:c>
      <x:c r="E3654" s="115" t="n">
        <x:v>49</x:v>
      </x:c>
      <x:c r="F3654" s="115" t="str">
        <x:v>Inspection physique</x:v>
      </x:c>
      <x:c r="G3654" s="115" t="str">
        <x:v>1 niveaux ; 36 pièces ; 265 segments de mur ; 0 transitions. Inspection physique ; architecture complète encore ouverte.</x:v>
      </x:c>
      <x:c r="H3654" s="115" t="str">
        <x:v>L 800 ; l 2340 ; hauteur 7,8 m ; choix de composition auteur ; dimensions réelles à documenter</x:v>
      </x:c>
      <x:c r="I3654" s="115" t="str">
        <x:v>À équilibrer</x:v>
      </x:c>
      <x:c r="J3654" s="115" t="str">
        <x:v>Non</x:v>
      </x:c>
      <x:c r="K3654" s="115" t="str">
        <x:v>Pièces décrites, murs, portes, niveaux et mobilier inspectables à l’échelle. Volumes réservés, raccord au seed, butin, rencontres et services de campagne restent à terminer.</x:v>
      </x:c>
    </x:row>
    <x:row r="3655" ht="96" customHeight="1">
      <x:c r="A3655" s="115" t="str">
        <x:v>EXT-MONDE-T073-V50</x:v>
      </x:c>
      <x:c r="B3655" s="115" t="str">
        <x:v>EXT-MONDE-T073</x:v>
      </x:c>
      <x:c r="C3655" s="115" t="str">
        <x:v>Ferroviaire</x:v>
      </x:c>
      <x:c r="D3655" s="115" t="str">
        <x:v>Gare de passage</x:v>
      </x:c>
      <x:c r="E3655" s="115" t="n">
        <x:v>50</x:v>
      </x:c>
      <x:c r="F3655" s="115" t="str">
        <x:v>Inspection physique</x:v>
      </x:c>
      <x:c r="G3655" s="115" t="str">
        <x:v>1 niveaux ; 36 pièces ; 265 segments de mur ; 0 transitions. Inspection physique ; architecture complète encore ouverte.</x:v>
      </x:c>
      <x:c r="H3655" s="115" t="str">
        <x:v>L 800 ; l 2340 ; hauteur 7,8 m ; choix de composition auteur ; dimensions réelles à documenter</x:v>
      </x:c>
      <x:c r="I3655" s="115" t="str">
        <x:v>À équilibrer</x:v>
      </x:c>
      <x:c r="J3655" s="115" t="str">
        <x:v>Non</x:v>
      </x:c>
      <x:c r="K3655" s="115" t="str">
        <x:v>Pièces décrites, murs, portes, niveaux et mobilier inspectables à l’échelle. Volumes réservés, raccord au seed, butin, rencontres et services de campagne restent à terminer.</x:v>
      </x:c>
    </x:row>
    <x:row r="3656" ht="96" customHeight="1">
      <x:c r="A3656" s="115" t="str">
        <x:v>EXT-MONDE-T074-V01</x:v>
      </x:c>
      <x:c r="B3656" s="115" t="str">
        <x:v>EXT-MONDE-T074</x:v>
      </x:c>
      <x:c r="C3656" s="115" t="str">
        <x:v>Ferroviaire</x:v>
      </x:c>
      <x:c r="D3656" s="115" t="str">
        <x:v>Gare terminus</x:v>
      </x:c>
      <x:c r="E3656" s="115" t="n">
        <x:v>1</x:v>
      </x:c>
      <x:c r="F3656" s="115" t="str">
        <x:v>Inspection physique</x:v>
      </x:c>
      <x:c r="G3656" s="115" t="str">
        <x:v>1 niveaux ; 36 pièces ; 265 segments de mur ; 0 transitions. Inspection physique ; architecture complète encore ouverte.</x:v>
      </x:c>
      <x:c r="H3656" s="115" t="str">
        <x:v>L 800 ; l 1900 ; hauteur 7 m ; choix de composition auteur ; dimensions réelles à documenter</x:v>
      </x:c>
      <x:c r="I3656" s="115" t="str">
        <x:v>À équilibrer</x:v>
      </x:c>
      <x:c r="J3656" s="115" t="str">
        <x:v>Non</x:v>
      </x:c>
      <x:c r="K3656" s="115" t="str">
        <x:v>Pièces décrites, murs, portes, niveaux et mobilier inspectables à l’échelle. Volumes réservés, raccord au seed, butin, rencontres et services de campagne restent à terminer.</x:v>
      </x:c>
    </x:row>
    <x:row r="3657" ht="96" customHeight="1">
      <x:c r="A3657" s="115" t="str">
        <x:v>EXT-MONDE-T074-V02</x:v>
      </x:c>
      <x:c r="B3657" s="115" t="str">
        <x:v>EXT-MONDE-T074</x:v>
      </x:c>
      <x:c r="C3657" s="115" t="str">
        <x:v>Ferroviaire</x:v>
      </x:c>
      <x:c r="D3657" s="115" t="str">
        <x:v>Gare terminus</x:v>
      </x:c>
      <x:c r="E3657" s="115" t="n">
        <x:v>2</x:v>
      </x:c>
      <x:c r="F3657" s="115" t="str">
        <x:v>Inspection physique</x:v>
      </x:c>
      <x:c r="G3657" s="115" t="str">
        <x:v>1 niveaux ; 36 pièces ; 265 segments de mur ; 0 transitions. Inspection physique ; architecture complète encore ouverte.</x:v>
      </x:c>
      <x:c r="H3657" s="115" t="str">
        <x:v>L 800 ; l 1900 ; hauteur 7 m ; choix de composition auteur ; dimensions réelles à documenter</x:v>
      </x:c>
      <x:c r="I3657" s="115" t="str">
        <x:v>À équilibrer</x:v>
      </x:c>
      <x:c r="J3657" s="115" t="str">
        <x:v>Non</x:v>
      </x:c>
      <x:c r="K3657" s="115" t="str">
        <x:v>Pièces décrites, murs, portes, niveaux et mobilier inspectables à l’échelle. Volumes réservés, raccord au seed, butin, rencontres et services de campagne restent à terminer.</x:v>
      </x:c>
    </x:row>
    <x:row r="3658" ht="96" customHeight="1">
      <x:c r="A3658" s="115" t="str">
        <x:v>EXT-MONDE-T074-V03</x:v>
      </x:c>
      <x:c r="B3658" s="115" t="str">
        <x:v>EXT-MONDE-T074</x:v>
      </x:c>
      <x:c r="C3658" s="115" t="str">
        <x:v>Ferroviaire</x:v>
      </x:c>
      <x:c r="D3658" s="115" t="str">
        <x:v>Gare terminus</x:v>
      </x:c>
      <x:c r="E3658" s="115" t="n">
        <x:v>3</x:v>
      </x:c>
      <x:c r="F3658" s="115" t="str">
        <x:v>Inspection physique</x:v>
      </x:c>
      <x:c r="G3658" s="115" t="str">
        <x:v>1 niveaux ; 36 pièces ; 265 segments de mur ; 0 transitions. Inspection physique ; architecture complète encore ouverte.</x:v>
      </x:c>
      <x:c r="H3658" s="115" t="str">
        <x:v>L 800 ; l 1900 ; hauteur 7 m ; choix de composition auteur ; dimensions réelles à documenter</x:v>
      </x:c>
      <x:c r="I3658" s="115" t="str">
        <x:v>À équilibrer</x:v>
      </x:c>
      <x:c r="J3658" s="115" t="str">
        <x:v>Non</x:v>
      </x:c>
      <x:c r="K3658" s="115" t="str">
        <x:v>Pièces décrites, murs, portes, niveaux et mobilier inspectables à l’échelle. Volumes réservés, raccord au seed, butin, rencontres et services de campagne restent à terminer.</x:v>
      </x:c>
    </x:row>
    <x:row r="3659" ht="96" customHeight="1">
      <x:c r="A3659" s="115" t="str">
        <x:v>EXT-MONDE-T074-V04</x:v>
      </x:c>
      <x:c r="B3659" s="115" t="str">
        <x:v>EXT-MONDE-T074</x:v>
      </x:c>
      <x:c r="C3659" s="115" t="str">
        <x:v>Ferroviaire</x:v>
      </x:c>
      <x:c r="D3659" s="115" t="str">
        <x:v>Gare terminus</x:v>
      </x:c>
      <x:c r="E3659" s="115" t="n">
        <x:v>4</x:v>
      </x:c>
      <x:c r="F3659" s="115" t="str">
        <x:v>Inspection physique</x:v>
      </x:c>
      <x:c r="G3659" s="115" t="str">
        <x:v>1 niveaux ; 36 pièces ; 265 segments de mur ; 0 transitions. Inspection physique ; architecture complète encore ouverte.</x:v>
      </x:c>
      <x:c r="H3659" s="115" t="str">
        <x:v>L 800 ; l 1900 ; hauteur 7 m ; choix de composition auteur ; dimensions réelles à documenter</x:v>
      </x:c>
      <x:c r="I3659" s="115" t="str">
        <x:v>À équilibrer</x:v>
      </x:c>
      <x:c r="J3659" s="115" t="str">
        <x:v>Non</x:v>
      </x:c>
      <x:c r="K3659" s="115" t="str">
        <x:v>Pièces décrites, murs, portes, niveaux et mobilier inspectables à l’échelle. Volumes réservés, raccord au seed, butin, rencontres et services de campagne restent à terminer.</x:v>
      </x:c>
    </x:row>
    <x:row r="3660" ht="96" customHeight="1">
      <x:c r="A3660" s="115" t="str">
        <x:v>EXT-MONDE-T074-V05</x:v>
      </x:c>
      <x:c r="B3660" s="115" t="str">
        <x:v>EXT-MONDE-T074</x:v>
      </x:c>
      <x:c r="C3660" s="115" t="str">
        <x:v>Ferroviaire</x:v>
      </x:c>
      <x:c r="D3660" s="115" t="str">
        <x:v>Gare terminus</x:v>
      </x:c>
      <x:c r="E3660" s="115" t="n">
        <x:v>5</x:v>
      </x:c>
      <x:c r="F3660" s="115" t="str">
        <x:v>Inspection physique</x:v>
      </x:c>
      <x:c r="G3660" s="115" t="str">
        <x:v>1 niveaux ; 36 pièces ; 265 segments de mur ; 0 transitions. Inspection physique ; architecture complète encore ouverte.</x:v>
      </x:c>
      <x:c r="H3660" s="115" t="str">
        <x:v>L 800 ; l 1900 ; hauteur 7 m ; choix de composition auteur ; dimensions réelles à documenter</x:v>
      </x:c>
      <x:c r="I3660" s="115" t="str">
        <x:v>À équilibrer</x:v>
      </x:c>
      <x:c r="J3660" s="115" t="str">
        <x:v>Non</x:v>
      </x:c>
      <x:c r="K3660" s="115" t="str">
        <x:v>Pièces décrites, murs, portes, niveaux et mobilier inspectables à l’échelle. Volumes réservés, raccord au seed, butin, rencontres et services de campagne restent à terminer.</x:v>
      </x:c>
    </x:row>
    <x:row r="3661" ht="96" customHeight="1">
      <x:c r="A3661" s="115" t="str">
        <x:v>EXT-MONDE-T074-V06</x:v>
      </x:c>
      <x:c r="B3661" s="115" t="str">
        <x:v>EXT-MONDE-T074</x:v>
      </x:c>
      <x:c r="C3661" s="115" t="str">
        <x:v>Ferroviaire</x:v>
      </x:c>
      <x:c r="D3661" s="115" t="str">
        <x:v>Gare terminus</x:v>
      </x:c>
      <x:c r="E3661" s="115" t="n">
        <x:v>6</x:v>
      </x:c>
      <x:c r="F3661" s="115" t="str">
        <x:v>Inspection physique</x:v>
      </x:c>
      <x:c r="G3661" s="115" t="str">
        <x:v>1 niveaux ; 36 pièces ; 265 segments de mur ; 0 transitions. Inspection physique ; architecture complète encore ouverte.</x:v>
      </x:c>
      <x:c r="H3661" s="115" t="str">
        <x:v>L 800 ; l 1900 ; hauteur 7 m ; choix de composition auteur ; dimensions réelles à documenter</x:v>
      </x:c>
      <x:c r="I3661" s="115" t="str">
        <x:v>À équilibrer</x:v>
      </x:c>
      <x:c r="J3661" s="115" t="str">
        <x:v>Non</x:v>
      </x:c>
      <x:c r="K3661" s="115" t="str">
        <x:v>Pièces décrites, murs, portes, niveaux et mobilier inspectables à l’échelle. Volumes réservés, raccord au seed, butin, rencontres et services de campagne restent à terminer.</x:v>
      </x:c>
    </x:row>
    <x:row r="3662" ht="96" customHeight="1">
      <x:c r="A3662" s="115" t="str">
        <x:v>EXT-MONDE-T074-V07</x:v>
      </x:c>
      <x:c r="B3662" s="115" t="str">
        <x:v>EXT-MONDE-T074</x:v>
      </x:c>
      <x:c r="C3662" s="115" t="str">
        <x:v>Ferroviaire</x:v>
      </x:c>
      <x:c r="D3662" s="115" t="str">
        <x:v>Gare terminus</x:v>
      </x:c>
      <x:c r="E3662" s="115" t="n">
        <x:v>7</x:v>
      </x:c>
      <x:c r="F3662" s="115" t="str">
        <x:v>Inspection physique</x:v>
      </x:c>
      <x:c r="G3662" s="115" t="str">
        <x:v>1 niveaux ; 36 pièces ; 265 segments de mur ; 0 transitions. Inspection physique ; architecture complète encore ouverte.</x:v>
      </x:c>
      <x:c r="H3662" s="115" t="str">
        <x:v>L 800 ; l 1900 ; hauteur 7 m ; choix de composition auteur ; dimensions réelles à documenter</x:v>
      </x:c>
      <x:c r="I3662" s="115" t="str">
        <x:v>À équilibrer</x:v>
      </x:c>
      <x:c r="J3662" s="115" t="str">
        <x:v>Non</x:v>
      </x:c>
      <x:c r="K3662" s="115" t="str">
        <x:v>Pièces décrites, murs, portes, niveaux et mobilier inspectables à l’échelle. Volumes réservés, raccord au seed, butin, rencontres et services de campagne restent à terminer.</x:v>
      </x:c>
    </x:row>
    <x:row r="3663" ht="96" customHeight="1">
      <x:c r="A3663" s="115" t="str">
        <x:v>EXT-MONDE-T074-V08</x:v>
      </x:c>
      <x:c r="B3663" s="115" t="str">
        <x:v>EXT-MONDE-T074</x:v>
      </x:c>
      <x:c r="C3663" s="115" t="str">
        <x:v>Ferroviaire</x:v>
      </x:c>
      <x:c r="D3663" s="115" t="str">
        <x:v>Gare terminus</x:v>
      </x:c>
      <x:c r="E3663" s="115" t="n">
        <x:v>8</x:v>
      </x:c>
      <x:c r="F3663" s="115" t="str">
        <x:v>Inspection physique</x:v>
      </x:c>
      <x:c r="G3663" s="115" t="str">
        <x:v>1 niveaux ; 36 pièces ; 265 segments de mur ; 0 transitions. Inspection physique ; architecture complète encore ouverte.</x:v>
      </x:c>
      <x:c r="H3663" s="115" t="str">
        <x:v>L 800 ; l 1900 ; hauteur 7 m ; choix de composition auteur ; dimensions réelles à documenter</x:v>
      </x:c>
      <x:c r="I3663" s="115" t="str">
        <x:v>À équilibrer</x:v>
      </x:c>
      <x:c r="J3663" s="115" t="str">
        <x:v>Non</x:v>
      </x:c>
      <x:c r="K3663" s="115" t="str">
        <x:v>Pièces décrites, murs, portes, niveaux et mobilier inspectables à l’échelle. Volumes réservés, raccord au seed, butin, rencontres et services de campagne restent à terminer.</x:v>
      </x:c>
    </x:row>
    <x:row r="3664" ht="96" customHeight="1">
      <x:c r="A3664" s="115" t="str">
        <x:v>EXT-MONDE-T074-V09</x:v>
      </x:c>
      <x:c r="B3664" s="115" t="str">
        <x:v>EXT-MONDE-T074</x:v>
      </x:c>
      <x:c r="C3664" s="115" t="str">
        <x:v>Ferroviaire</x:v>
      </x:c>
      <x:c r="D3664" s="115" t="str">
        <x:v>Gare terminus</x:v>
      </x:c>
      <x:c r="E3664" s="115" t="n">
        <x:v>9</x:v>
      </x:c>
      <x:c r="F3664" s="115" t="str">
        <x:v>Inspection physique</x:v>
      </x:c>
      <x:c r="G3664" s="115" t="str">
        <x:v>1 niveaux ; 36 pièces ; 265 segments de mur ; 0 transitions. Inspection physique ; architecture complète encore ouverte.</x:v>
      </x:c>
      <x:c r="H3664" s="115" t="str">
        <x:v>L 800 ; l 1900 ; hauteur 7 m ; choix de composition auteur ; dimensions réelles à documenter</x:v>
      </x:c>
      <x:c r="I3664" s="115" t="str">
        <x:v>À équilibrer</x:v>
      </x:c>
      <x:c r="J3664" s="115" t="str">
        <x:v>Non</x:v>
      </x:c>
      <x:c r="K3664" s="115" t="str">
        <x:v>Pièces décrites, murs, portes, niveaux et mobilier inspectables à l’échelle. Volumes réservés, raccord au seed, butin, rencontres et services de campagne restent à terminer.</x:v>
      </x:c>
    </x:row>
    <x:row r="3665" ht="96" customHeight="1">
      <x:c r="A3665" s="115" t="str">
        <x:v>EXT-MONDE-T074-V10</x:v>
      </x:c>
      <x:c r="B3665" s="115" t="str">
        <x:v>EXT-MONDE-T074</x:v>
      </x:c>
      <x:c r="C3665" s="115" t="str">
        <x:v>Ferroviaire</x:v>
      </x:c>
      <x:c r="D3665" s="115" t="str">
        <x:v>Gare terminus</x:v>
      </x:c>
      <x:c r="E3665" s="115" t="n">
        <x:v>10</x:v>
      </x:c>
      <x:c r="F3665" s="115" t="str">
        <x:v>Inspection physique</x:v>
      </x:c>
      <x:c r="G3665" s="115" t="str">
        <x:v>1 niveaux ; 36 pièces ; 265 segments de mur ; 0 transitions. Inspection physique ; architecture complète encore ouverte.</x:v>
      </x:c>
      <x:c r="H3665" s="115" t="str">
        <x:v>L 800 ; l 1900 ; hauteur 7 m ; choix de composition auteur ; dimensions réelles à documenter</x:v>
      </x:c>
      <x:c r="I3665" s="115" t="str">
        <x:v>À équilibrer</x:v>
      </x:c>
      <x:c r="J3665" s="115" t="str">
        <x:v>Non</x:v>
      </x:c>
      <x:c r="K3665" s="115" t="str">
        <x:v>Pièces décrites, murs, portes, niveaux et mobilier inspectables à l’échelle. Volumes réservés, raccord au seed, butin, rencontres et services de campagne restent à terminer.</x:v>
      </x:c>
    </x:row>
    <x:row r="3666" ht="96" customHeight="1">
      <x:c r="A3666" s="115" t="str">
        <x:v>EXT-MONDE-T074-V11</x:v>
      </x:c>
      <x:c r="B3666" s="115" t="str">
        <x:v>EXT-MONDE-T074</x:v>
      </x:c>
      <x:c r="C3666" s="115" t="str">
        <x:v>Ferroviaire</x:v>
      </x:c>
      <x:c r="D3666" s="115" t="str">
        <x:v>Gare terminus</x:v>
      </x:c>
      <x:c r="E3666" s="115" t="n">
        <x:v>11</x:v>
      </x:c>
      <x:c r="F3666" s="115" t="str">
        <x:v>Inspection physique</x:v>
      </x:c>
      <x:c r="G3666" s="115" t="str">
        <x:v>1 niveaux ; 36 pièces ; 265 segments de mur ; 0 transitions. Inspection physique ; architecture complète encore ouverte.</x:v>
      </x:c>
      <x:c r="H3666" s="115" t="str">
        <x:v>L 800 ; l 2100 ; hauteur 7,2 m ; choix de composition auteur ; dimensions réelles à documenter</x:v>
      </x:c>
      <x:c r="I3666" s="115" t="str">
        <x:v>À équilibrer</x:v>
      </x:c>
      <x:c r="J3666" s="115" t="str">
        <x:v>Non</x:v>
      </x:c>
      <x:c r="K3666" s="115" t="str">
        <x:v>Pièces décrites, murs, portes, niveaux et mobilier inspectables à l’échelle. Volumes réservés, raccord au seed, butin, rencontres et services de campagne restent à terminer.</x:v>
      </x:c>
    </x:row>
    <x:row r="3667" ht="96" customHeight="1">
      <x:c r="A3667" s="115" t="str">
        <x:v>EXT-MONDE-T074-V12</x:v>
      </x:c>
      <x:c r="B3667" s="115" t="str">
        <x:v>EXT-MONDE-T074</x:v>
      </x:c>
      <x:c r="C3667" s="115" t="str">
        <x:v>Ferroviaire</x:v>
      </x:c>
      <x:c r="D3667" s="115" t="str">
        <x:v>Gare terminus</x:v>
      </x:c>
      <x:c r="E3667" s="115" t="n">
        <x:v>12</x:v>
      </x:c>
      <x:c r="F3667" s="115" t="str">
        <x:v>Inspection physique</x:v>
      </x:c>
      <x:c r="G3667" s="115" t="str">
        <x:v>1 niveaux ; 36 pièces ; 265 segments de mur ; 0 transitions. Inspection physique ; architecture complète encore ouverte.</x:v>
      </x:c>
      <x:c r="H3667" s="115" t="str">
        <x:v>L 800 ; l 2100 ; hauteur 7,2 m ; choix de composition auteur ; dimensions réelles à documenter</x:v>
      </x:c>
      <x:c r="I3667" s="115" t="str">
        <x:v>À équilibrer</x:v>
      </x:c>
      <x:c r="J3667" s="115" t="str">
        <x:v>Non</x:v>
      </x:c>
      <x:c r="K3667" s="115" t="str">
        <x:v>Pièces décrites, murs, portes, niveaux et mobilier inspectables à l’échelle. Volumes réservés, raccord au seed, butin, rencontres et services de campagne restent à terminer.</x:v>
      </x:c>
    </x:row>
    <x:row r="3668" ht="96" customHeight="1">
      <x:c r="A3668" s="115" t="str">
        <x:v>EXT-MONDE-T074-V13</x:v>
      </x:c>
      <x:c r="B3668" s="115" t="str">
        <x:v>EXT-MONDE-T074</x:v>
      </x:c>
      <x:c r="C3668" s="115" t="str">
        <x:v>Ferroviaire</x:v>
      </x:c>
      <x:c r="D3668" s="115" t="str">
        <x:v>Gare terminus</x:v>
      </x:c>
      <x:c r="E3668" s="115" t="n">
        <x:v>13</x:v>
      </x:c>
      <x:c r="F3668" s="115" t="str">
        <x:v>Inspection physique</x:v>
      </x:c>
      <x:c r="G3668" s="115" t="str">
        <x:v>1 niveaux ; 36 pièces ; 265 segments de mur ; 0 transitions. Inspection physique ; architecture complète encore ouverte.</x:v>
      </x:c>
      <x:c r="H3668" s="115" t="str">
        <x:v>L 800 ; l 2100 ; hauteur 7,2 m ; choix de composition auteur ; dimensions réelles à documenter</x:v>
      </x:c>
      <x:c r="I3668" s="115" t="str">
        <x:v>À équilibrer</x:v>
      </x:c>
      <x:c r="J3668" s="115" t="str">
        <x:v>Non</x:v>
      </x:c>
      <x:c r="K3668" s="115" t="str">
        <x:v>Pièces décrites, murs, portes, niveaux et mobilier inspectables à l’échelle. Volumes réservés, raccord au seed, butin, rencontres et services de campagne restent à terminer.</x:v>
      </x:c>
    </x:row>
    <x:row r="3669" ht="96" customHeight="1">
      <x:c r="A3669" s="115" t="str">
        <x:v>EXT-MONDE-T074-V14</x:v>
      </x:c>
      <x:c r="B3669" s="115" t="str">
        <x:v>EXT-MONDE-T074</x:v>
      </x:c>
      <x:c r="C3669" s="115" t="str">
        <x:v>Ferroviaire</x:v>
      </x:c>
      <x:c r="D3669" s="115" t="str">
        <x:v>Gare terminus</x:v>
      </x:c>
      <x:c r="E3669" s="115" t="n">
        <x:v>14</x:v>
      </x:c>
      <x:c r="F3669" s="115" t="str">
        <x:v>Inspection physique</x:v>
      </x:c>
      <x:c r="G3669" s="115" t="str">
        <x:v>1 niveaux ; 36 pièces ; 265 segments de mur ; 0 transitions. Inspection physique ; architecture complète encore ouverte.</x:v>
      </x:c>
      <x:c r="H3669" s="115" t="str">
        <x:v>L 800 ; l 2100 ; hauteur 7,2 m ; choix de composition auteur ; dimensions réelles à documenter</x:v>
      </x:c>
      <x:c r="I3669" s="115" t="str">
        <x:v>À équilibrer</x:v>
      </x:c>
      <x:c r="J3669" s="115" t="str">
        <x:v>Non</x:v>
      </x:c>
      <x:c r="K3669" s="115" t="str">
        <x:v>Pièces décrites, murs, portes, niveaux et mobilier inspectables à l’échelle. Volumes réservés, raccord au seed, butin, rencontres et services de campagne restent à terminer.</x:v>
      </x:c>
    </x:row>
    <x:row r="3670" ht="96" customHeight="1">
      <x:c r="A3670" s="115" t="str">
        <x:v>EXT-MONDE-T074-V15</x:v>
      </x:c>
      <x:c r="B3670" s="115" t="str">
        <x:v>EXT-MONDE-T074</x:v>
      </x:c>
      <x:c r="C3670" s="115" t="str">
        <x:v>Ferroviaire</x:v>
      </x:c>
      <x:c r="D3670" s="115" t="str">
        <x:v>Gare terminus</x:v>
      </x:c>
      <x:c r="E3670" s="115" t="n">
        <x:v>15</x:v>
      </x:c>
      <x:c r="F3670" s="115" t="str">
        <x:v>Inspection physique</x:v>
      </x:c>
      <x:c r="G3670" s="115" t="str">
        <x:v>1 niveaux ; 36 pièces ; 265 segments de mur ; 0 transitions. Inspection physique ; architecture complète encore ouverte.</x:v>
      </x:c>
      <x:c r="H3670" s="115" t="str">
        <x:v>L 800 ; l 2100 ; hauteur 7,2 m ; choix de composition auteur ; dimensions réelles à documenter</x:v>
      </x:c>
      <x:c r="I3670" s="115" t="str">
        <x:v>À équilibrer</x:v>
      </x:c>
      <x:c r="J3670" s="115" t="str">
        <x:v>Non</x:v>
      </x:c>
      <x:c r="K3670" s="115" t="str">
        <x:v>Pièces décrites, murs, portes, niveaux et mobilier inspectables à l’échelle. Volumes réservés, raccord au seed, butin, rencontres et services de campagne restent à terminer.</x:v>
      </x:c>
    </x:row>
    <x:row r="3671" ht="96" customHeight="1">
      <x:c r="A3671" s="115" t="str">
        <x:v>EXT-MONDE-T074-V16</x:v>
      </x:c>
      <x:c r="B3671" s="115" t="str">
        <x:v>EXT-MONDE-T074</x:v>
      </x:c>
      <x:c r="C3671" s="115" t="str">
        <x:v>Ferroviaire</x:v>
      </x:c>
      <x:c r="D3671" s="115" t="str">
        <x:v>Gare terminus</x:v>
      </x:c>
      <x:c r="E3671" s="115" t="n">
        <x:v>16</x:v>
      </x:c>
      <x:c r="F3671" s="115" t="str">
        <x:v>Inspection physique</x:v>
      </x:c>
      <x:c r="G3671" s="115" t="str">
        <x:v>1 niveaux ; 36 pièces ; 265 segments de mur ; 0 transitions. Inspection physique ; architecture complète encore ouverte.</x:v>
      </x:c>
      <x:c r="H3671" s="115" t="str">
        <x:v>L 800 ; l 2100 ; hauteur 7,2 m ; choix de composition auteur ; dimensions réelles à documenter</x:v>
      </x:c>
      <x:c r="I3671" s="115" t="str">
        <x:v>À équilibrer</x:v>
      </x:c>
      <x:c r="J3671" s="115" t="str">
        <x:v>Non</x:v>
      </x:c>
      <x:c r="K3671" s="115" t="str">
        <x:v>Pièces décrites, murs, portes, niveaux et mobilier inspectables à l’échelle. Volumes réservés, raccord au seed, butin, rencontres et services de campagne restent à terminer.</x:v>
      </x:c>
    </x:row>
    <x:row r="3672" ht="96" customHeight="1">
      <x:c r="A3672" s="115" t="str">
        <x:v>EXT-MONDE-T074-V17</x:v>
      </x:c>
      <x:c r="B3672" s="115" t="str">
        <x:v>EXT-MONDE-T074</x:v>
      </x:c>
      <x:c r="C3672" s="115" t="str">
        <x:v>Ferroviaire</x:v>
      </x:c>
      <x:c r="D3672" s="115" t="str">
        <x:v>Gare terminus</x:v>
      </x:c>
      <x:c r="E3672" s="115" t="n">
        <x:v>17</x:v>
      </x:c>
      <x:c r="F3672" s="115" t="str">
        <x:v>Inspection physique</x:v>
      </x:c>
      <x:c r="G3672" s="115" t="str">
        <x:v>1 niveaux ; 36 pièces ; 265 segments de mur ; 0 transitions. Inspection physique ; architecture complète encore ouverte.</x:v>
      </x:c>
      <x:c r="H3672" s="115" t="str">
        <x:v>L 800 ; l 2100 ; hauteur 7,2 m ; choix de composition auteur ; dimensions réelles à documenter</x:v>
      </x:c>
      <x:c r="I3672" s="115" t="str">
        <x:v>À équilibrer</x:v>
      </x:c>
      <x:c r="J3672" s="115" t="str">
        <x:v>Non</x:v>
      </x:c>
      <x:c r="K3672" s="115" t="str">
        <x:v>Pièces décrites, murs, portes, niveaux et mobilier inspectables à l’échelle. Volumes réservés, raccord au seed, butin, rencontres et services de campagne restent à terminer.</x:v>
      </x:c>
    </x:row>
    <x:row r="3673" ht="96" customHeight="1">
      <x:c r="A3673" s="115" t="str">
        <x:v>EXT-MONDE-T074-V18</x:v>
      </x:c>
      <x:c r="B3673" s="115" t="str">
        <x:v>EXT-MONDE-T074</x:v>
      </x:c>
      <x:c r="C3673" s="115" t="str">
        <x:v>Ferroviaire</x:v>
      </x:c>
      <x:c r="D3673" s="115" t="str">
        <x:v>Gare terminus</x:v>
      </x:c>
      <x:c r="E3673" s="115" t="n">
        <x:v>18</x:v>
      </x:c>
      <x:c r="F3673" s="115" t="str">
        <x:v>Inspection physique</x:v>
      </x:c>
      <x:c r="G3673" s="115" t="str">
        <x:v>1 niveaux ; 36 pièces ; 265 segments de mur ; 0 transitions. Inspection physique ; architecture complète encore ouverte.</x:v>
      </x:c>
      <x:c r="H3673" s="115" t="str">
        <x:v>L 800 ; l 2100 ; hauteur 7,2 m ; choix de composition auteur ; dimensions réelles à documenter</x:v>
      </x:c>
      <x:c r="I3673" s="115" t="str">
        <x:v>À équilibrer</x:v>
      </x:c>
      <x:c r="J3673" s="115" t="str">
        <x:v>Non</x:v>
      </x:c>
      <x:c r="K3673" s="115" t="str">
        <x:v>Pièces décrites, murs, portes, niveaux et mobilier inspectables à l’échelle. Volumes réservés, raccord au seed, butin, rencontres et services de campagne restent à terminer.</x:v>
      </x:c>
    </x:row>
    <x:row r="3674" ht="96" customHeight="1">
      <x:c r="A3674" s="115" t="str">
        <x:v>EXT-MONDE-T074-V19</x:v>
      </x:c>
      <x:c r="B3674" s="115" t="str">
        <x:v>EXT-MONDE-T074</x:v>
      </x:c>
      <x:c r="C3674" s="115" t="str">
        <x:v>Ferroviaire</x:v>
      </x:c>
      <x:c r="D3674" s="115" t="str">
        <x:v>Gare terminus</x:v>
      </x:c>
      <x:c r="E3674" s="115" t="n">
        <x:v>19</x:v>
      </x:c>
      <x:c r="F3674" s="115" t="str">
        <x:v>Inspection physique</x:v>
      </x:c>
      <x:c r="G3674" s="115" t="str">
        <x:v>1 niveaux ; 36 pièces ; 265 segments de mur ; 0 transitions. Inspection physique ; architecture complète encore ouverte.</x:v>
      </x:c>
      <x:c r="H3674" s="115" t="str">
        <x:v>L 800 ; l 2100 ; hauteur 7,2 m ; choix de composition auteur ; dimensions réelles à documenter</x:v>
      </x:c>
      <x:c r="I3674" s="115" t="str">
        <x:v>À équilibrer</x:v>
      </x:c>
      <x:c r="J3674" s="115" t="str">
        <x:v>Non</x:v>
      </x:c>
      <x:c r="K3674" s="115" t="str">
        <x:v>Pièces décrites, murs, portes, niveaux et mobilier inspectables à l’échelle. Volumes réservés, raccord au seed, butin, rencontres et services de campagne restent à terminer.</x:v>
      </x:c>
    </x:row>
    <x:row r="3675" ht="96" customHeight="1">
      <x:c r="A3675" s="115" t="str">
        <x:v>EXT-MONDE-T074-V20</x:v>
      </x:c>
      <x:c r="B3675" s="115" t="str">
        <x:v>EXT-MONDE-T074</x:v>
      </x:c>
      <x:c r="C3675" s="115" t="str">
        <x:v>Ferroviaire</x:v>
      </x:c>
      <x:c r="D3675" s="115" t="str">
        <x:v>Gare terminus</x:v>
      </x:c>
      <x:c r="E3675" s="115" t="n">
        <x:v>20</x:v>
      </x:c>
      <x:c r="F3675" s="115" t="str">
        <x:v>Inspection physique</x:v>
      </x:c>
      <x:c r="G3675" s="115" t="str">
        <x:v>1 niveaux ; 36 pièces ; 265 segments de mur ; 0 transitions. Inspection physique ; architecture complète encore ouverte.</x:v>
      </x:c>
      <x:c r="H3675" s="115" t="str">
        <x:v>L 800 ; l 2100 ; hauteur 7,2 m ; choix de composition auteur ; dimensions réelles à documenter</x:v>
      </x:c>
      <x:c r="I3675" s="115" t="str">
        <x:v>À équilibrer</x:v>
      </x:c>
      <x:c r="J3675" s="115" t="str">
        <x:v>Non</x:v>
      </x:c>
      <x:c r="K3675" s="115" t="str">
        <x:v>Pièces décrites, murs, portes, niveaux et mobilier inspectables à l’échelle. Volumes réservés, raccord au seed, butin, rencontres et services de campagne restent à terminer.</x:v>
      </x:c>
    </x:row>
    <x:row r="3676" ht="96" customHeight="1">
      <x:c r="A3676" s="115" t="str">
        <x:v>EXT-MONDE-T074-V21</x:v>
      </x:c>
      <x:c r="B3676" s="115" t="str">
        <x:v>EXT-MONDE-T074</x:v>
      </x:c>
      <x:c r="C3676" s="115" t="str">
        <x:v>Ferroviaire</x:v>
      </x:c>
      <x:c r="D3676" s="115" t="str">
        <x:v>Gare terminus</x:v>
      </x:c>
      <x:c r="E3676" s="115" t="n">
        <x:v>21</x:v>
      </x:c>
      <x:c r="F3676" s="115" t="str">
        <x:v>Inspection physique</x:v>
      </x:c>
      <x:c r="G3676" s="115" t="str">
        <x:v>1 niveaux ; 36 pièces ; 265 segments de mur ; 0 transitions. Inspection physique ; architecture complète encore ouverte.</x:v>
      </x:c>
      <x:c r="H3676" s="115" t="str">
        <x:v>L 800 ; l 2300 ; hauteur 7,4 m ; choix de composition auteur ; dimensions réelles à documenter</x:v>
      </x:c>
      <x:c r="I3676" s="115" t="str">
        <x:v>À équilibrer</x:v>
      </x:c>
      <x:c r="J3676" s="115" t="str">
        <x:v>Non</x:v>
      </x:c>
      <x:c r="K3676" s="115" t="str">
        <x:v>Pièces décrites, murs, portes, niveaux et mobilier inspectables à l’échelle. Volumes réservés, raccord au seed, butin, rencontres et services de campagne restent à terminer.</x:v>
      </x:c>
    </x:row>
    <x:row r="3677" ht="96" customHeight="1">
      <x:c r="A3677" s="115" t="str">
        <x:v>EXT-MONDE-T074-V22</x:v>
      </x:c>
      <x:c r="B3677" s="115" t="str">
        <x:v>EXT-MONDE-T074</x:v>
      </x:c>
      <x:c r="C3677" s="115" t="str">
        <x:v>Ferroviaire</x:v>
      </x:c>
      <x:c r="D3677" s="115" t="str">
        <x:v>Gare terminus</x:v>
      </x:c>
      <x:c r="E3677" s="115" t="n">
        <x:v>22</x:v>
      </x:c>
      <x:c r="F3677" s="115" t="str">
        <x:v>Inspection physique</x:v>
      </x:c>
      <x:c r="G3677" s="115" t="str">
        <x:v>1 niveaux ; 36 pièces ; 265 segments de mur ; 0 transitions. Inspection physique ; architecture complète encore ouverte.</x:v>
      </x:c>
      <x:c r="H3677" s="115" t="str">
        <x:v>L 800 ; l 2300 ; hauteur 7,4 m ; choix de composition auteur ; dimensions réelles à documenter</x:v>
      </x:c>
      <x:c r="I3677" s="115" t="str">
        <x:v>À équilibrer</x:v>
      </x:c>
      <x:c r="J3677" s="115" t="str">
        <x:v>Non</x:v>
      </x:c>
      <x:c r="K3677" s="115" t="str">
        <x:v>Pièces décrites, murs, portes, niveaux et mobilier inspectables à l’échelle. Volumes réservés, raccord au seed, butin, rencontres et services de campagne restent à terminer.</x:v>
      </x:c>
    </x:row>
    <x:row r="3678" ht="96" customHeight="1">
      <x:c r="A3678" s="115" t="str">
        <x:v>EXT-MONDE-T074-V23</x:v>
      </x:c>
      <x:c r="B3678" s="115" t="str">
        <x:v>EXT-MONDE-T074</x:v>
      </x:c>
      <x:c r="C3678" s="115" t="str">
        <x:v>Ferroviaire</x:v>
      </x:c>
      <x:c r="D3678" s="115" t="str">
        <x:v>Gare terminus</x:v>
      </x:c>
      <x:c r="E3678" s="115" t="n">
        <x:v>23</x:v>
      </x:c>
      <x:c r="F3678" s="115" t="str">
        <x:v>Inspection physique</x:v>
      </x:c>
      <x:c r="G3678" s="115" t="str">
        <x:v>1 niveaux ; 36 pièces ; 265 segments de mur ; 0 transitions. Inspection physique ; architecture complète encore ouverte.</x:v>
      </x:c>
      <x:c r="H3678" s="115" t="str">
        <x:v>L 800 ; l 2300 ; hauteur 7,4 m ; choix de composition auteur ; dimensions réelles à documenter</x:v>
      </x:c>
      <x:c r="I3678" s="115" t="str">
        <x:v>À équilibrer</x:v>
      </x:c>
      <x:c r="J3678" s="115" t="str">
        <x:v>Non</x:v>
      </x:c>
      <x:c r="K3678" s="115" t="str">
        <x:v>Pièces décrites, murs, portes, niveaux et mobilier inspectables à l’échelle. Volumes réservés, raccord au seed, butin, rencontres et services de campagne restent à terminer.</x:v>
      </x:c>
    </x:row>
    <x:row r="3679" ht="96" customHeight="1">
      <x:c r="A3679" s="115" t="str">
        <x:v>EXT-MONDE-T074-V24</x:v>
      </x:c>
      <x:c r="B3679" s="115" t="str">
        <x:v>EXT-MONDE-T074</x:v>
      </x:c>
      <x:c r="C3679" s="115" t="str">
        <x:v>Ferroviaire</x:v>
      </x:c>
      <x:c r="D3679" s="115" t="str">
        <x:v>Gare terminus</x:v>
      </x:c>
      <x:c r="E3679" s="115" t="n">
        <x:v>24</x:v>
      </x:c>
      <x:c r="F3679" s="115" t="str">
        <x:v>Inspection physique</x:v>
      </x:c>
      <x:c r="G3679" s="115" t="str">
        <x:v>1 niveaux ; 36 pièces ; 265 segments de mur ; 0 transitions. Inspection physique ; architecture complète encore ouverte.</x:v>
      </x:c>
      <x:c r="H3679" s="115" t="str">
        <x:v>L 800 ; l 2300 ; hauteur 7,4 m ; choix de composition auteur ; dimensions réelles à documenter</x:v>
      </x:c>
      <x:c r="I3679" s="115" t="str">
        <x:v>À équilibrer</x:v>
      </x:c>
      <x:c r="J3679" s="115" t="str">
        <x:v>Non</x:v>
      </x:c>
      <x:c r="K3679" s="115" t="str">
        <x:v>Pièces décrites, murs, portes, niveaux et mobilier inspectables à l’échelle. Volumes réservés, raccord au seed, butin, rencontres et services de campagne restent à terminer.</x:v>
      </x:c>
    </x:row>
    <x:row r="3680" ht="96" customHeight="1">
      <x:c r="A3680" s="115" t="str">
        <x:v>EXT-MONDE-T074-V25</x:v>
      </x:c>
      <x:c r="B3680" s="115" t="str">
        <x:v>EXT-MONDE-T074</x:v>
      </x:c>
      <x:c r="C3680" s="115" t="str">
        <x:v>Ferroviaire</x:v>
      </x:c>
      <x:c r="D3680" s="115" t="str">
        <x:v>Gare terminus</x:v>
      </x:c>
      <x:c r="E3680" s="115" t="n">
        <x:v>25</x:v>
      </x:c>
      <x:c r="F3680" s="115" t="str">
        <x:v>Inspection physique</x:v>
      </x:c>
      <x:c r="G3680" s="115" t="str">
        <x:v>1 niveaux ; 36 pièces ; 265 segments de mur ; 0 transitions. Inspection physique ; architecture complète encore ouverte.</x:v>
      </x:c>
      <x:c r="H3680" s="115" t="str">
        <x:v>L 800 ; l 2300 ; hauteur 7,4 m ; choix de composition auteur ; dimensions réelles à documenter</x:v>
      </x:c>
      <x:c r="I3680" s="115" t="str">
        <x:v>À équilibrer</x:v>
      </x:c>
      <x:c r="J3680" s="115" t="str">
        <x:v>Non</x:v>
      </x:c>
      <x:c r="K3680" s="115" t="str">
        <x:v>Pièces décrites, murs, portes, niveaux et mobilier inspectables à l’échelle. Volumes réservés, raccord au seed, butin, rencontres et services de campagne restent à terminer.</x:v>
      </x:c>
    </x:row>
    <x:row r="3681" ht="96" customHeight="1">
      <x:c r="A3681" s="115" t="str">
        <x:v>EXT-MONDE-T074-V26</x:v>
      </x:c>
      <x:c r="B3681" s="115" t="str">
        <x:v>EXT-MONDE-T074</x:v>
      </x:c>
      <x:c r="C3681" s="115" t="str">
        <x:v>Ferroviaire</x:v>
      </x:c>
      <x:c r="D3681" s="115" t="str">
        <x:v>Gare terminus</x:v>
      </x:c>
      <x:c r="E3681" s="115" t="n">
        <x:v>26</x:v>
      </x:c>
      <x:c r="F3681" s="115" t="str">
        <x:v>Inspection physique</x:v>
      </x:c>
      <x:c r="G3681" s="115" t="str">
        <x:v>1 niveaux ; 36 pièces ; 265 segments de mur ; 0 transitions. Inspection physique ; architecture complète encore ouverte.</x:v>
      </x:c>
      <x:c r="H3681" s="115" t="str">
        <x:v>L 800 ; l 2300 ; hauteur 7,4 m ; choix de composition auteur ; dimensions réelles à documenter</x:v>
      </x:c>
      <x:c r="I3681" s="115" t="str">
        <x:v>À équilibrer</x:v>
      </x:c>
      <x:c r="J3681" s="115" t="str">
        <x:v>Non</x:v>
      </x:c>
      <x:c r="K3681" s="115" t="str">
        <x:v>Pièces décrites, murs, portes, niveaux et mobilier inspectables à l’échelle. Volumes réservés, raccord au seed, butin, rencontres et services de campagne restent à terminer.</x:v>
      </x:c>
    </x:row>
    <x:row r="3682" ht="96" customHeight="1">
      <x:c r="A3682" s="115" t="str">
        <x:v>EXT-MONDE-T074-V27</x:v>
      </x:c>
      <x:c r="B3682" s="115" t="str">
        <x:v>EXT-MONDE-T074</x:v>
      </x:c>
      <x:c r="C3682" s="115" t="str">
        <x:v>Ferroviaire</x:v>
      </x:c>
      <x:c r="D3682" s="115" t="str">
        <x:v>Gare terminus</x:v>
      </x:c>
      <x:c r="E3682" s="115" t="n">
        <x:v>27</x:v>
      </x:c>
      <x:c r="F3682" s="115" t="str">
        <x:v>Inspection physique</x:v>
      </x:c>
      <x:c r="G3682" s="115" t="str">
        <x:v>1 niveaux ; 36 pièces ; 265 segments de mur ; 0 transitions. Inspection physique ; architecture complète encore ouverte.</x:v>
      </x:c>
      <x:c r="H3682" s="115" t="str">
        <x:v>L 800 ; l 2300 ; hauteur 7,4 m ; choix de composition auteur ; dimensions réelles à documenter</x:v>
      </x:c>
      <x:c r="I3682" s="115" t="str">
        <x:v>À équilibrer</x:v>
      </x:c>
      <x:c r="J3682" s="115" t="str">
        <x:v>Non</x:v>
      </x:c>
      <x:c r="K3682" s="115" t="str">
        <x:v>Pièces décrites, murs, portes, niveaux et mobilier inspectables à l’échelle. Volumes réservés, raccord au seed, butin, rencontres et services de campagne restent à terminer.</x:v>
      </x:c>
    </x:row>
    <x:row r="3683" ht="96" customHeight="1">
      <x:c r="A3683" s="115" t="str">
        <x:v>EXT-MONDE-T074-V28</x:v>
      </x:c>
      <x:c r="B3683" s="115" t="str">
        <x:v>EXT-MONDE-T074</x:v>
      </x:c>
      <x:c r="C3683" s="115" t="str">
        <x:v>Ferroviaire</x:v>
      </x:c>
      <x:c r="D3683" s="115" t="str">
        <x:v>Gare terminus</x:v>
      </x:c>
      <x:c r="E3683" s="115" t="n">
        <x:v>28</x:v>
      </x:c>
      <x:c r="F3683" s="115" t="str">
        <x:v>Inspection physique</x:v>
      </x:c>
      <x:c r="G3683" s="115" t="str">
        <x:v>1 niveaux ; 36 pièces ; 265 segments de mur ; 0 transitions. Inspection physique ; architecture complète encore ouverte.</x:v>
      </x:c>
      <x:c r="H3683" s="115" t="str">
        <x:v>L 800 ; l 2300 ; hauteur 7,4 m ; choix de composition auteur ; dimensions réelles à documenter</x:v>
      </x:c>
      <x:c r="I3683" s="115" t="str">
        <x:v>À équilibrer</x:v>
      </x:c>
      <x:c r="J3683" s="115" t="str">
        <x:v>Non</x:v>
      </x:c>
      <x:c r="K3683" s="115" t="str">
        <x:v>Pièces décrites, murs, portes, niveaux et mobilier inspectables à l’échelle. Volumes réservés, raccord au seed, butin, rencontres et services de campagne restent à terminer.</x:v>
      </x:c>
    </x:row>
    <x:row r="3684" ht="96" customHeight="1">
      <x:c r="A3684" s="115" t="str">
        <x:v>EXT-MONDE-T074-V29</x:v>
      </x:c>
      <x:c r="B3684" s="115" t="str">
        <x:v>EXT-MONDE-T074</x:v>
      </x:c>
      <x:c r="C3684" s="115" t="str">
        <x:v>Ferroviaire</x:v>
      </x:c>
      <x:c r="D3684" s="115" t="str">
        <x:v>Gare terminus</x:v>
      </x:c>
      <x:c r="E3684" s="115" t="n">
        <x:v>29</x:v>
      </x:c>
      <x:c r="F3684" s="115" t="str">
        <x:v>Inspection physique</x:v>
      </x:c>
      <x:c r="G3684" s="115" t="str">
        <x:v>1 niveaux ; 36 pièces ; 265 segments de mur ; 0 transitions. Inspection physique ; architecture complète encore ouverte.</x:v>
      </x:c>
      <x:c r="H3684" s="115" t="str">
        <x:v>L 800 ; l 2300 ; hauteur 7,4 m ; choix de composition auteur ; dimensions réelles à documenter</x:v>
      </x:c>
      <x:c r="I3684" s="115" t="str">
        <x:v>À équilibrer</x:v>
      </x:c>
      <x:c r="J3684" s="115" t="str">
        <x:v>Non</x:v>
      </x:c>
      <x:c r="K3684" s="115" t="str">
        <x:v>Pièces décrites, murs, portes, niveaux et mobilier inspectables à l’échelle. Volumes réservés, raccord au seed, butin, rencontres et services de campagne restent à terminer.</x:v>
      </x:c>
    </x:row>
    <x:row r="3685" ht="96" customHeight="1">
      <x:c r="A3685" s="115" t="str">
        <x:v>EXT-MONDE-T074-V30</x:v>
      </x:c>
      <x:c r="B3685" s="115" t="str">
        <x:v>EXT-MONDE-T074</x:v>
      </x:c>
      <x:c r="C3685" s="115" t="str">
        <x:v>Ferroviaire</x:v>
      </x:c>
      <x:c r="D3685" s="115" t="str">
        <x:v>Gare terminus</x:v>
      </x:c>
      <x:c r="E3685" s="115" t="n">
        <x:v>30</x:v>
      </x:c>
      <x:c r="F3685" s="115" t="str">
        <x:v>Inspection physique</x:v>
      </x:c>
      <x:c r="G3685" s="115" t="str">
        <x:v>1 niveaux ; 36 pièces ; 265 segments de mur ; 0 transitions. Inspection physique ; architecture complète encore ouverte.</x:v>
      </x:c>
      <x:c r="H3685" s="115" t="str">
        <x:v>L 800 ; l 2300 ; hauteur 7,4 m ; choix de composition auteur ; dimensions réelles à documenter</x:v>
      </x:c>
      <x:c r="I3685" s="115" t="str">
        <x:v>À équilibrer</x:v>
      </x:c>
      <x:c r="J3685" s="115" t="str">
        <x:v>Non</x:v>
      </x:c>
      <x:c r="K3685" s="115" t="str">
        <x:v>Pièces décrites, murs, portes, niveaux et mobilier inspectables à l’échelle. Volumes réservés, raccord au seed, butin, rencontres et services de campagne restent à terminer.</x:v>
      </x:c>
    </x:row>
    <x:row r="3686" ht="96" customHeight="1">
      <x:c r="A3686" s="115" t="str">
        <x:v>EXT-MONDE-T074-V31</x:v>
      </x:c>
      <x:c r="B3686" s="115" t="str">
        <x:v>EXT-MONDE-T074</x:v>
      </x:c>
      <x:c r="C3686" s="115" t="str">
        <x:v>Ferroviaire</x:v>
      </x:c>
      <x:c r="D3686" s="115" t="str">
        <x:v>Gare terminus</x:v>
      </x:c>
      <x:c r="E3686" s="115" t="n">
        <x:v>31</x:v>
      </x:c>
      <x:c r="F3686" s="115" t="str">
        <x:v>Inspection physique</x:v>
      </x:c>
      <x:c r="G3686" s="115" t="str">
        <x:v>1 niveaux ; 36 pièces ; 265 segments de mur ; 0 transitions. Inspection physique ; architecture complète encore ouverte.</x:v>
      </x:c>
      <x:c r="H3686" s="115" t="str">
        <x:v>L 800 ; l 2500 ; hauteur 7,6 m ; choix de composition auteur ; dimensions réelles à documenter</x:v>
      </x:c>
      <x:c r="I3686" s="115" t="str">
        <x:v>À équilibrer</x:v>
      </x:c>
      <x:c r="J3686" s="115" t="str">
        <x:v>Non</x:v>
      </x:c>
      <x:c r="K3686" s="115" t="str">
        <x:v>Pièces décrites, murs, portes, niveaux et mobilier inspectables à l’échelle. Volumes réservés, raccord au seed, butin, rencontres et services de campagne restent à terminer.</x:v>
      </x:c>
    </x:row>
    <x:row r="3687" ht="96" customHeight="1">
      <x:c r="A3687" s="115" t="str">
        <x:v>EXT-MONDE-T074-V32</x:v>
      </x:c>
      <x:c r="B3687" s="115" t="str">
        <x:v>EXT-MONDE-T074</x:v>
      </x:c>
      <x:c r="C3687" s="115" t="str">
        <x:v>Ferroviaire</x:v>
      </x:c>
      <x:c r="D3687" s="115" t="str">
        <x:v>Gare terminus</x:v>
      </x:c>
      <x:c r="E3687" s="115" t="n">
        <x:v>32</x:v>
      </x:c>
      <x:c r="F3687" s="115" t="str">
        <x:v>Inspection physique</x:v>
      </x:c>
      <x:c r="G3687" s="115" t="str">
        <x:v>1 niveaux ; 36 pièces ; 265 segments de mur ; 0 transitions. Inspection physique ; architecture complète encore ouverte.</x:v>
      </x:c>
      <x:c r="H3687" s="115" t="str">
        <x:v>L 800 ; l 2500 ; hauteur 7,6 m ; choix de composition auteur ; dimensions réelles à documenter</x:v>
      </x:c>
      <x:c r="I3687" s="115" t="str">
        <x:v>À équilibrer</x:v>
      </x:c>
      <x:c r="J3687" s="115" t="str">
        <x:v>Non</x:v>
      </x:c>
      <x:c r="K3687" s="115" t="str">
        <x:v>Pièces décrites, murs, portes, niveaux et mobilier inspectables à l’échelle. Volumes réservés, raccord au seed, butin, rencontres et services de campagne restent à terminer.</x:v>
      </x:c>
    </x:row>
    <x:row r="3688" ht="96" customHeight="1">
      <x:c r="A3688" s="115" t="str">
        <x:v>EXT-MONDE-T074-V33</x:v>
      </x:c>
      <x:c r="B3688" s="115" t="str">
        <x:v>EXT-MONDE-T074</x:v>
      </x:c>
      <x:c r="C3688" s="115" t="str">
        <x:v>Ferroviaire</x:v>
      </x:c>
      <x:c r="D3688" s="115" t="str">
        <x:v>Gare terminus</x:v>
      </x:c>
      <x:c r="E3688" s="115" t="n">
        <x:v>33</x:v>
      </x:c>
      <x:c r="F3688" s="115" t="str">
        <x:v>Inspection physique</x:v>
      </x:c>
      <x:c r="G3688" s="115" t="str">
        <x:v>1 niveaux ; 36 pièces ; 265 segments de mur ; 0 transitions. Inspection physique ; architecture complète encore ouverte.</x:v>
      </x:c>
      <x:c r="H3688" s="115" t="str">
        <x:v>L 800 ; l 2500 ; hauteur 7,6 m ; choix de composition auteur ; dimensions réelles à documenter</x:v>
      </x:c>
      <x:c r="I3688" s="115" t="str">
        <x:v>À équilibrer</x:v>
      </x:c>
      <x:c r="J3688" s="115" t="str">
        <x:v>Non</x:v>
      </x:c>
      <x:c r="K3688" s="115" t="str">
        <x:v>Pièces décrites, murs, portes, niveaux et mobilier inspectables à l’échelle. Volumes réservés, raccord au seed, butin, rencontres et services de campagne restent à terminer.</x:v>
      </x:c>
    </x:row>
    <x:row r="3689" ht="96" customHeight="1">
      <x:c r="A3689" s="115" t="str">
        <x:v>EXT-MONDE-T074-V34</x:v>
      </x:c>
      <x:c r="B3689" s="115" t="str">
        <x:v>EXT-MONDE-T074</x:v>
      </x:c>
      <x:c r="C3689" s="115" t="str">
        <x:v>Ferroviaire</x:v>
      </x:c>
      <x:c r="D3689" s="115" t="str">
        <x:v>Gare terminus</x:v>
      </x:c>
      <x:c r="E3689" s="115" t="n">
        <x:v>34</x:v>
      </x:c>
      <x:c r="F3689" s="115" t="str">
        <x:v>Inspection physique</x:v>
      </x:c>
      <x:c r="G3689" s="115" t="str">
        <x:v>1 niveaux ; 36 pièces ; 265 segments de mur ; 0 transitions. Inspection physique ; architecture complète encore ouverte.</x:v>
      </x:c>
      <x:c r="H3689" s="115" t="str">
        <x:v>L 800 ; l 2500 ; hauteur 7,6 m ; choix de composition auteur ; dimensions réelles à documenter</x:v>
      </x:c>
      <x:c r="I3689" s="115" t="str">
        <x:v>À équilibrer</x:v>
      </x:c>
      <x:c r="J3689" s="115" t="str">
        <x:v>Non</x:v>
      </x:c>
      <x:c r="K3689" s="115" t="str">
        <x:v>Pièces décrites, murs, portes, niveaux et mobilier inspectables à l’échelle. Volumes réservés, raccord au seed, butin, rencontres et services de campagne restent à terminer.</x:v>
      </x:c>
    </x:row>
    <x:row r="3690" ht="96" customHeight="1">
      <x:c r="A3690" s="115" t="str">
        <x:v>EXT-MONDE-T074-V35</x:v>
      </x:c>
      <x:c r="B3690" s="115" t="str">
        <x:v>EXT-MONDE-T074</x:v>
      </x:c>
      <x:c r="C3690" s="115" t="str">
        <x:v>Ferroviaire</x:v>
      </x:c>
      <x:c r="D3690" s="115" t="str">
        <x:v>Gare terminus</x:v>
      </x:c>
      <x:c r="E3690" s="115" t="n">
        <x:v>35</x:v>
      </x:c>
      <x:c r="F3690" s="115" t="str">
        <x:v>Inspection physique</x:v>
      </x:c>
      <x:c r="G3690" s="115" t="str">
        <x:v>1 niveaux ; 36 pièces ; 265 segments de mur ; 0 transitions. Inspection physique ; architecture complète encore ouverte.</x:v>
      </x:c>
      <x:c r="H3690" s="115" t="str">
        <x:v>L 800 ; l 2500 ; hauteur 7,6 m ; choix de composition auteur ; dimensions réelles à documenter</x:v>
      </x:c>
      <x:c r="I3690" s="115" t="str">
        <x:v>À équilibrer</x:v>
      </x:c>
      <x:c r="J3690" s="115" t="str">
        <x:v>Non</x:v>
      </x:c>
      <x:c r="K3690" s="115" t="str">
        <x:v>Pièces décrites, murs, portes, niveaux et mobilier inspectables à l’échelle. Volumes réservés, raccord au seed, butin, rencontres et services de campagne restent à terminer.</x:v>
      </x:c>
    </x:row>
    <x:row r="3691" ht="96" customHeight="1">
      <x:c r="A3691" s="115" t="str">
        <x:v>EXT-MONDE-T074-V36</x:v>
      </x:c>
      <x:c r="B3691" s="115" t="str">
        <x:v>EXT-MONDE-T074</x:v>
      </x:c>
      <x:c r="C3691" s="115" t="str">
        <x:v>Ferroviaire</x:v>
      </x:c>
      <x:c r="D3691" s="115" t="str">
        <x:v>Gare terminus</x:v>
      </x:c>
      <x:c r="E3691" s="115" t="n">
        <x:v>36</x:v>
      </x:c>
      <x:c r="F3691" s="115" t="str">
        <x:v>Inspection physique</x:v>
      </x:c>
      <x:c r="G3691" s="115" t="str">
        <x:v>1 niveaux ; 36 pièces ; 265 segments de mur ; 0 transitions. Inspection physique ; architecture complète encore ouverte.</x:v>
      </x:c>
      <x:c r="H3691" s="115" t="str">
        <x:v>L 800 ; l 2500 ; hauteur 7,6 m ; choix de composition auteur ; dimensions réelles à documenter</x:v>
      </x:c>
      <x:c r="I3691" s="115" t="str">
        <x:v>À équilibrer</x:v>
      </x:c>
      <x:c r="J3691" s="115" t="str">
        <x:v>Non</x:v>
      </x:c>
      <x:c r="K3691" s="115" t="str">
        <x:v>Pièces décrites, murs, portes, niveaux et mobilier inspectables à l’échelle. Volumes réservés, raccord au seed, butin, rencontres et services de campagne restent à terminer.</x:v>
      </x:c>
    </x:row>
    <x:row r="3692" ht="96" customHeight="1">
      <x:c r="A3692" s="115" t="str">
        <x:v>EXT-MONDE-T074-V37</x:v>
      </x:c>
      <x:c r="B3692" s="115" t="str">
        <x:v>EXT-MONDE-T074</x:v>
      </x:c>
      <x:c r="C3692" s="115" t="str">
        <x:v>Ferroviaire</x:v>
      </x:c>
      <x:c r="D3692" s="115" t="str">
        <x:v>Gare terminus</x:v>
      </x:c>
      <x:c r="E3692" s="115" t="n">
        <x:v>37</x:v>
      </x:c>
      <x:c r="F3692" s="115" t="str">
        <x:v>Inspection physique</x:v>
      </x:c>
      <x:c r="G3692" s="115" t="str">
        <x:v>1 niveaux ; 36 pièces ; 265 segments de mur ; 0 transitions. Inspection physique ; architecture complète encore ouverte.</x:v>
      </x:c>
      <x:c r="H3692" s="115" t="str">
        <x:v>L 800 ; l 2500 ; hauteur 7,6 m ; choix de composition auteur ; dimensions réelles à documenter</x:v>
      </x:c>
      <x:c r="I3692" s="115" t="str">
        <x:v>À équilibrer</x:v>
      </x:c>
      <x:c r="J3692" s="115" t="str">
        <x:v>Non</x:v>
      </x:c>
      <x:c r="K3692" s="115" t="str">
        <x:v>Pièces décrites, murs, portes, niveaux et mobilier inspectables à l’échelle. Volumes réservés, raccord au seed, butin, rencontres et services de campagne restent à terminer.</x:v>
      </x:c>
    </x:row>
    <x:row r="3693" ht="96" customHeight="1">
      <x:c r="A3693" s="115" t="str">
        <x:v>EXT-MONDE-T074-V38</x:v>
      </x:c>
      <x:c r="B3693" s="115" t="str">
        <x:v>EXT-MONDE-T074</x:v>
      </x:c>
      <x:c r="C3693" s="115" t="str">
        <x:v>Ferroviaire</x:v>
      </x:c>
      <x:c r="D3693" s="115" t="str">
        <x:v>Gare terminus</x:v>
      </x:c>
      <x:c r="E3693" s="115" t="n">
        <x:v>38</x:v>
      </x:c>
      <x:c r="F3693" s="115" t="str">
        <x:v>Inspection physique</x:v>
      </x:c>
      <x:c r="G3693" s="115" t="str">
        <x:v>1 niveaux ; 36 pièces ; 265 segments de mur ; 0 transitions. Inspection physique ; architecture complète encore ouverte.</x:v>
      </x:c>
      <x:c r="H3693" s="115" t="str">
        <x:v>L 800 ; l 2500 ; hauteur 7,6 m ; choix de composition auteur ; dimensions réelles à documenter</x:v>
      </x:c>
      <x:c r="I3693" s="115" t="str">
        <x:v>À équilibrer</x:v>
      </x:c>
      <x:c r="J3693" s="115" t="str">
        <x:v>Non</x:v>
      </x:c>
      <x:c r="K3693" s="115" t="str">
        <x:v>Pièces décrites, murs, portes, niveaux et mobilier inspectables à l’échelle. Volumes réservés, raccord au seed, butin, rencontres et services de campagne restent à terminer.</x:v>
      </x:c>
    </x:row>
    <x:row r="3694" ht="96" customHeight="1">
      <x:c r="A3694" s="115" t="str">
        <x:v>EXT-MONDE-T074-V39</x:v>
      </x:c>
      <x:c r="B3694" s="115" t="str">
        <x:v>EXT-MONDE-T074</x:v>
      </x:c>
      <x:c r="C3694" s="115" t="str">
        <x:v>Ferroviaire</x:v>
      </x:c>
      <x:c r="D3694" s="115" t="str">
        <x:v>Gare terminus</x:v>
      </x:c>
      <x:c r="E3694" s="115" t="n">
        <x:v>39</x:v>
      </x:c>
      <x:c r="F3694" s="115" t="str">
        <x:v>Inspection physique</x:v>
      </x:c>
      <x:c r="G3694" s="115" t="str">
        <x:v>1 niveaux ; 36 pièces ; 265 segments de mur ; 0 transitions. Inspection physique ; architecture complète encore ouverte.</x:v>
      </x:c>
      <x:c r="H3694" s="115" t="str">
        <x:v>L 800 ; l 2500 ; hauteur 7,6 m ; choix de composition auteur ; dimensions réelles à documenter</x:v>
      </x:c>
      <x:c r="I3694" s="115" t="str">
        <x:v>À équilibrer</x:v>
      </x:c>
      <x:c r="J3694" s="115" t="str">
        <x:v>Non</x:v>
      </x:c>
      <x:c r="K3694" s="115" t="str">
        <x:v>Pièces décrites, murs, portes, niveaux et mobilier inspectables à l’échelle. Volumes réservés, raccord au seed, butin, rencontres et services de campagne restent à terminer.</x:v>
      </x:c>
    </x:row>
    <x:row r="3695" ht="96" customHeight="1">
      <x:c r="A3695" s="115" t="str">
        <x:v>EXT-MONDE-T074-V40</x:v>
      </x:c>
      <x:c r="B3695" s="115" t="str">
        <x:v>EXT-MONDE-T074</x:v>
      </x:c>
      <x:c r="C3695" s="115" t="str">
        <x:v>Ferroviaire</x:v>
      </x:c>
      <x:c r="D3695" s="115" t="str">
        <x:v>Gare terminus</x:v>
      </x:c>
      <x:c r="E3695" s="115" t="n">
        <x:v>40</x:v>
      </x:c>
      <x:c r="F3695" s="115" t="str">
        <x:v>Inspection physique</x:v>
      </x:c>
      <x:c r="G3695" s="115" t="str">
        <x:v>1 niveaux ; 36 pièces ; 265 segments de mur ; 0 transitions. Inspection physique ; architecture complète encore ouverte.</x:v>
      </x:c>
      <x:c r="H3695" s="115" t="str">
        <x:v>L 800 ; l 2500 ; hauteur 7,6 m ; choix de composition auteur ; dimensions réelles à documenter</x:v>
      </x:c>
      <x:c r="I3695" s="115" t="str">
        <x:v>À équilibrer</x:v>
      </x:c>
      <x:c r="J3695" s="115" t="str">
        <x:v>Non</x:v>
      </x:c>
      <x:c r="K3695" s="115" t="str">
        <x:v>Pièces décrites, murs, portes, niveaux et mobilier inspectables à l’échelle. Volumes réservés, raccord au seed, butin, rencontres et services de campagne restent à terminer.</x:v>
      </x:c>
    </x:row>
    <x:row r="3696" ht="96" customHeight="1">
      <x:c r="A3696" s="115" t="str">
        <x:v>EXT-MONDE-T074-V41</x:v>
      </x:c>
      <x:c r="B3696" s="115" t="str">
        <x:v>EXT-MONDE-T074</x:v>
      </x:c>
      <x:c r="C3696" s="115" t="str">
        <x:v>Ferroviaire</x:v>
      </x:c>
      <x:c r="D3696" s="115" t="str">
        <x:v>Gare terminus</x:v>
      </x:c>
      <x:c r="E3696" s="115" t="n">
        <x:v>41</x:v>
      </x:c>
      <x:c r="F3696" s="115" t="str">
        <x:v>Inspection physique</x:v>
      </x:c>
      <x:c r="G3696" s="115" t="str">
        <x:v>1 niveaux ; 36 pièces ; 265 segments de mur ; 0 transitions. Inspection physique ; architecture complète encore ouverte.</x:v>
      </x:c>
      <x:c r="H3696" s="115" t="str">
        <x:v>L 800 ; l 2700 ; hauteur 7,8 m ; choix de composition auteur ; dimensions réelles à documenter</x:v>
      </x:c>
      <x:c r="I3696" s="115" t="str">
        <x:v>À équilibrer</x:v>
      </x:c>
      <x:c r="J3696" s="115" t="str">
        <x:v>Non</x:v>
      </x:c>
      <x:c r="K3696" s="115" t="str">
        <x:v>Pièces décrites, murs, portes, niveaux et mobilier inspectables à l’échelle. Volumes réservés, raccord au seed, butin, rencontres et services de campagne restent à terminer.</x:v>
      </x:c>
    </x:row>
    <x:row r="3697" ht="96" customHeight="1">
      <x:c r="A3697" s="115" t="str">
        <x:v>EXT-MONDE-T074-V42</x:v>
      </x:c>
      <x:c r="B3697" s="115" t="str">
        <x:v>EXT-MONDE-T074</x:v>
      </x:c>
      <x:c r="C3697" s="115" t="str">
        <x:v>Ferroviaire</x:v>
      </x:c>
      <x:c r="D3697" s="115" t="str">
        <x:v>Gare terminus</x:v>
      </x:c>
      <x:c r="E3697" s="115" t="n">
        <x:v>42</x:v>
      </x:c>
      <x:c r="F3697" s="115" t="str">
        <x:v>Inspection physique</x:v>
      </x:c>
      <x:c r="G3697" s="115" t="str">
        <x:v>1 niveaux ; 36 pièces ; 265 segments de mur ; 0 transitions. Inspection physique ; architecture complète encore ouverte.</x:v>
      </x:c>
      <x:c r="H3697" s="115" t="str">
        <x:v>L 800 ; l 2700 ; hauteur 7,8 m ; choix de composition auteur ; dimensions réelles à documenter</x:v>
      </x:c>
      <x:c r="I3697" s="115" t="str">
        <x:v>À équilibrer</x:v>
      </x:c>
      <x:c r="J3697" s="115" t="str">
        <x:v>Non</x:v>
      </x:c>
      <x:c r="K3697" s="115" t="str">
        <x:v>Pièces décrites, murs, portes, niveaux et mobilier inspectables à l’échelle. Volumes réservés, raccord au seed, butin, rencontres et services de campagne restent à terminer.</x:v>
      </x:c>
    </x:row>
    <x:row r="3698" ht="96" customHeight="1">
      <x:c r="A3698" s="115" t="str">
        <x:v>EXT-MONDE-T074-V43</x:v>
      </x:c>
      <x:c r="B3698" s="115" t="str">
        <x:v>EXT-MONDE-T074</x:v>
      </x:c>
      <x:c r="C3698" s="115" t="str">
        <x:v>Ferroviaire</x:v>
      </x:c>
      <x:c r="D3698" s="115" t="str">
        <x:v>Gare terminus</x:v>
      </x:c>
      <x:c r="E3698" s="115" t="n">
        <x:v>43</x:v>
      </x:c>
      <x:c r="F3698" s="115" t="str">
        <x:v>Inspection physique</x:v>
      </x:c>
      <x:c r="G3698" s="115" t="str">
        <x:v>1 niveaux ; 36 pièces ; 265 segments de mur ; 0 transitions. Inspection physique ; architecture complète encore ouverte.</x:v>
      </x:c>
      <x:c r="H3698" s="115" t="str">
        <x:v>L 800 ; l 2700 ; hauteur 7,8 m ; choix de composition auteur ; dimensions réelles à documenter</x:v>
      </x:c>
      <x:c r="I3698" s="115" t="str">
        <x:v>À équilibrer</x:v>
      </x:c>
      <x:c r="J3698" s="115" t="str">
        <x:v>Non</x:v>
      </x:c>
      <x:c r="K3698" s="115" t="str">
        <x:v>Pièces décrites, murs, portes, niveaux et mobilier inspectables à l’échelle. Volumes réservés, raccord au seed, butin, rencontres et services de campagne restent à terminer.</x:v>
      </x:c>
    </x:row>
    <x:row r="3699" ht="96" customHeight="1">
      <x:c r="A3699" s="115" t="str">
        <x:v>EXT-MONDE-T074-V44</x:v>
      </x:c>
      <x:c r="B3699" s="115" t="str">
        <x:v>EXT-MONDE-T074</x:v>
      </x:c>
      <x:c r="C3699" s="115" t="str">
        <x:v>Ferroviaire</x:v>
      </x:c>
      <x:c r="D3699" s="115" t="str">
        <x:v>Gare terminus</x:v>
      </x:c>
      <x:c r="E3699" s="115" t="n">
        <x:v>44</x:v>
      </x:c>
      <x:c r="F3699" s="115" t="str">
        <x:v>Inspection physique</x:v>
      </x:c>
      <x:c r="G3699" s="115" t="str">
        <x:v>1 niveaux ; 36 pièces ; 265 segments de mur ; 0 transitions. Inspection physique ; architecture complète encore ouverte.</x:v>
      </x:c>
      <x:c r="H3699" s="115" t="str">
        <x:v>L 800 ; l 2700 ; hauteur 7,8 m ; choix de composition auteur ; dimensions réelles à documenter</x:v>
      </x:c>
      <x:c r="I3699" s="115" t="str">
        <x:v>À équilibrer</x:v>
      </x:c>
      <x:c r="J3699" s="115" t="str">
        <x:v>Non</x:v>
      </x:c>
      <x:c r="K3699" s="115" t="str">
        <x:v>Pièces décrites, murs, portes, niveaux et mobilier inspectables à l’échelle. Volumes réservés, raccord au seed, butin, rencontres et services de campagne restent à terminer.</x:v>
      </x:c>
    </x:row>
    <x:row r="3700" ht="96" customHeight="1">
      <x:c r="A3700" s="115" t="str">
        <x:v>EXT-MONDE-T074-V45</x:v>
      </x:c>
      <x:c r="B3700" s="115" t="str">
        <x:v>EXT-MONDE-T074</x:v>
      </x:c>
      <x:c r="C3700" s="115" t="str">
        <x:v>Ferroviaire</x:v>
      </x:c>
      <x:c r="D3700" s="115" t="str">
        <x:v>Gare terminus</x:v>
      </x:c>
      <x:c r="E3700" s="115" t="n">
        <x:v>45</x:v>
      </x:c>
      <x:c r="F3700" s="115" t="str">
        <x:v>Inspection physique</x:v>
      </x:c>
      <x:c r="G3700" s="115" t="str">
        <x:v>1 niveaux ; 36 pièces ; 265 segments de mur ; 0 transitions. Inspection physique ; architecture complète encore ouverte.</x:v>
      </x:c>
      <x:c r="H3700" s="115" t="str">
        <x:v>L 800 ; l 2700 ; hauteur 7,8 m ; choix de composition auteur ; dimensions réelles à documenter</x:v>
      </x:c>
      <x:c r="I3700" s="115" t="str">
        <x:v>À équilibrer</x:v>
      </x:c>
      <x:c r="J3700" s="115" t="str">
        <x:v>Non</x:v>
      </x:c>
      <x:c r="K3700" s="115" t="str">
        <x:v>Pièces décrites, murs, portes, niveaux et mobilier inspectables à l’échelle. Volumes réservés, raccord au seed, butin, rencontres et services de campagne restent à terminer.</x:v>
      </x:c>
    </x:row>
    <x:row r="3701" ht="96" customHeight="1">
      <x:c r="A3701" s="115" t="str">
        <x:v>EXT-MONDE-T074-V46</x:v>
      </x:c>
      <x:c r="B3701" s="115" t="str">
        <x:v>EXT-MONDE-T074</x:v>
      </x:c>
      <x:c r="C3701" s="115" t="str">
        <x:v>Ferroviaire</x:v>
      </x:c>
      <x:c r="D3701" s="115" t="str">
        <x:v>Gare terminus</x:v>
      </x:c>
      <x:c r="E3701" s="115" t="n">
        <x:v>46</x:v>
      </x:c>
      <x:c r="F3701" s="115" t="str">
        <x:v>Inspection physique</x:v>
      </x:c>
      <x:c r="G3701" s="115" t="str">
        <x:v>1 niveaux ; 36 pièces ; 265 segments de mur ; 0 transitions. Inspection physique ; architecture complète encore ouverte.</x:v>
      </x:c>
      <x:c r="H3701" s="115" t="str">
        <x:v>L 800 ; l 2700 ; hauteur 7,8 m ; choix de composition auteur ; dimensions réelles à documenter</x:v>
      </x:c>
      <x:c r="I3701" s="115" t="str">
        <x:v>À équilibrer</x:v>
      </x:c>
      <x:c r="J3701" s="115" t="str">
        <x:v>Non</x:v>
      </x:c>
      <x:c r="K3701" s="115" t="str">
        <x:v>Pièces décrites, murs, portes, niveaux et mobilier inspectables à l’échelle. Volumes réservés, raccord au seed, butin, rencontres et services de campagne restent à terminer.</x:v>
      </x:c>
    </x:row>
    <x:row r="3702" ht="96" customHeight="1">
      <x:c r="A3702" s="115" t="str">
        <x:v>EXT-MONDE-T074-V47</x:v>
      </x:c>
      <x:c r="B3702" s="115" t="str">
        <x:v>EXT-MONDE-T074</x:v>
      </x:c>
      <x:c r="C3702" s="115" t="str">
        <x:v>Ferroviaire</x:v>
      </x:c>
      <x:c r="D3702" s="115" t="str">
        <x:v>Gare terminus</x:v>
      </x:c>
      <x:c r="E3702" s="115" t="n">
        <x:v>47</x:v>
      </x:c>
      <x:c r="F3702" s="115" t="str">
        <x:v>Inspection physique</x:v>
      </x:c>
      <x:c r="G3702" s="115" t="str">
        <x:v>1 niveaux ; 36 pièces ; 265 segments de mur ; 0 transitions. Inspection physique ; architecture complète encore ouverte.</x:v>
      </x:c>
      <x:c r="H3702" s="115" t="str">
        <x:v>L 800 ; l 2700 ; hauteur 7,8 m ; choix de composition auteur ; dimensions réelles à documenter</x:v>
      </x:c>
      <x:c r="I3702" s="115" t="str">
        <x:v>À équilibrer</x:v>
      </x:c>
      <x:c r="J3702" s="115" t="str">
        <x:v>Non</x:v>
      </x:c>
      <x:c r="K3702" s="115" t="str">
        <x:v>Pièces décrites, murs, portes, niveaux et mobilier inspectables à l’échelle. Volumes réservés, raccord au seed, butin, rencontres et services de campagne restent à terminer.</x:v>
      </x:c>
    </x:row>
    <x:row r="3703" ht="96" customHeight="1">
      <x:c r="A3703" s="115" t="str">
        <x:v>EXT-MONDE-T074-V48</x:v>
      </x:c>
      <x:c r="B3703" s="115" t="str">
        <x:v>EXT-MONDE-T074</x:v>
      </x:c>
      <x:c r="C3703" s="115" t="str">
        <x:v>Ferroviaire</x:v>
      </x:c>
      <x:c r="D3703" s="115" t="str">
        <x:v>Gare terminus</x:v>
      </x:c>
      <x:c r="E3703" s="115" t="n">
        <x:v>48</x:v>
      </x:c>
      <x:c r="F3703" s="115" t="str">
        <x:v>Inspection physique</x:v>
      </x:c>
      <x:c r="G3703" s="115" t="str">
        <x:v>1 niveaux ; 36 pièces ; 265 segments de mur ; 0 transitions. Inspection physique ; architecture complète encore ouverte.</x:v>
      </x:c>
      <x:c r="H3703" s="115" t="str">
        <x:v>L 800 ; l 2700 ; hauteur 7,8 m ; choix de composition auteur ; dimensions réelles à documenter</x:v>
      </x:c>
      <x:c r="I3703" s="115" t="str">
        <x:v>À équilibrer</x:v>
      </x:c>
      <x:c r="J3703" s="115" t="str">
        <x:v>Non</x:v>
      </x:c>
      <x:c r="K3703" s="115" t="str">
        <x:v>Pièces décrites, murs, portes, niveaux et mobilier inspectables à l’échelle. Volumes réservés, raccord au seed, butin, rencontres et services de campagne restent à terminer.</x:v>
      </x:c>
    </x:row>
    <x:row r="3704" ht="96" customHeight="1">
      <x:c r="A3704" s="115" t="str">
        <x:v>EXT-MONDE-T074-V49</x:v>
      </x:c>
      <x:c r="B3704" s="115" t="str">
        <x:v>EXT-MONDE-T074</x:v>
      </x:c>
      <x:c r="C3704" s="115" t="str">
        <x:v>Ferroviaire</x:v>
      </x:c>
      <x:c r="D3704" s="115" t="str">
        <x:v>Gare terminus</x:v>
      </x:c>
      <x:c r="E3704" s="115" t="n">
        <x:v>49</x:v>
      </x:c>
      <x:c r="F3704" s="115" t="str">
        <x:v>Inspection physique</x:v>
      </x:c>
      <x:c r="G3704" s="115" t="str">
        <x:v>1 niveaux ; 36 pièces ; 265 segments de mur ; 0 transitions. Inspection physique ; architecture complète encore ouverte.</x:v>
      </x:c>
      <x:c r="H3704" s="115" t="str">
        <x:v>L 800 ; l 2700 ; hauteur 7,8 m ; choix de composition auteur ; dimensions réelles à documenter</x:v>
      </x:c>
      <x:c r="I3704" s="115" t="str">
        <x:v>À équilibrer</x:v>
      </x:c>
      <x:c r="J3704" s="115" t="str">
        <x:v>Non</x:v>
      </x:c>
      <x:c r="K3704" s="115" t="str">
        <x:v>Pièces décrites, murs, portes, niveaux et mobilier inspectables à l’échelle. Volumes réservés, raccord au seed, butin, rencontres et services de campagne restent à terminer.</x:v>
      </x:c>
    </x:row>
    <x:row r="3705" ht="96" customHeight="1">
      <x:c r="A3705" s="115" t="str">
        <x:v>EXT-MONDE-T074-V50</x:v>
      </x:c>
      <x:c r="B3705" s="115" t="str">
        <x:v>EXT-MONDE-T074</x:v>
      </x:c>
      <x:c r="C3705" s="115" t="str">
        <x:v>Ferroviaire</x:v>
      </x:c>
      <x:c r="D3705" s="115" t="str">
        <x:v>Gare terminus</x:v>
      </x:c>
      <x:c r="E3705" s="115" t="n">
        <x:v>50</x:v>
      </x:c>
      <x:c r="F3705" s="115" t="str">
        <x:v>Inspection physique</x:v>
      </x:c>
      <x:c r="G3705" s="115" t="str">
        <x:v>1 niveaux ; 36 pièces ; 265 segments de mur ; 0 transitions. Inspection physique ; architecture complète encore ouverte.</x:v>
      </x:c>
      <x:c r="H3705" s="115" t="str">
        <x:v>L 800 ; l 2700 ; hauteur 7,8 m ; choix de composition auteur ; dimensions réelles à documenter</x:v>
      </x:c>
      <x:c r="I3705" s="115" t="str">
        <x:v>À équilibrer</x:v>
      </x:c>
      <x:c r="J3705" s="115" t="str">
        <x:v>Non</x:v>
      </x:c>
      <x:c r="K3705" s="115" t="str">
        <x:v>Pièces décrites, murs, portes, niveaux et mobilier inspectables à l’échelle. Volumes réservés, raccord au seed, butin, rencontres et services de campagne restent à terminer.</x:v>
      </x:c>
    </x:row>
    <x:row r="3706" ht="96" customHeight="1">
      <x:c r="A3706" s="115" t="str">
        <x:v>EXT-MONDE-T075-V01</x:v>
      </x:c>
      <x:c r="B3706" s="115" t="str">
        <x:v>EXT-MONDE-T075</x:v>
      </x:c>
      <x:c r="C3706" s="115" t="str">
        <x:v>Ferroviaire</x:v>
      </x:c>
      <x:c r="D3706" s="115" t="str">
        <x:v>Gare de triage</x:v>
      </x:c>
      <x:c r="E3706" s="115" t="n">
        <x:v>1</x:v>
      </x:c>
      <x:c r="F3706" s="115" t="str">
        <x:v>Inspection physique</x:v>
      </x:c>
      <x:c r="G3706" s="115" t="str">
        <x:v>1 niveaux ; 36 pièces ; 265 segments de mur ; 0 transitions. Inspection physique ; architecture complète encore ouverte.</x:v>
      </x:c>
      <x:c r="H3706" s="115" t="str">
        <x:v>L 800 ; l 2500 ; hauteur 7 m ; choix de composition auteur ; dimensions réelles à documenter</x:v>
      </x:c>
      <x:c r="I3706" s="115" t="str">
        <x:v>À équilibrer</x:v>
      </x:c>
      <x:c r="J3706" s="115" t="str">
        <x:v>Non</x:v>
      </x:c>
      <x:c r="K3706" s="115" t="str">
        <x:v>Pièces décrites, murs, portes, niveaux et mobilier inspectables à l’échelle. Volumes réservés, raccord au seed, butin, rencontres et services de campagne restent à terminer.</x:v>
      </x:c>
    </x:row>
    <x:row r="3707" ht="96" customHeight="1">
      <x:c r="A3707" s="115" t="str">
        <x:v>EXT-MONDE-T075-V02</x:v>
      </x:c>
      <x:c r="B3707" s="115" t="str">
        <x:v>EXT-MONDE-T075</x:v>
      </x:c>
      <x:c r="C3707" s="115" t="str">
        <x:v>Ferroviaire</x:v>
      </x:c>
      <x:c r="D3707" s="115" t="str">
        <x:v>Gare de triage</x:v>
      </x:c>
      <x:c r="E3707" s="115" t="n">
        <x:v>2</x:v>
      </x:c>
      <x:c r="F3707" s="115" t="str">
        <x:v>Inspection physique</x:v>
      </x:c>
      <x:c r="G3707" s="115" t="str">
        <x:v>1 niveaux ; 36 pièces ; 265 segments de mur ; 0 transitions. Inspection physique ; architecture complète encore ouverte.</x:v>
      </x:c>
      <x:c r="H3707" s="115" t="str">
        <x:v>L 800 ; l 2500 ; hauteur 7 m ; choix de composition auteur ; dimensions réelles à documenter</x:v>
      </x:c>
      <x:c r="I3707" s="115" t="str">
        <x:v>À équilibrer</x:v>
      </x:c>
      <x:c r="J3707" s="115" t="str">
        <x:v>Non</x:v>
      </x:c>
      <x:c r="K3707" s="115" t="str">
        <x:v>Pièces décrites, murs, portes, niveaux et mobilier inspectables à l’échelle. Volumes réservés, raccord au seed, butin, rencontres et services de campagne restent à terminer.</x:v>
      </x:c>
    </x:row>
    <x:row r="3708" ht="96" customHeight="1">
      <x:c r="A3708" s="115" t="str">
        <x:v>EXT-MONDE-T075-V03</x:v>
      </x:c>
      <x:c r="B3708" s="115" t="str">
        <x:v>EXT-MONDE-T075</x:v>
      </x:c>
      <x:c r="C3708" s="115" t="str">
        <x:v>Ferroviaire</x:v>
      </x:c>
      <x:c r="D3708" s="115" t="str">
        <x:v>Gare de triage</x:v>
      </x:c>
      <x:c r="E3708" s="115" t="n">
        <x:v>3</x:v>
      </x:c>
      <x:c r="F3708" s="115" t="str">
        <x:v>Inspection physique</x:v>
      </x:c>
      <x:c r="G3708" s="115" t="str">
        <x:v>1 niveaux ; 36 pièces ; 265 segments de mur ; 0 transitions. Inspection physique ; architecture complète encore ouverte.</x:v>
      </x:c>
      <x:c r="H3708" s="115" t="str">
        <x:v>L 800 ; l 2500 ; hauteur 7 m ; choix de composition auteur ; dimensions réelles à documenter</x:v>
      </x:c>
      <x:c r="I3708" s="115" t="str">
        <x:v>À équilibrer</x:v>
      </x:c>
      <x:c r="J3708" s="115" t="str">
        <x:v>Non</x:v>
      </x:c>
      <x:c r="K3708" s="115" t="str">
        <x:v>Pièces décrites, murs, portes, niveaux et mobilier inspectables à l’échelle. Volumes réservés, raccord au seed, butin, rencontres et services de campagne restent à terminer.</x:v>
      </x:c>
    </x:row>
    <x:row r="3709" ht="96" customHeight="1">
      <x:c r="A3709" s="115" t="str">
        <x:v>EXT-MONDE-T075-V04</x:v>
      </x:c>
      <x:c r="B3709" s="115" t="str">
        <x:v>EXT-MONDE-T075</x:v>
      </x:c>
      <x:c r="C3709" s="115" t="str">
        <x:v>Ferroviaire</x:v>
      </x:c>
      <x:c r="D3709" s="115" t="str">
        <x:v>Gare de triage</x:v>
      </x:c>
      <x:c r="E3709" s="115" t="n">
        <x:v>4</x:v>
      </x:c>
      <x:c r="F3709" s="115" t="str">
        <x:v>Inspection physique</x:v>
      </x:c>
      <x:c r="G3709" s="115" t="str">
        <x:v>1 niveaux ; 36 pièces ; 265 segments de mur ; 0 transitions. Inspection physique ; architecture complète encore ouverte.</x:v>
      </x:c>
      <x:c r="H3709" s="115" t="str">
        <x:v>L 800 ; l 2500 ; hauteur 7 m ; choix de composition auteur ; dimensions réelles à documenter</x:v>
      </x:c>
      <x:c r="I3709" s="115" t="str">
        <x:v>À équilibrer</x:v>
      </x:c>
      <x:c r="J3709" s="115" t="str">
        <x:v>Non</x:v>
      </x:c>
      <x:c r="K3709" s="115" t="str">
        <x:v>Pièces décrites, murs, portes, niveaux et mobilier inspectables à l’échelle. Volumes réservés, raccord au seed, butin, rencontres et services de campagne restent à terminer.</x:v>
      </x:c>
    </x:row>
    <x:row r="3710" ht="96" customHeight="1">
      <x:c r="A3710" s="115" t="str">
        <x:v>EXT-MONDE-T075-V05</x:v>
      </x:c>
      <x:c r="B3710" s="115" t="str">
        <x:v>EXT-MONDE-T075</x:v>
      </x:c>
      <x:c r="C3710" s="115" t="str">
        <x:v>Ferroviaire</x:v>
      </x:c>
      <x:c r="D3710" s="115" t="str">
        <x:v>Gare de triage</x:v>
      </x:c>
      <x:c r="E3710" s="115" t="n">
        <x:v>5</x:v>
      </x:c>
      <x:c r="F3710" s="115" t="str">
        <x:v>Inspection physique</x:v>
      </x:c>
      <x:c r="G3710" s="115" t="str">
        <x:v>1 niveaux ; 36 pièces ; 265 segments de mur ; 0 transitions. Inspection physique ; architecture complète encore ouverte.</x:v>
      </x:c>
      <x:c r="H3710" s="115" t="str">
        <x:v>L 800 ; l 2500 ; hauteur 7 m ; choix de composition auteur ; dimensions réelles à documenter</x:v>
      </x:c>
      <x:c r="I3710" s="115" t="str">
        <x:v>À équilibrer</x:v>
      </x:c>
      <x:c r="J3710" s="115" t="str">
        <x:v>Non</x:v>
      </x:c>
      <x:c r="K3710" s="115" t="str">
        <x:v>Pièces décrites, murs, portes, niveaux et mobilier inspectables à l’échelle. Volumes réservés, raccord au seed, butin, rencontres et services de campagne restent à terminer.</x:v>
      </x:c>
    </x:row>
    <x:row r="3711" ht="96" customHeight="1">
      <x:c r="A3711" s="115" t="str">
        <x:v>EXT-MONDE-T075-V06</x:v>
      </x:c>
      <x:c r="B3711" s="115" t="str">
        <x:v>EXT-MONDE-T075</x:v>
      </x:c>
      <x:c r="C3711" s="115" t="str">
        <x:v>Ferroviaire</x:v>
      </x:c>
      <x:c r="D3711" s="115" t="str">
        <x:v>Gare de triage</x:v>
      </x:c>
      <x:c r="E3711" s="115" t="n">
        <x:v>6</x:v>
      </x:c>
      <x:c r="F3711" s="115" t="str">
        <x:v>Inspection physique</x:v>
      </x:c>
      <x:c r="G3711" s="115" t="str">
        <x:v>1 niveaux ; 36 pièces ; 265 segments de mur ; 0 transitions. Inspection physique ; architecture complète encore ouverte.</x:v>
      </x:c>
      <x:c r="H3711" s="115" t="str">
        <x:v>L 800 ; l 2500 ; hauteur 7 m ; choix de composition auteur ; dimensions réelles à documenter</x:v>
      </x:c>
      <x:c r="I3711" s="115" t="str">
        <x:v>À équilibrer</x:v>
      </x:c>
      <x:c r="J3711" s="115" t="str">
        <x:v>Non</x:v>
      </x:c>
      <x:c r="K3711" s="115" t="str">
        <x:v>Pièces décrites, murs, portes, niveaux et mobilier inspectables à l’échelle. Volumes réservés, raccord au seed, butin, rencontres et services de campagne restent à terminer.</x:v>
      </x:c>
    </x:row>
    <x:row r="3712" ht="96" customHeight="1">
      <x:c r="A3712" s="115" t="str">
        <x:v>EXT-MONDE-T075-V07</x:v>
      </x:c>
      <x:c r="B3712" s="115" t="str">
        <x:v>EXT-MONDE-T075</x:v>
      </x:c>
      <x:c r="C3712" s="115" t="str">
        <x:v>Ferroviaire</x:v>
      </x:c>
      <x:c r="D3712" s="115" t="str">
        <x:v>Gare de triage</x:v>
      </x:c>
      <x:c r="E3712" s="115" t="n">
        <x:v>7</x:v>
      </x:c>
      <x:c r="F3712" s="115" t="str">
        <x:v>Inspection physique</x:v>
      </x:c>
      <x:c r="G3712" s="115" t="str">
        <x:v>1 niveaux ; 36 pièces ; 265 segments de mur ; 0 transitions. Inspection physique ; architecture complète encore ouverte.</x:v>
      </x:c>
      <x:c r="H3712" s="115" t="str">
        <x:v>L 800 ; l 2500 ; hauteur 7 m ; choix de composition auteur ; dimensions réelles à documenter</x:v>
      </x:c>
      <x:c r="I3712" s="115" t="str">
        <x:v>À équilibrer</x:v>
      </x:c>
      <x:c r="J3712" s="115" t="str">
        <x:v>Non</x:v>
      </x:c>
      <x:c r="K3712" s="115" t="str">
        <x:v>Pièces décrites, murs, portes, niveaux et mobilier inspectables à l’échelle. Volumes réservés, raccord au seed, butin, rencontres et services de campagne restent à terminer.</x:v>
      </x:c>
    </x:row>
    <x:row r="3713" ht="96" customHeight="1">
      <x:c r="A3713" s="115" t="str">
        <x:v>EXT-MONDE-T075-V08</x:v>
      </x:c>
      <x:c r="B3713" s="115" t="str">
        <x:v>EXT-MONDE-T075</x:v>
      </x:c>
      <x:c r="C3713" s="115" t="str">
        <x:v>Ferroviaire</x:v>
      </x:c>
      <x:c r="D3713" s="115" t="str">
        <x:v>Gare de triage</x:v>
      </x:c>
      <x:c r="E3713" s="115" t="n">
        <x:v>8</x:v>
      </x:c>
      <x:c r="F3713" s="115" t="str">
        <x:v>Inspection physique</x:v>
      </x:c>
      <x:c r="G3713" s="115" t="str">
        <x:v>1 niveaux ; 36 pièces ; 265 segments de mur ; 0 transitions. Inspection physique ; architecture complète encore ouverte.</x:v>
      </x:c>
      <x:c r="H3713" s="115" t="str">
        <x:v>L 800 ; l 2500 ; hauteur 7 m ; choix de composition auteur ; dimensions réelles à documenter</x:v>
      </x:c>
      <x:c r="I3713" s="115" t="str">
        <x:v>À équilibrer</x:v>
      </x:c>
      <x:c r="J3713" s="115" t="str">
        <x:v>Non</x:v>
      </x:c>
      <x:c r="K3713" s="115" t="str">
        <x:v>Pièces décrites, murs, portes, niveaux et mobilier inspectables à l’échelle. Volumes réservés, raccord au seed, butin, rencontres et services de campagne restent à terminer.</x:v>
      </x:c>
    </x:row>
    <x:row r="3714" ht="96" customHeight="1">
      <x:c r="A3714" s="115" t="str">
        <x:v>EXT-MONDE-T075-V09</x:v>
      </x:c>
      <x:c r="B3714" s="115" t="str">
        <x:v>EXT-MONDE-T075</x:v>
      </x:c>
      <x:c r="C3714" s="115" t="str">
        <x:v>Ferroviaire</x:v>
      </x:c>
      <x:c r="D3714" s="115" t="str">
        <x:v>Gare de triage</x:v>
      </x:c>
      <x:c r="E3714" s="115" t="n">
        <x:v>9</x:v>
      </x:c>
      <x:c r="F3714" s="115" t="str">
        <x:v>Inspection physique</x:v>
      </x:c>
      <x:c r="G3714" s="115" t="str">
        <x:v>1 niveaux ; 36 pièces ; 265 segments de mur ; 0 transitions. Inspection physique ; architecture complète encore ouverte.</x:v>
      </x:c>
      <x:c r="H3714" s="115" t="str">
        <x:v>L 800 ; l 2500 ; hauteur 7 m ; choix de composition auteur ; dimensions réelles à documenter</x:v>
      </x:c>
      <x:c r="I3714" s="115" t="str">
        <x:v>À équilibrer</x:v>
      </x:c>
      <x:c r="J3714" s="115" t="str">
        <x:v>Non</x:v>
      </x:c>
      <x:c r="K3714" s="115" t="str">
        <x:v>Pièces décrites, murs, portes, niveaux et mobilier inspectables à l’échelle. Volumes réservés, raccord au seed, butin, rencontres et services de campagne restent à terminer.</x:v>
      </x:c>
    </x:row>
    <x:row r="3715" ht="96" customHeight="1">
      <x:c r="A3715" s="115" t="str">
        <x:v>EXT-MONDE-T075-V10</x:v>
      </x:c>
      <x:c r="B3715" s="115" t="str">
        <x:v>EXT-MONDE-T075</x:v>
      </x:c>
      <x:c r="C3715" s="115" t="str">
        <x:v>Ferroviaire</x:v>
      </x:c>
      <x:c r="D3715" s="115" t="str">
        <x:v>Gare de triage</x:v>
      </x:c>
      <x:c r="E3715" s="115" t="n">
        <x:v>10</x:v>
      </x:c>
      <x:c r="F3715" s="115" t="str">
        <x:v>Inspection physique</x:v>
      </x:c>
      <x:c r="G3715" s="115" t="str">
        <x:v>1 niveaux ; 36 pièces ; 265 segments de mur ; 0 transitions. Inspection physique ; architecture complète encore ouverte.</x:v>
      </x:c>
      <x:c r="H3715" s="115" t="str">
        <x:v>L 800 ; l 2500 ; hauteur 7 m ; choix de composition auteur ; dimensions réelles à documenter</x:v>
      </x:c>
      <x:c r="I3715" s="115" t="str">
        <x:v>À équilibrer</x:v>
      </x:c>
      <x:c r="J3715" s="115" t="str">
        <x:v>Non</x:v>
      </x:c>
      <x:c r="K3715" s="115" t="str">
        <x:v>Pièces décrites, murs, portes, niveaux et mobilier inspectables à l’échelle. Volumes réservés, raccord au seed, butin, rencontres et services de campagne restent à terminer.</x:v>
      </x:c>
    </x:row>
    <x:row r="3716" ht="96" customHeight="1">
      <x:c r="A3716" s="115" t="str">
        <x:v>EXT-MONDE-T075-V11</x:v>
      </x:c>
      <x:c r="B3716" s="115" t="str">
        <x:v>EXT-MONDE-T075</x:v>
      </x:c>
      <x:c r="C3716" s="115" t="str">
        <x:v>Ferroviaire</x:v>
      </x:c>
      <x:c r="D3716" s="115" t="str">
        <x:v>Gare de triage</x:v>
      </x:c>
      <x:c r="E3716" s="115" t="n">
        <x:v>11</x:v>
      </x:c>
      <x:c r="F3716" s="115" t="str">
        <x:v>Inspection physique</x:v>
      </x:c>
      <x:c r="G3716" s="115" t="str">
        <x:v>1 niveaux ; 36 pièces ; 265 segments de mur ; 0 transitions. Inspection physique ; architecture complète encore ouverte.</x:v>
      </x:c>
      <x:c r="H3716" s="115" t="str">
        <x:v>L 800 ; l 2700 ; hauteur 7,2 m ; choix de composition auteur ; dimensions réelles à documenter</x:v>
      </x:c>
      <x:c r="I3716" s="115" t="str">
        <x:v>À équilibrer</x:v>
      </x:c>
      <x:c r="J3716" s="115" t="str">
        <x:v>Non</x:v>
      </x:c>
      <x:c r="K3716" s="115" t="str">
        <x:v>Pièces décrites, murs, portes, niveaux et mobilier inspectables à l’échelle. Volumes réservés, raccord au seed, butin, rencontres et services de campagne restent à terminer.</x:v>
      </x:c>
    </x:row>
    <x:row r="3717" ht="96" customHeight="1">
      <x:c r="A3717" s="115" t="str">
        <x:v>EXT-MONDE-T075-V12</x:v>
      </x:c>
      <x:c r="B3717" s="115" t="str">
        <x:v>EXT-MONDE-T075</x:v>
      </x:c>
      <x:c r="C3717" s="115" t="str">
        <x:v>Ferroviaire</x:v>
      </x:c>
      <x:c r="D3717" s="115" t="str">
        <x:v>Gare de triage</x:v>
      </x:c>
      <x:c r="E3717" s="115" t="n">
        <x:v>12</x:v>
      </x:c>
      <x:c r="F3717" s="115" t="str">
        <x:v>Inspection physique</x:v>
      </x:c>
      <x:c r="G3717" s="115" t="str">
        <x:v>1 niveaux ; 36 pièces ; 265 segments de mur ; 0 transitions. Inspection physique ; architecture complète encore ouverte.</x:v>
      </x:c>
      <x:c r="H3717" s="115" t="str">
        <x:v>L 800 ; l 2700 ; hauteur 7,2 m ; choix de composition auteur ; dimensions réelles à documenter</x:v>
      </x:c>
      <x:c r="I3717" s="115" t="str">
        <x:v>À équilibrer</x:v>
      </x:c>
      <x:c r="J3717" s="115" t="str">
        <x:v>Non</x:v>
      </x:c>
      <x:c r="K3717" s="115" t="str">
        <x:v>Pièces décrites, murs, portes, niveaux et mobilier inspectables à l’échelle. Volumes réservés, raccord au seed, butin, rencontres et services de campagne restent à terminer.</x:v>
      </x:c>
    </x:row>
    <x:row r="3718" ht="96" customHeight="1">
      <x:c r="A3718" s="115" t="str">
        <x:v>EXT-MONDE-T075-V13</x:v>
      </x:c>
      <x:c r="B3718" s="115" t="str">
        <x:v>EXT-MONDE-T075</x:v>
      </x:c>
      <x:c r="C3718" s="115" t="str">
        <x:v>Ferroviaire</x:v>
      </x:c>
      <x:c r="D3718" s="115" t="str">
        <x:v>Gare de triage</x:v>
      </x:c>
      <x:c r="E3718" s="115" t="n">
        <x:v>13</x:v>
      </x:c>
      <x:c r="F3718" s="115" t="str">
        <x:v>Inspection physique</x:v>
      </x:c>
      <x:c r="G3718" s="115" t="str">
        <x:v>1 niveaux ; 36 pièces ; 265 segments de mur ; 0 transitions. Inspection physique ; architecture complète encore ouverte.</x:v>
      </x:c>
      <x:c r="H3718" s="115" t="str">
        <x:v>L 800 ; l 2700 ; hauteur 7,2 m ; choix de composition auteur ; dimensions réelles à documenter</x:v>
      </x:c>
      <x:c r="I3718" s="115" t="str">
        <x:v>À équilibrer</x:v>
      </x:c>
      <x:c r="J3718" s="115" t="str">
        <x:v>Non</x:v>
      </x:c>
      <x:c r="K3718" s="115" t="str">
        <x:v>Pièces décrites, murs, portes, niveaux et mobilier inspectables à l’échelle. Volumes réservés, raccord au seed, butin, rencontres et services de campagne restent à terminer.</x:v>
      </x:c>
    </x:row>
    <x:row r="3719" ht="96" customHeight="1">
      <x:c r="A3719" s="115" t="str">
        <x:v>EXT-MONDE-T075-V14</x:v>
      </x:c>
      <x:c r="B3719" s="115" t="str">
        <x:v>EXT-MONDE-T075</x:v>
      </x:c>
      <x:c r="C3719" s="115" t="str">
        <x:v>Ferroviaire</x:v>
      </x:c>
      <x:c r="D3719" s="115" t="str">
        <x:v>Gare de triage</x:v>
      </x:c>
      <x:c r="E3719" s="115" t="n">
        <x:v>14</x:v>
      </x:c>
      <x:c r="F3719" s="115" t="str">
        <x:v>Inspection physique</x:v>
      </x:c>
      <x:c r="G3719" s="115" t="str">
        <x:v>1 niveaux ; 36 pièces ; 265 segments de mur ; 0 transitions. Inspection physique ; architecture complète encore ouverte.</x:v>
      </x:c>
      <x:c r="H3719" s="115" t="str">
        <x:v>L 800 ; l 2700 ; hauteur 7,2 m ; choix de composition auteur ; dimensions réelles à documenter</x:v>
      </x:c>
      <x:c r="I3719" s="115" t="str">
        <x:v>À équilibrer</x:v>
      </x:c>
      <x:c r="J3719" s="115" t="str">
        <x:v>Non</x:v>
      </x:c>
      <x:c r="K3719" s="115" t="str">
        <x:v>Pièces décrites, murs, portes, niveaux et mobilier inspectables à l’échelle. Volumes réservés, raccord au seed, butin, rencontres et services de campagne restent à terminer.</x:v>
      </x:c>
    </x:row>
    <x:row r="3720" ht="96" customHeight="1">
      <x:c r="A3720" s="115" t="str">
        <x:v>EXT-MONDE-T075-V15</x:v>
      </x:c>
      <x:c r="B3720" s="115" t="str">
        <x:v>EXT-MONDE-T075</x:v>
      </x:c>
      <x:c r="C3720" s="115" t="str">
        <x:v>Ferroviaire</x:v>
      </x:c>
      <x:c r="D3720" s="115" t="str">
        <x:v>Gare de triage</x:v>
      </x:c>
      <x:c r="E3720" s="115" t="n">
        <x:v>15</x:v>
      </x:c>
      <x:c r="F3720" s="115" t="str">
        <x:v>Inspection physique</x:v>
      </x:c>
      <x:c r="G3720" s="115" t="str">
        <x:v>1 niveaux ; 36 pièces ; 265 segments de mur ; 0 transitions. Inspection physique ; architecture complète encore ouverte.</x:v>
      </x:c>
      <x:c r="H3720" s="115" t="str">
        <x:v>L 800 ; l 2700 ; hauteur 7,2 m ; choix de composition auteur ; dimensions réelles à documenter</x:v>
      </x:c>
      <x:c r="I3720" s="115" t="str">
        <x:v>À équilibrer</x:v>
      </x:c>
      <x:c r="J3720" s="115" t="str">
        <x:v>Non</x:v>
      </x:c>
      <x:c r="K3720" s="115" t="str">
        <x:v>Pièces décrites, murs, portes, niveaux et mobilier inspectables à l’échelle. Volumes réservés, raccord au seed, butin, rencontres et services de campagne restent à terminer.</x:v>
      </x:c>
    </x:row>
    <x:row r="3721" ht="96" customHeight="1">
      <x:c r="A3721" s="115" t="str">
        <x:v>EXT-MONDE-T075-V16</x:v>
      </x:c>
      <x:c r="B3721" s="115" t="str">
        <x:v>EXT-MONDE-T075</x:v>
      </x:c>
      <x:c r="C3721" s="115" t="str">
        <x:v>Ferroviaire</x:v>
      </x:c>
      <x:c r="D3721" s="115" t="str">
        <x:v>Gare de triage</x:v>
      </x:c>
      <x:c r="E3721" s="115" t="n">
        <x:v>16</x:v>
      </x:c>
      <x:c r="F3721" s="115" t="str">
        <x:v>Inspection physique</x:v>
      </x:c>
      <x:c r="G3721" s="115" t="str">
        <x:v>1 niveaux ; 36 pièces ; 265 segments de mur ; 0 transitions. Inspection physique ; architecture complète encore ouverte.</x:v>
      </x:c>
      <x:c r="H3721" s="115" t="str">
        <x:v>L 800 ; l 2700 ; hauteur 7,2 m ; choix de composition auteur ; dimensions réelles à documenter</x:v>
      </x:c>
      <x:c r="I3721" s="115" t="str">
        <x:v>À équilibrer</x:v>
      </x:c>
      <x:c r="J3721" s="115" t="str">
        <x:v>Non</x:v>
      </x:c>
      <x:c r="K3721" s="115" t="str">
        <x:v>Pièces décrites, murs, portes, niveaux et mobilier inspectables à l’échelle. Volumes réservés, raccord au seed, butin, rencontres et services de campagne restent à terminer.</x:v>
      </x:c>
    </x:row>
    <x:row r="3722" ht="96" customHeight="1">
      <x:c r="A3722" s="115" t="str">
        <x:v>EXT-MONDE-T075-V17</x:v>
      </x:c>
      <x:c r="B3722" s="115" t="str">
        <x:v>EXT-MONDE-T075</x:v>
      </x:c>
      <x:c r="C3722" s="115" t="str">
        <x:v>Ferroviaire</x:v>
      </x:c>
      <x:c r="D3722" s="115" t="str">
        <x:v>Gare de triage</x:v>
      </x:c>
      <x:c r="E3722" s="115" t="n">
        <x:v>17</x:v>
      </x:c>
      <x:c r="F3722" s="115" t="str">
        <x:v>Inspection physique</x:v>
      </x:c>
      <x:c r="G3722" s="115" t="str">
        <x:v>1 niveaux ; 36 pièces ; 265 segments de mur ; 0 transitions. Inspection physique ; architecture complète encore ouverte.</x:v>
      </x:c>
      <x:c r="H3722" s="115" t="str">
        <x:v>L 800 ; l 2700 ; hauteur 7,2 m ; choix de composition auteur ; dimensions réelles à documenter</x:v>
      </x:c>
      <x:c r="I3722" s="115" t="str">
        <x:v>À équilibrer</x:v>
      </x:c>
      <x:c r="J3722" s="115" t="str">
        <x:v>Non</x:v>
      </x:c>
      <x:c r="K3722" s="115" t="str">
        <x:v>Pièces décrites, murs, portes, niveaux et mobilier inspectables à l’échelle. Volumes réservés, raccord au seed, butin, rencontres et services de campagne restent à terminer.</x:v>
      </x:c>
    </x:row>
    <x:row r="3723" ht="96" customHeight="1">
      <x:c r="A3723" s="115" t="str">
        <x:v>EXT-MONDE-T075-V18</x:v>
      </x:c>
      <x:c r="B3723" s="115" t="str">
        <x:v>EXT-MONDE-T075</x:v>
      </x:c>
      <x:c r="C3723" s="115" t="str">
        <x:v>Ferroviaire</x:v>
      </x:c>
      <x:c r="D3723" s="115" t="str">
        <x:v>Gare de triage</x:v>
      </x:c>
      <x:c r="E3723" s="115" t="n">
        <x:v>18</x:v>
      </x:c>
      <x:c r="F3723" s="115" t="str">
        <x:v>Inspection physique</x:v>
      </x:c>
      <x:c r="G3723" s="115" t="str">
        <x:v>1 niveaux ; 36 pièces ; 265 segments de mur ; 0 transitions. Inspection physique ; architecture complète encore ouverte.</x:v>
      </x:c>
      <x:c r="H3723" s="115" t="str">
        <x:v>L 800 ; l 2700 ; hauteur 7,2 m ; choix de composition auteur ; dimensions réelles à documenter</x:v>
      </x:c>
      <x:c r="I3723" s="115" t="str">
        <x:v>À équilibrer</x:v>
      </x:c>
      <x:c r="J3723" s="115" t="str">
        <x:v>Non</x:v>
      </x:c>
      <x:c r="K3723" s="115" t="str">
        <x:v>Pièces décrites, murs, portes, niveaux et mobilier inspectables à l’échelle. Volumes réservés, raccord au seed, butin, rencontres et services de campagne restent à terminer.</x:v>
      </x:c>
    </x:row>
    <x:row r="3724" ht="96" customHeight="1">
      <x:c r="A3724" s="115" t="str">
        <x:v>EXT-MONDE-T075-V19</x:v>
      </x:c>
      <x:c r="B3724" s="115" t="str">
        <x:v>EXT-MONDE-T075</x:v>
      </x:c>
      <x:c r="C3724" s="115" t="str">
        <x:v>Ferroviaire</x:v>
      </x:c>
      <x:c r="D3724" s="115" t="str">
        <x:v>Gare de triage</x:v>
      </x:c>
      <x:c r="E3724" s="115" t="n">
        <x:v>19</x:v>
      </x:c>
      <x:c r="F3724" s="115" t="str">
        <x:v>Inspection physique</x:v>
      </x:c>
      <x:c r="G3724" s="115" t="str">
        <x:v>1 niveaux ; 36 pièces ; 265 segments de mur ; 0 transitions. Inspection physique ; architecture complète encore ouverte.</x:v>
      </x:c>
      <x:c r="H3724" s="115" t="str">
        <x:v>L 800 ; l 2700 ; hauteur 7,2 m ; choix de composition auteur ; dimensions réelles à documenter</x:v>
      </x:c>
      <x:c r="I3724" s="115" t="str">
        <x:v>À équilibrer</x:v>
      </x:c>
      <x:c r="J3724" s="115" t="str">
        <x:v>Non</x:v>
      </x:c>
      <x:c r="K3724" s="115" t="str">
        <x:v>Pièces décrites, murs, portes, niveaux et mobilier inspectables à l’échelle. Volumes réservés, raccord au seed, butin, rencontres et services de campagne restent à terminer.</x:v>
      </x:c>
    </x:row>
    <x:row r="3725" ht="96" customHeight="1">
      <x:c r="A3725" s="115" t="str">
        <x:v>EXT-MONDE-T075-V20</x:v>
      </x:c>
      <x:c r="B3725" s="115" t="str">
        <x:v>EXT-MONDE-T075</x:v>
      </x:c>
      <x:c r="C3725" s="115" t="str">
        <x:v>Ferroviaire</x:v>
      </x:c>
      <x:c r="D3725" s="115" t="str">
        <x:v>Gare de triage</x:v>
      </x:c>
      <x:c r="E3725" s="115" t="n">
        <x:v>20</x:v>
      </x:c>
      <x:c r="F3725" s="115" t="str">
        <x:v>Inspection physique</x:v>
      </x:c>
      <x:c r="G3725" s="115" t="str">
        <x:v>1 niveaux ; 36 pièces ; 265 segments de mur ; 0 transitions. Inspection physique ; architecture complète encore ouverte.</x:v>
      </x:c>
      <x:c r="H3725" s="115" t="str">
        <x:v>L 800 ; l 2700 ; hauteur 7,2 m ; choix de composition auteur ; dimensions réelles à documenter</x:v>
      </x:c>
      <x:c r="I3725" s="115" t="str">
        <x:v>À équilibrer</x:v>
      </x:c>
      <x:c r="J3725" s="115" t="str">
        <x:v>Non</x:v>
      </x:c>
      <x:c r="K3725" s="115" t="str">
        <x:v>Pièces décrites, murs, portes, niveaux et mobilier inspectables à l’échelle. Volumes réservés, raccord au seed, butin, rencontres et services de campagne restent à terminer.</x:v>
      </x:c>
    </x:row>
    <x:row r="3726" ht="96" customHeight="1">
      <x:c r="A3726" s="115" t="str">
        <x:v>EXT-MONDE-T075-V21</x:v>
      </x:c>
      <x:c r="B3726" s="115" t="str">
        <x:v>EXT-MONDE-T075</x:v>
      </x:c>
      <x:c r="C3726" s="115" t="str">
        <x:v>Ferroviaire</x:v>
      </x:c>
      <x:c r="D3726" s="115" t="str">
        <x:v>Gare de triage</x:v>
      </x:c>
      <x:c r="E3726" s="115" t="n">
        <x:v>21</x:v>
      </x:c>
      <x:c r="F3726" s="115" t="str">
        <x:v>Inspection physique</x:v>
      </x:c>
      <x:c r="G3726" s="115" t="str">
        <x:v>1 niveaux ; 36 pièces ; 265 segments de mur ; 0 transitions. Inspection physique ; architecture complète encore ouverte.</x:v>
      </x:c>
      <x:c r="H3726" s="115" t="str">
        <x:v>L 800 ; l 2900 ; hauteur 7,4 m ; choix de composition auteur ; dimensions réelles à documenter</x:v>
      </x:c>
      <x:c r="I3726" s="115" t="str">
        <x:v>À équilibrer</x:v>
      </x:c>
      <x:c r="J3726" s="115" t="str">
        <x:v>Non</x:v>
      </x:c>
      <x:c r="K3726" s="115" t="str">
        <x:v>Pièces décrites, murs, portes, niveaux et mobilier inspectables à l’échelle. Volumes réservés, raccord au seed, butin, rencontres et services de campagne restent à terminer.</x:v>
      </x:c>
    </x:row>
    <x:row r="3727" ht="96" customHeight="1">
      <x:c r="A3727" s="115" t="str">
        <x:v>EXT-MONDE-T075-V22</x:v>
      </x:c>
      <x:c r="B3727" s="115" t="str">
        <x:v>EXT-MONDE-T075</x:v>
      </x:c>
      <x:c r="C3727" s="115" t="str">
        <x:v>Ferroviaire</x:v>
      </x:c>
      <x:c r="D3727" s="115" t="str">
        <x:v>Gare de triage</x:v>
      </x:c>
      <x:c r="E3727" s="115" t="n">
        <x:v>22</x:v>
      </x:c>
      <x:c r="F3727" s="115" t="str">
        <x:v>Inspection physique</x:v>
      </x:c>
      <x:c r="G3727" s="115" t="str">
        <x:v>1 niveaux ; 36 pièces ; 265 segments de mur ; 0 transitions. Inspection physique ; architecture complète encore ouverte.</x:v>
      </x:c>
      <x:c r="H3727" s="115" t="str">
        <x:v>L 800 ; l 2900 ; hauteur 7,4 m ; choix de composition auteur ; dimensions réelles à documenter</x:v>
      </x:c>
      <x:c r="I3727" s="115" t="str">
        <x:v>À équilibrer</x:v>
      </x:c>
      <x:c r="J3727" s="115" t="str">
        <x:v>Non</x:v>
      </x:c>
      <x:c r="K3727" s="115" t="str">
        <x:v>Pièces décrites, murs, portes, niveaux et mobilier inspectables à l’échelle. Volumes réservés, raccord au seed, butin, rencontres et services de campagne restent à terminer.</x:v>
      </x:c>
    </x:row>
    <x:row r="3728" ht="96" customHeight="1">
      <x:c r="A3728" s="115" t="str">
        <x:v>EXT-MONDE-T075-V23</x:v>
      </x:c>
      <x:c r="B3728" s="115" t="str">
        <x:v>EXT-MONDE-T075</x:v>
      </x:c>
      <x:c r="C3728" s="115" t="str">
        <x:v>Ferroviaire</x:v>
      </x:c>
      <x:c r="D3728" s="115" t="str">
        <x:v>Gare de triage</x:v>
      </x:c>
      <x:c r="E3728" s="115" t="n">
        <x:v>23</x:v>
      </x:c>
      <x:c r="F3728" s="115" t="str">
        <x:v>Inspection physique</x:v>
      </x:c>
      <x:c r="G3728" s="115" t="str">
        <x:v>1 niveaux ; 36 pièces ; 265 segments de mur ; 0 transitions. Inspection physique ; architecture complète encore ouverte.</x:v>
      </x:c>
      <x:c r="H3728" s="115" t="str">
        <x:v>L 800 ; l 2900 ; hauteur 7,4 m ; choix de composition auteur ; dimensions réelles à documenter</x:v>
      </x:c>
      <x:c r="I3728" s="115" t="str">
        <x:v>À équilibrer</x:v>
      </x:c>
      <x:c r="J3728" s="115" t="str">
        <x:v>Non</x:v>
      </x:c>
      <x:c r="K3728" s="115" t="str">
        <x:v>Pièces décrites, murs, portes, niveaux et mobilier inspectables à l’échelle. Volumes réservés, raccord au seed, butin, rencontres et services de campagne restent à terminer.</x:v>
      </x:c>
    </x:row>
    <x:row r="3729" ht="96" customHeight="1">
      <x:c r="A3729" s="115" t="str">
        <x:v>EXT-MONDE-T075-V24</x:v>
      </x:c>
      <x:c r="B3729" s="115" t="str">
        <x:v>EXT-MONDE-T075</x:v>
      </x:c>
      <x:c r="C3729" s="115" t="str">
        <x:v>Ferroviaire</x:v>
      </x:c>
      <x:c r="D3729" s="115" t="str">
        <x:v>Gare de triage</x:v>
      </x:c>
      <x:c r="E3729" s="115" t="n">
        <x:v>24</x:v>
      </x:c>
      <x:c r="F3729" s="115" t="str">
        <x:v>Inspection physique</x:v>
      </x:c>
      <x:c r="G3729" s="115" t="str">
        <x:v>1 niveaux ; 36 pièces ; 265 segments de mur ; 0 transitions. Inspection physique ; architecture complète encore ouverte.</x:v>
      </x:c>
      <x:c r="H3729" s="115" t="str">
        <x:v>L 800 ; l 2900 ; hauteur 7,4 m ; choix de composition auteur ; dimensions réelles à documenter</x:v>
      </x:c>
      <x:c r="I3729" s="115" t="str">
        <x:v>À équilibrer</x:v>
      </x:c>
      <x:c r="J3729" s="115" t="str">
        <x:v>Non</x:v>
      </x:c>
      <x:c r="K3729" s="115" t="str">
        <x:v>Pièces décrites, murs, portes, niveaux et mobilier inspectables à l’échelle. Volumes réservés, raccord au seed, butin, rencontres et services de campagne restent à terminer.</x:v>
      </x:c>
    </x:row>
    <x:row r="3730" ht="96" customHeight="1">
      <x:c r="A3730" s="115" t="str">
        <x:v>EXT-MONDE-T075-V25</x:v>
      </x:c>
      <x:c r="B3730" s="115" t="str">
        <x:v>EXT-MONDE-T075</x:v>
      </x:c>
      <x:c r="C3730" s="115" t="str">
        <x:v>Ferroviaire</x:v>
      </x:c>
      <x:c r="D3730" s="115" t="str">
        <x:v>Gare de triage</x:v>
      </x:c>
      <x:c r="E3730" s="115" t="n">
        <x:v>25</x:v>
      </x:c>
      <x:c r="F3730" s="115" t="str">
        <x:v>Inspection physique</x:v>
      </x:c>
      <x:c r="G3730" s="115" t="str">
        <x:v>1 niveaux ; 36 pièces ; 265 segments de mur ; 0 transitions. Inspection physique ; architecture complète encore ouverte.</x:v>
      </x:c>
      <x:c r="H3730" s="115" t="str">
        <x:v>L 800 ; l 2900 ; hauteur 7,4 m ; choix de composition auteur ; dimensions réelles à documenter</x:v>
      </x:c>
      <x:c r="I3730" s="115" t="str">
        <x:v>À équilibrer</x:v>
      </x:c>
      <x:c r="J3730" s="115" t="str">
        <x:v>Non</x:v>
      </x:c>
      <x:c r="K3730" s="115" t="str">
        <x:v>Pièces décrites, murs, portes, niveaux et mobilier inspectables à l’échelle. Volumes réservés, raccord au seed, butin, rencontres et services de campagne restent à terminer.</x:v>
      </x:c>
    </x:row>
    <x:row r="3731" ht="96" customHeight="1">
      <x:c r="A3731" s="115" t="str">
        <x:v>EXT-MONDE-T075-V26</x:v>
      </x:c>
      <x:c r="B3731" s="115" t="str">
        <x:v>EXT-MONDE-T075</x:v>
      </x:c>
      <x:c r="C3731" s="115" t="str">
        <x:v>Ferroviaire</x:v>
      </x:c>
      <x:c r="D3731" s="115" t="str">
        <x:v>Gare de triage</x:v>
      </x:c>
      <x:c r="E3731" s="115" t="n">
        <x:v>26</x:v>
      </x:c>
      <x:c r="F3731" s="115" t="str">
        <x:v>Inspection physique</x:v>
      </x:c>
      <x:c r="G3731" s="115" t="str">
        <x:v>1 niveaux ; 36 pièces ; 265 segments de mur ; 0 transitions. Inspection physique ; architecture complète encore ouverte.</x:v>
      </x:c>
      <x:c r="H3731" s="115" t="str">
        <x:v>L 800 ; l 2900 ; hauteur 7,4 m ; choix de composition auteur ; dimensions réelles à documenter</x:v>
      </x:c>
      <x:c r="I3731" s="115" t="str">
        <x:v>À équilibrer</x:v>
      </x:c>
      <x:c r="J3731" s="115" t="str">
        <x:v>Non</x:v>
      </x:c>
      <x:c r="K3731" s="115" t="str">
        <x:v>Pièces décrites, murs, portes, niveaux et mobilier inspectables à l’échelle. Volumes réservés, raccord au seed, butin, rencontres et services de campagne restent à terminer.</x:v>
      </x:c>
    </x:row>
    <x:row r="3732" ht="96" customHeight="1">
      <x:c r="A3732" s="115" t="str">
        <x:v>EXT-MONDE-T075-V27</x:v>
      </x:c>
      <x:c r="B3732" s="115" t="str">
        <x:v>EXT-MONDE-T075</x:v>
      </x:c>
      <x:c r="C3732" s="115" t="str">
        <x:v>Ferroviaire</x:v>
      </x:c>
      <x:c r="D3732" s="115" t="str">
        <x:v>Gare de triage</x:v>
      </x:c>
      <x:c r="E3732" s="115" t="n">
        <x:v>27</x:v>
      </x:c>
      <x:c r="F3732" s="115" t="str">
        <x:v>Inspection physique</x:v>
      </x:c>
      <x:c r="G3732" s="115" t="str">
        <x:v>1 niveaux ; 36 pièces ; 265 segments de mur ; 0 transitions. Inspection physique ; architecture complète encore ouverte.</x:v>
      </x:c>
      <x:c r="H3732" s="115" t="str">
        <x:v>L 800 ; l 2900 ; hauteur 7,4 m ; choix de composition auteur ; dimensions réelles à documenter</x:v>
      </x:c>
      <x:c r="I3732" s="115" t="str">
        <x:v>À équilibrer</x:v>
      </x:c>
      <x:c r="J3732" s="115" t="str">
        <x:v>Non</x:v>
      </x:c>
      <x:c r="K3732" s="115" t="str">
        <x:v>Pièces décrites, murs, portes, niveaux et mobilier inspectables à l’échelle. Volumes réservés, raccord au seed, butin, rencontres et services de campagne restent à terminer.</x:v>
      </x:c>
    </x:row>
    <x:row r="3733" ht="96" customHeight="1">
      <x:c r="A3733" s="115" t="str">
        <x:v>EXT-MONDE-T075-V28</x:v>
      </x:c>
      <x:c r="B3733" s="115" t="str">
        <x:v>EXT-MONDE-T075</x:v>
      </x:c>
      <x:c r="C3733" s="115" t="str">
        <x:v>Ferroviaire</x:v>
      </x:c>
      <x:c r="D3733" s="115" t="str">
        <x:v>Gare de triage</x:v>
      </x:c>
      <x:c r="E3733" s="115" t="n">
        <x:v>28</x:v>
      </x:c>
      <x:c r="F3733" s="115" t="str">
        <x:v>Inspection physique</x:v>
      </x:c>
      <x:c r="G3733" s="115" t="str">
        <x:v>1 niveaux ; 36 pièces ; 265 segments de mur ; 0 transitions. Inspection physique ; architecture complète encore ouverte.</x:v>
      </x:c>
      <x:c r="H3733" s="115" t="str">
        <x:v>L 800 ; l 2900 ; hauteur 7,4 m ; choix de composition auteur ; dimensions réelles à documenter</x:v>
      </x:c>
      <x:c r="I3733" s="115" t="str">
        <x:v>À équilibrer</x:v>
      </x:c>
      <x:c r="J3733" s="115" t="str">
        <x:v>Non</x:v>
      </x:c>
      <x:c r="K3733" s="115" t="str">
        <x:v>Pièces décrites, murs, portes, niveaux et mobilier inspectables à l’échelle. Volumes réservés, raccord au seed, butin, rencontres et services de campagne restent à terminer.</x:v>
      </x:c>
    </x:row>
    <x:row r="3734" ht="96" customHeight="1">
      <x:c r="A3734" s="115" t="str">
        <x:v>EXT-MONDE-T075-V29</x:v>
      </x:c>
      <x:c r="B3734" s="115" t="str">
        <x:v>EXT-MONDE-T075</x:v>
      </x:c>
      <x:c r="C3734" s="115" t="str">
        <x:v>Ferroviaire</x:v>
      </x:c>
      <x:c r="D3734" s="115" t="str">
        <x:v>Gare de triage</x:v>
      </x:c>
      <x:c r="E3734" s="115" t="n">
        <x:v>29</x:v>
      </x:c>
      <x:c r="F3734" s="115" t="str">
        <x:v>Inspection physique</x:v>
      </x:c>
      <x:c r="G3734" s="115" t="str">
        <x:v>1 niveaux ; 36 pièces ; 265 segments de mur ; 0 transitions. Inspection physique ; architecture complète encore ouverte.</x:v>
      </x:c>
      <x:c r="H3734" s="115" t="str">
        <x:v>L 800 ; l 2900 ; hauteur 7,4 m ; choix de composition auteur ; dimensions réelles à documenter</x:v>
      </x:c>
      <x:c r="I3734" s="115" t="str">
        <x:v>À équilibrer</x:v>
      </x:c>
      <x:c r="J3734" s="115" t="str">
        <x:v>Non</x:v>
      </x:c>
      <x:c r="K3734" s="115" t="str">
        <x:v>Pièces décrites, murs, portes, niveaux et mobilier inspectables à l’échelle. Volumes réservés, raccord au seed, butin, rencontres et services de campagne restent à terminer.</x:v>
      </x:c>
    </x:row>
    <x:row r="3735" ht="96" customHeight="1">
      <x:c r="A3735" s="115" t="str">
        <x:v>EXT-MONDE-T075-V30</x:v>
      </x:c>
      <x:c r="B3735" s="115" t="str">
        <x:v>EXT-MONDE-T075</x:v>
      </x:c>
      <x:c r="C3735" s="115" t="str">
        <x:v>Ferroviaire</x:v>
      </x:c>
      <x:c r="D3735" s="115" t="str">
        <x:v>Gare de triage</x:v>
      </x:c>
      <x:c r="E3735" s="115" t="n">
        <x:v>30</x:v>
      </x:c>
      <x:c r="F3735" s="115" t="str">
        <x:v>Inspection physique</x:v>
      </x:c>
      <x:c r="G3735" s="115" t="str">
        <x:v>1 niveaux ; 36 pièces ; 265 segments de mur ; 0 transitions. Inspection physique ; architecture complète encore ouverte.</x:v>
      </x:c>
      <x:c r="H3735" s="115" t="str">
        <x:v>L 800 ; l 2900 ; hauteur 7,4 m ; choix de composition auteur ; dimensions réelles à documenter</x:v>
      </x:c>
      <x:c r="I3735" s="115" t="str">
        <x:v>À équilibrer</x:v>
      </x:c>
      <x:c r="J3735" s="115" t="str">
        <x:v>Non</x:v>
      </x:c>
      <x:c r="K3735" s="115" t="str">
        <x:v>Pièces décrites, murs, portes, niveaux et mobilier inspectables à l’échelle. Volumes réservés, raccord au seed, butin, rencontres et services de campagne restent à terminer.</x:v>
      </x:c>
    </x:row>
    <x:row r="3736" ht="96" customHeight="1">
      <x:c r="A3736" s="115" t="str">
        <x:v>EXT-MONDE-T075-V31</x:v>
      </x:c>
      <x:c r="B3736" s="115" t="str">
        <x:v>EXT-MONDE-T075</x:v>
      </x:c>
      <x:c r="C3736" s="115" t="str">
        <x:v>Ferroviaire</x:v>
      </x:c>
      <x:c r="D3736" s="115" t="str">
        <x:v>Gare de triage</x:v>
      </x:c>
      <x:c r="E3736" s="115" t="n">
        <x:v>31</x:v>
      </x:c>
      <x:c r="F3736" s="115" t="str">
        <x:v>Inspection physique</x:v>
      </x:c>
      <x:c r="G3736" s="115" t="str">
        <x:v>1 niveaux ; 36 pièces ; 265 segments de mur ; 0 transitions. Inspection physique ; architecture complète encore ouverte.</x:v>
      </x:c>
      <x:c r="H3736" s="115" t="str">
        <x:v>L 800 ; l 3100 ; hauteur 7,6 m ; choix de composition auteur ; dimensions réelles à documenter</x:v>
      </x:c>
      <x:c r="I3736" s="115" t="str">
        <x:v>À équilibrer</x:v>
      </x:c>
      <x:c r="J3736" s="115" t="str">
        <x:v>Non</x:v>
      </x:c>
      <x:c r="K3736" s="115" t="str">
        <x:v>Pièces décrites, murs, portes, niveaux et mobilier inspectables à l’échelle. Volumes réservés, raccord au seed, butin, rencontres et services de campagne restent à terminer.</x:v>
      </x:c>
    </x:row>
    <x:row r="3737" ht="96" customHeight="1">
      <x:c r="A3737" s="115" t="str">
        <x:v>EXT-MONDE-T075-V32</x:v>
      </x:c>
      <x:c r="B3737" s="115" t="str">
        <x:v>EXT-MONDE-T075</x:v>
      </x:c>
      <x:c r="C3737" s="115" t="str">
        <x:v>Ferroviaire</x:v>
      </x:c>
      <x:c r="D3737" s="115" t="str">
        <x:v>Gare de triage</x:v>
      </x:c>
      <x:c r="E3737" s="115" t="n">
        <x:v>32</x:v>
      </x:c>
      <x:c r="F3737" s="115" t="str">
        <x:v>Inspection physique</x:v>
      </x:c>
      <x:c r="G3737" s="115" t="str">
        <x:v>1 niveaux ; 36 pièces ; 265 segments de mur ; 0 transitions. Inspection physique ; architecture complète encore ouverte.</x:v>
      </x:c>
      <x:c r="H3737" s="115" t="str">
        <x:v>L 800 ; l 3100 ; hauteur 7,6 m ; choix de composition auteur ; dimensions réelles à documenter</x:v>
      </x:c>
      <x:c r="I3737" s="115" t="str">
        <x:v>À équilibrer</x:v>
      </x:c>
      <x:c r="J3737" s="115" t="str">
        <x:v>Non</x:v>
      </x:c>
      <x:c r="K3737" s="115" t="str">
        <x:v>Pièces décrites, murs, portes, niveaux et mobilier inspectables à l’échelle. Volumes réservés, raccord au seed, butin, rencontres et services de campagne restent à terminer.</x:v>
      </x:c>
    </x:row>
    <x:row r="3738" ht="96" customHeight="1">
      <x:c r="A3738" s="115" t="str">
        <x:v>EXT-MONDE-T075-V33</x:v>
      </x:c>
      <x:c r="B3738" s="115" t="str">
        <x:v>EXT-MONDE-T075</x:v>
      </x:c>
      <x:c r="C3738" s="115" t="str">
        <x:v>Ferroviaire</x:v>
      </x:c>
      <x:c r="D3738" s="115" t="str">
        <x:v>Gare de triage</x:v>
      </x:c>
      <x:c r="E3738" s="115" t="n">
        <x:v>33</x:v>
      </x:c>
      <x:c r="F3738" s="115" t="str">
        <x:v>Inspection physique</x:v>
      </x:c>
      <x:c r="G3738" s="115" t="str">
        <x:v>1 niveaux ; 36 pièces ; 265 segments de mur ; 0 transitions. Inspection physique ; architecture complète encore ouverte.</x:v>
      </x:c>
      <x:c r="H3738" s="115" t="str">
        <x:v>L 800 ; l 3100 ; hauteur 7,6 m ; choix de composition auteur ; dimensions réelles à documenter</x:v>
      </x:c>
      <x:c r="I3738" s="115" t="str">
        <x:v>À équilibrer</x:v>
      </x:c>
      <x:c r="J3738" s="115" t="str">
        <x:v>Non</x:v>
      </x:c>
      <x:c r="K3738" s="115" t="str">
        <x:v>Pièces décrites, murs, portes, niveaux et mobilier inspectables à l’échelle. Volumes réservés, raccord au seed, butin, rencontres et services de campagne restent à terminer.</x:v>
      </x:c>
    </x:row>
    <x:row r="3739" ht="96" customHeight="1">
      <x:c r="A3739" s="115" t="str">
        <x:v>EXT-MONDE-T075-V34</x:v>
      </x:c>
      <x:c r="B3739" s="115" t="str">
        <x:v>EXT-MONDE-T075</x:v>
      </x:c>
      <x:c r="C3739" s="115" t="str">
        <x:v>Ferroviaire</x:v>
      </x:c>
      <x:c r="D3739" s="115" t="str">
        <x:v>Gare de triage</x:v>
      </x:c>
      <x:c r="E3739" s="115" t="n">
        <x:v>34</x:v>
      </x:c>
      <x:c r="F3739" s="115" t="str">
        <x:v>Inspection physique</x:v>
      </x:c>
      <x:c r="G3739" s="115" t="str">
        <x:v>1 niveaux ; 36 pièces ; 265 segments de mur ; 0 transitions. Inspection physique ; architecture complète encore ouverte.</x:v>
      </x:c>
      <x:c r="H3739" s="115" t="str">
        <x:v>L 800 ; l 3100 ; hauteur 7,6 m ; choix de composition auteur ; dimensions réelles à documenter</x:v>
      </x:c>
      <x:c r="I3739" s="115" t="str">
        <x:v>À équilibrer</x:v>
      </x:c>
      <x:c r="J3739" s="115" t="str">
        <x:v>Non</x:v>
      </x:c>
      <x:c r="K3739" s="115" t="str">
        <x:v>Pièces décrites, murs, portes, niveaux et mobilier inspectables à l’échelle. Volumes réservés, raccord au seed, butin, rencontres et services de campagne restent à terminer.</x:v>
      </x:c>
    </x:row>
    <x:row r="3740" ht="96" customHeight="1">
      <x:c r="A3740" s="115" t="str">
        <x:v>EXT-MONDE-T075-V35</x:v>
      </x:c>
      <x:c r="B3740" s="115" t="str">
        <x:v>EXT-MONDE-T075</x:v>
      </x:c>
      <x:c r="C3740" s="115" t="str">
        <x:v>Ferroviaire</x:v>
      </x:c>
      <x:c r="D3740" s="115" t="str">
        <x:v>Gare de triage</x:v>
      </x:c>
      <x:c r="E3740" s="115" t="n">
        <x:v>35</x:v>
      </x:c>
      <x:c r="F3740" s="115" t="str">
        <x:v>Inspection physique</x:v>
      </x:c>
      <x:c r="G3740" s="115" t="str">
        <x:v>1 niveaux ; 36 pièces ; 265 segments de mur ; 0 transitions. Inspection physique ; architecture complète encore ouverte.</x:v>
      </x:c>
      <x:c r="H3740" s="115" t="str">
        <x:v>L 800 ; l 3100 ; hauteur 7,6 m ; choix de composition auteur ; dimensions réelles à documenter</x:v>
      </x:c>
      <x:c r="I3740" s="115" t="str">
        <x:v>À équilibrer</x:v>
      </x:c>
      <x:c r="J3740" s="115" t="str">
        <x:v>Non</x:v>
      </x:c>
      <x:c r="K3740" s="115" t="str">
        <x:v>Pièces décrites, murs, portes, niveaux et mobilier inspectables à l’échelle. Volumes réservés, raccord au seed, butin, rencontres et services de campagne restent à terminer.</x:v>
      </x:c>
    </x:row>
    <x:row r="3741" ht="96" customHeight="1">
      <x:c r="A3741" s="115" t="str">
        <x:v>EXT-MONDE-T075-V36</x:v>
      </x:c>
      <x:c r="B3741" s="115" t="str">
        <x:v>EXT-MONDE-T075</x:v>
      </x:c>
      <x:c r="C3741" s="115" t="str">
        <x:v>Ferroviaire</x:v>
      </x:c>
      <x:c r="D3741" s="115" t="str">
        <x:v>Gare de triage</x:v>
      </x:c>
      <x:c r="E3741" s="115" t="n">
        <x:v>36</x:v>
      </x:c>
      <x:c r="F3741" s="115" t="str">
        <x:v>Inspection physique</x:v>
      </x:c>
      <x:c r="G3741" s="115" t="str">
        <x:v>1 niveaux ; 36 pièces ; 265 segments de mur ; 0 transitions. Inspection physique ; architecture complète encore ouverte.</x:v>
      </x:c>
      <x:c r="H3741" s="115" t="str">
        <x:v>L 800 ; l 3100 ; hauteur 7,6 m ; choix de composition auteur ; dimensions réelles à documenter</x:v>
      </x:c>
      <x:c r="I3741" s="115" t="str">
        <x:v>À équilibrer</x:v>
      </x:c>
      <x:c r="J3741" s="115" t="str">
        <x:v>Non</x:v>
      </x:c>
      <x:c r="K3741" s="115" t="str">
        <x:v>Pièces décrites, murs, portes, niveaux et mobilier inspectables à l’échelle. Volumes réservés, raccord au seed, butin, rencontres et services de campagne restent à terminer.</x:v>
      </x:c>
    </x:row>
    <x:row r="3742" ht="96" customHeight="1">
      <x:c r="A3742" s="115" t="str">
        <x:v>EXT-MONDE-T075-V37</x:v>
      </x:c>
      <x:c r="B3742" s="115" t="str">
        <x:v>EXT-MONDE-T075</x:v>
      </x:c>
      <x:c r="C3742" s="115" t="str">
        <x:v>Ferroviaire</x:v>
      </x:c>
      <x:c r="D3742" s="115" t="str">
        <x:v>Gare de triage</x:v>
      </x:c>
      <x:c r="E3742" s="115" t="n">
        <x:v>37</x:v>
      </x:c>
      <x:c r="F3742" s="115" t="str">
        <x:v>Inspection physique</x:v>
      </x:c>
      <x:c r="G3742" s="115" t="str">
        <x:v>1 niveaux ; 36 pièces ; 265 segments de mur ; 0 transitions. Inspection physique ; architecture complète encore ouverte.</x:v>
      </x:c>
      <x:c r="H3742" s="115" t="str">
        <x:v>L 800 ; l 3100 ; hauteur 7,6 m ; choix de composition auteur ; dimensions réelles à documenter</x:v>
      </x:c>
      <x:c r="I3742" s="115" t="str">
        <x:v>À équilibrer</x:v>
      </x:c>
      <x:c r="J3742" s="115" t="str">
        <x:v>Non</x:v>
      </x:c>
      <x:c r="K3742" s="115" t="str">
        <x:v>Pièces décrites, murs, portes, niveaux et mobilier inspectables à l’échelle. Volumes réservés, raccord au seed, butin, rencontres et services de campagne restent à terminer.</x:v>
      </x:c>
    </x:row>
    <x:row r="3743" ht="96" customHeight="1">
      <x:c r="A3743" s="115" t="str">
        <x:v>EXT-MONDE-T075-V38</x:v>
      </x:c>
      <x:c r="B3743" s="115" t="str">
        <x:v>EXT-MONDE-T075</x:v>
      </x:c>
      <x:c r="C3743" s="115" t="str">
        <x:v>Ferroviaire</x:v>
      </x:c>
      <x:c r="D3743" s="115" t="str">
        <x:v>Gare de triage</x:v>
      </x:c>
      <x:c r="E3743" s="115" t="n">
        <x:v>38</x:v>
      </x:c>
      <x:c r="F3743" s="115" t="str">
        <x:v>Inspection physique</x:v>
      </x:c>
      <x:c r="G3743" s="115" t="str">
        <x:v>1 niveaux ; 36 pièces ; 265 segments de mur ; 0 transitions. Inspection physique ; architecture complète encore ouverte.</x:v>
      </x:c>
      <x:c r="H3743" s="115" t="str">
        <x:v>L 800 ; l 3100 ; hauteur 7,6 m ; choix de composition auteur ; dimensions réelles à documenter</x:v>
      </x:c>
      <x:c r="I3743" s="115" t="str">
        <x:v>À équilibrer</x:v>
      </x:c>
      <x:c r="J3743" s="115" t="str">
        <x:v>Non</x:v>
      </x:c>
      <x:c r="K3743" s="115" t="str">
        <x:v>Pièces décrites, murs, portes, niveaux et mobilier inspectables à l’échelle. Volumes réservés, raccord au seed, butin, rencontres et services de campagne restent à terminer.</x:v>
      </x:c>
    </x:row>
    <x:row r="3744" ht="96" customHeight="1">
      <x:c r="A3744" s="115" t="str">
        <x:v>EXT-MONDE-T075-V39</x:v>
      </x:c>
      <x:c r="B3744" s="115" t="str">
        <x:v>EXT-MONDE-T075</x:v>
      </x:c>
      <x:c r="C3744" s="115" t="str">
        <x:v>Ferroviaire</x:v>
      </x:c>
      <x:c r="D3744" s="115" t="str">
        <x:v>Gare de triage</x:v>
      </x:c>
      <x:c r="E3744" s="115" t="n">
        <x:v>39</x:v>
      </x:c>
      <x:c r="F3744" s="115" t="str">
        <x:v>Inspection physique</x:v>
      </x:c>
      <x:c r="G3744" s="115" t="str">
        <x:v>1 niveaux ; 36 pièces ; 265 segments de mur ; 0 transitions. Inspection physique ; architecture complète encore ouverte.</x:v>
      </x:c>
      <x:c r="H3744" s="115" t="str">
        <x:v>L 800 ; l 3100 ; hauteur 7,6 m ; choix de composition auteur ; dimensions réelles à documenter</x:v>
      </x:c>
      <x:c r="I3744" s="115" t="str">
        <x:v>À équilibrer</x:v>
      </x:c>
      <x:c r="J3744" s="115" t="str">
        <x:v>Non</x:v>
      </x:c>
      <x:c r="K3744" s="115" t="str">
        <x:v>Pièces décrites, murs, portes, niveaux et mobilier inspectables à l’échelle. Volumes réservés, raccord au seed, butin, rencontres et services de campagne restent à terminer.</x:v>
      </x:c>
    </x:row>
    <x:row r="3745" ht="96" customHeight="1">
      <x:c r="A3745" s="115" t="str">
        <x:v>EXT-MONDE-T075-V40</x:v>
      </x:c>
      <x:c r="B3745" s="115" t="str">
        <x:v>EXT-MONDE-T075</x:v>
      </x:c>
      <x:c r="C3745" s="115" t="str">
        <x:v>Ferroviaire</x:v>
      </x:c>
      <x:c r="D3745" s="115" t="str">
        <x:v>Gare de triage</x:v>
      </x:c>
      <x:c r="E3745" s="115" t="n">
        <x:v>40</x:v>
      </x:c>
      <x:c r="F3745" s="115" t="str">
        <x:v>Inspection physique</x:v>
      </x:c>
      <x:c r="G3745" s="115" t="str">
        <x:v>1 niveaux ; 36 pièces ; 265 segments de mur ; 0 transitions. Inspection physique ; architecture complète encore ouverte.</x:v>
      </x:c>
      <x:c r="H3745" s="115" t="str">
        <x:v>L 800 ; l 3100 ; hauteur 7,6 m ; choix de composition auteur ; dimensions réelles à documenter</x:v>
      </x:c>
      <x:c r="I3745" s="115" t="str">
        <x:v>À équilibrer</x:v>
      </x:c>
      <x:c r="J3745" s="115" t="str">
        <x:v>Non</x:v>
      </x:c>
      <x:c r="K3745" s="115" t="str">
        <x:v>Pièces décrites, murs, portes, niveaux et mobilier inspectables à l’échelle. Volumes réservés, raccord au seed, butin, rencontres et services de campagne restent à terminer.</x:v>
      </x:c>
    </x:row>
    <x:row r="3746" ht="96" customHeight="1">
      <x:c r="A3746" s="115" t="str">
        <x:v>EXT-MONDE-T075-V41</x:v>
      </x:c>
      <x:c r="B3746" s="115" t="str">
        <x:v>EXT-MONDE-T075</x:v>
      </x:c>
      <x:c r="C3746" s="115" t="str">
        <x:v>Ferroviaire</x:v>
      </x:c>
      <x:c r="D3746" s="115" t="str">
        <x:v>Gare de triage</x:v>
      </x:c>
      <x:c r="E3746" s="115" t="n">
        <x:v>41</x:v>
      </x:c>
      <x:c r="F3746" s="115" t="str">
        <x:v>Inspection physique</x:v>
      </x:c>
      <x:c r="G3746" s="115" t="str">
        <x:v>1 niveaux ; 36 pièces ; 265 segments de mur ; 0 transitions. Inspection physique ; architecture complète encore ouverte.</x:v>
      </x:c>
      <x:c r="H3746" s="115" t="str">
        <x:v>L 800 ; l 3300 ; hauteur 7,8 m ; choix de composition auteur ; dimensions réelles à documenter</x:v>
      </x:c>
      <x:c r="I3746" s="115" t="str">
        <x:v>À équilibrer</x:v>
      </x:c>
      <x:c r="J3746" s="115" t="str">
        <x:v>Non</x:v>
      </x:c>
      <x:c r="K3746" s="115" t="str">
        <x:v>Pièces décrites, murs, portes, niveaux et mobilier inspectables à l’échelle. Volumes réservés, raccord au seed, butin, rencontres et services de campagne restent à terminer.</x:v>
      </x:c>
    </x:row>
    <x:row r="3747" ht="96" customHeight="1">
      <x:c r="A3747" s="115" t="str">
        <x:v>EXT-MONDE-T075-V42</x:v>
      </x:c>
      <x:c r="B3747" s="115" t="str">
        <x:v>EXT-MONDE-T075</x:v>
      </x:c>
      <x:c r="C3747" s="115" t="str">
        <x:v>Ferroviaire</x:v>
      </x:c>
      <x:c r="D3747" s="115" t="str">
        <x:v>Gare de triage</x:v>
      </x:c>
      <x:c r="E3747" s="115" t="n">
        <x:v>42</x:v>
      </x:c>
      <x:c r="F3747" s="115" t="str">
        <x:v>Inspection physique</x:v>
      </x:c>
      <x:c r="G3747" s="115" t="str">
        <x:v>1 niveaux ; 36 pièces ; 265 segments de mur ; 0 transitions. Inspection physique ; architecture complète encore ouverte.</x:v>
      </x:c>
      <x:c r="H3747" s="115" t="str">
        <x:v>L 800 ; l 3300 ; hauteur 7,8 m ; choix de composition auteur ; dimensions réelles à documenter</x:v>
      </x:c>
      <x:c r="I3747" s="115" t="str">
        <x:v>À équilibrer</x:v>
      </x:c>
      <x:c r="J3747" s="115" t="str">
        <x:v>Non</x:v>
      </x:c>
      <x:c r="K3747" s="115" t="str">
        <x:v>Pièces décrites, murs, portes, niveaux et mobilier inspectables à l’échelle. Volumes réservés, raccord au seed, butin, rencontres et services de campagne restent à terminer.</x:v>
      </x:c>
    </x:row>
    <x:row r="3748" ht="96" customHeight="1">
      <x:c r="A3748" s="115" t="str">
        <x:v>EXT-MONDE-T075-V43</x:v>
      </x:c>
      <x:c r="B3748" s="115" t="str">
        <x:v>EXT-MONDE-T075</x:v>
      </x:c>
      <x:c r="C3748" s="115" t="str">
        <x:v>Ferroviaire</x:v>
      </x:c>
      <x:c r="D3748" s="115" t="str">
        <x:v>Gare de triage</x:v>
      </x:c>
      <x:c r="E3748" s="115" t="n">
        <x:v>43</x:v>
      </x:c>
      <x:c r="F3748" s="115" t="str">
        <x:v>Inspection physique</x:v>
      </x:c>
      <x:c r="G3748" s="115" t="str">
        <x:v>1 niveaux ; 36 pièces ; 265 segments de mur ; 0 transitions. Inspection physique ; architecture complète encore ouverte.</x:v>
      </x:c>
      <x:c r="H3748" s="115" t="str">
        <x:v>L 800 ; l 3300 ; hauteur 7,8 m ; choix de composition auteur ; dimensions réelles à documenter</x:v>
      </x:c>
      <x:c r="I3748" s="115" t="str">
        <x:v>À équilibrer</x:v>
      </x:c>
      <x:c r="J3748" s="115" t="str">
        <x:v>Non</x:v>
      </x:c>
      <x:c r="K3748" s="115" t="str">
        <x:v>Pièces décrites, murs, portes, niveaux et mobilier inspectables à l’échelle. Volumes réservés, raccord au seed, butin, rencontres et services de campagne restent à terminer.</x:v>
      </x:c>
    </x:row>
    <x:row r="3749" ht="96" customHeight="1">
      <x:c r="A3749" s="115" t="str">
        <x:v>EXT-MONDE-T075-V44</x:v>
      </x:c>
      <x:c r="B3749" s="115" t="str">
        <x:v>EXT-MONDE-T075</x:v>
      </x:c>
      <x:c r="C3749" s="115" t="str">
        <x:v>Ferroviaire</x:v>
      </x:c>
      <x:c r="D3749" s="115" t="str">
        <x:v>Gare de triage</x:v>
      </x:c>
      <x:c r="E3749" s="115" t="n">
        <x:v>44</x:v>
      </x:c>
      <x:c r="F3749" s="115" t="str">
        <x:v>Inspection physique</x:v>
      </x:c>
      <x:c r="G3749" s="115" t="str">
        <x:v>1 niveaux ; 36 pièces ; 265 segments de mur ; 0 transitions. Inspection physique ; architecture complète encore ouverte.</x:v>
      </x:c>
      <x:c r="H3749" s="115" t="str">
        <x:v>L 800 ; l 3300 ; hauteur 7,8 m ; choix de composition auteur ; dimensions réelles à documenter</x:v>
      </x:c>
      <x:c r="I3749" s="115" t="str">
        <x:v>À équilibrer</x:v>
      </x:c>
      <x:c r="J3749" s="115" t="str">
        <x:v>Non</x:v>
      </x:c>
      <x:c r="K3749" s="115" t="str">
        <x:v>Pièces décrites, murs, portes, niveaux et mobilier inspectables à l’échelle. Volumes réservés, raccord au seed, butin, rencontres et services de campagne restent à terminer.</x:v>
      </x:c>
    </x:row>
    <x:row r="3750" ht="96" customHeight="1">
      <x:c r="A3750" s="115" t="str">
        <x:v>EXT-MONDE-T075-V45</x:v>
      </x:c>
      <x:c r="B3750" s="115" t="str">
        <x:v>EXT-MONDE-T075</x:v>
      </x:c>
      <x:c r="C3750" s="115" t="str">
        <x:v>Ferroviaire</x:v>
      </x:c>
      <x:c r="D3750" s="115" t="str">
        <x:v>Gare de triage</x:v>
      </x:c>
      <x:c r="E3750" s="115" t="n">
        <x:v>45</x:v>
      </x:c>
      <x:c r="F3750" s="115" t="str">
        <x:v>Inspection physique</x:v>
      </x:c>
      <x:c r="G3750" s="115" t="str">
        <x:v>1 niveaux ; 36 pièces ; 265 segments de mur ; 0 transitions. Inspection physique ; architecture complète encore ouverte.</x:v>
      </x:c>
      <x:c r="H3750" s="115" t="str">
        <x:v>L 800 ; l 3300 ; hauteur 7,8 m ; choix de composition auteur ; dimensions réelles à documenter</x:v>
      </x:c>
      <x:c r="I3750" s="115" t="str">
        <x:v>À équilibrer</x:v>
      </x:c>
      <x:c r="J3750" s="115" t="str">
        <x:v>Non</x:v>
      </x:c>
      <x:c r="K3750" s="115" t="str">
        <x:v>Pièces décrites, murs, portes, niveaux et mobilier inspectables à l’échelle. Volumes réservés, raccord au seed, butin, rencontres et services de campagne restent à terminer.</x:v>
      </x:c>
    </x:row>
    <x:row r="3751" ht="96" customHeight="1">
      <x:c r="A3751" s="115" t="str">
        <x:v>EXT-MONDE-T075-V46</x:v>
      </x:c>
      <x:c r="B3751" s="115" t="str">
        <x:v>EXT-MONDE-T075</x:v>
      </x:c>
      <x:c r="C3751" s="115" t="str">
        <x:v>Ferroviaire</x:v>
      </x:c>
      <x:c r="D3751" s="115" t="str">
        <x:v>Gare de triage</x:v>
      </x:c>
      <x:c r="E3751" s="115" t="n">
        <x:v>46</x:v>
      </x:c>
      <x:c r="F3751" s="115" t="str">
        <x:v>Inspection physique</x:v>
      </x:c>
      <x:c r="G3751" s="115" t="str">
        <x:v>1 niveaux ; 36 pièces ; 265 segments de mur ; 0 transitions. Inspection physique ; architecture complète encore ouverte.</x:v>
      </x:c>
      <x:c r="H3751" s="115" t="str">
        <x:v>L 800 ; l 3300 ; hauteur 7,8 m ; choix de composition auteur ; dimensions réelles à documenter</x:v>
      </x:c>
      <x:c r="I3751" s="115" t="str">
        <x:v>À équilibrer</x:v>
      </x:c>
      <x:c r="J3751" s="115" t="str">
        <x:v>Non</x:v>
      </x:c>
      <x:c r="K3751" s="115" t="str">
        <x:v>Pièces décrites, murs, portes, niveaux et mobilier inspectables à l’échelle. Volumes réservés, raccord au seed, butin, rencontres et services de campagne restent à terminer.</x:v>
      </x:c>
    </x:row>
    <x:row r="3752" ht="96" customHeight="1">
      <x:c r="A3752" s="115" t="str">
        <x:v>EXT-MONDE-T075-V47</x:v>
      </x:c>
      <x:c r="B3752" s="115" t="str">
        <x:v>EXT-MONDE-T075</x:v>
      </x:c>
      <x:c r="C3752" s="115" t="str">
        <x:v>Ferroviaire</x:v>
      </x:c>
      <x:c r="D3752" s="115" t="str">
        <x:v>Gare de triage</x:v>
      </x:c>
      <x:c r="E3752" s="115" t="n">
        <x:v>47</x:v>
      </x:c>
      <x:c r="F3752" s="115" t="str">
        <x:v>Inspection physique</x:v>
      </x:c>
      <x:c r="G3752" s="115" t="str">
        <x:v>1 niveaux ; 36 pièces ; 265 segments de mur ; 0 transitions. Inspection physique ; architecture complète encore ouverte.</x:v>
      </x:c>
      <x:c r="H3752" s="115" t="str">
        <x:v>L 800 ; l 3300 ; hauteur 7,8 m ; choix de composition auteur ; dimensions réelles à documenter</x:v>
      </x:c>
      <x:c r="I3752" s="115" t="str">
        <x:v>À équilibrer</x:v>
      </x:c>
      <x:c r="J3752" s="115" t="str">
        <x:v>Non</x:v>
      </x:c>
      <x:c r="K3752" s="115" t="str">
        <x:v>Pièces décrites, murs, portes, niveaux et mobilier inspectables à l’échelle. Volumes réservés, raccord au seed, butin, rencontres et services de campagne restent à terminer.</x:v>
      </x:c>
    </x:row>
    <x:row r="3753" ht="96" customHeight="1">
      <x:c r="A3753" s="115" t="str">
        <x:v>EXT-MONDE-T075-V48</x:v>
      </x:c>
      <x:c r="B3753" s="115" t="str">
        <x:v>EXT-MONDE-T075</x:v>
      </x:c>
      <x:c r="C3753" s="115" t="str">
        <x:v>Ferroviaire</x:v>
      </x:c>
      <x:c r="D3753" s="115" t="str">
        <x:v>Gare de triage</x:v>
      </x:c>
      <x:c r="E3753" s="115" t="n">
        <x:v>48</x:v>
      </x:c>
      <x:c r="F3753" s="115" t="str">
        <x:v>Inspection physique</x:v>
      </x:c>
      <x:c r="G3753" s="115" t="str">
        <x:v>1 niveaux ; 36 pièces ; 265 segments de mur ; 0 transitions. Inspection physique ; architecture complète encore ouverte.</x:v>
      </x:c>
      <x:c r="H3753" s="115" t="str">
        <x:v>L 800 ; l 3300 ; hauteur 7,8 m ; choix de composition auteur ; dimensions réelles à documenter</x:v>
      </x:c>
      <x:c r="I3753" s="115" t="str">
        <x:v>À équilibrer</x:v>
      </x:c>
      <x:c r="J3753" s="115" t="str">
        <x:v>Non</x:v>
      </x:c>
      <x:c r="K3753" s="115" t="str">
        <x:v>Pièces décrites, murs, portes, niveaux et mobilier inspectables à l’échelle. Volumes réservés, raccord au seed, butin, rencontres et services de campagne restent à terminer.</x:v>
      </x:c>
    </x:row>
    <x:row r="3754" ht="96" customHeight="1">
      <x:c r="A3754" s="115" t="str">
        <x:v>EXT-MONDE-T075-V49</x:v>
      </x:c>
      <x:c r="B3754" s="115" t="str">
        <x:v>EXT-MONDE-T075</x:v>
      </x:c>
      <x:c r="C3754" s="115" t="str">
        <x:v>Ferroviaire</x:v>
      </x:c>
      <x:c r="D3754" s="115" t="str">
        <x:v>Gare de triage</x:v>
      </x:c>
      <x:c r="E3754" s="115" t="n">
        <x:v>49</x:v>
      </x:c>
      <x:c r="F3754" s="115" t="str">
        <x:v>Inspection physique</x:v>
      </x:c>
      <x:c r="G3754" s="115" t="str">
        <x:v>1 niveaux ; 36 pièces ; 265 segments de mur ; 0 transitions. Inspection physique ; architecture complète encore ouverte.</x:v>
      </x:c>
      <x:c r="H3754" s="115" t="str">
        <x:v>L 800 ; l 3300 ; hauteur 7,8 m ; choix de composition auteur ; dimensions réelles à documenter</x:v>
      </x:c>
      <x:c r="I3754" s="115" t="str">
        <x:v>À équilibrer</x:v>
      </x:c>
      <x:c r="J3754" s="115" t="str">
        <x:v>Non</x:v>
      </x:c>
      <x:c r="K3754" s="115" t="str">
        <x:v>Pièces décrites, murs, portes, niveaux et mobilier inspectables à l’échelle. Volumes réservés, raccord au seed, butin, rencontres et services de campagne restent à terminer.</x:v>
      </x:c>
    </x:row>
    <x:row r="3755" ht="96" customHeight="1">
      <x:c r="A3755" s="115" t="str">
        <x:v>EXT-MONDE-T075-V50</x:v>
      </x:c>
      <x:c r="B3755" s="115" t="str">
        <x:v>EXT-MONDE-T075</x:v>
      </x:c>
      <x:c r="C3755" s="115" t="str">
        <x:v>Ferroviaire</x:v>
      </x:c>
      <x:c r="D3755" s="115" t="str">
        <x:v>Gare de triage</x:v>
      </x:c>
      <x:c r="E3755" s="115" t="n">
        <x:v>50</x:v>
      </x:c>
      <x:c r="F3755" s="115" t="str">
        <x:v>Inspection physique</x:v>
      </x:c>
      <x:c r="G3755" s="115" t="str">
        <x:v>1 niveaux ; 36 pièces ; 265 segments de mur ; 0 transitions. Inspection physique ; architecture complète encore ouverte.</x:v>
      </x:c>
      <x:c r="H3755" s="115" t="str">
        <x:v>L 800 ; l 3300 ; hauteur 7,8 m ; choix de composition auteur ; dimensions réelles à documenter</x:v>
      </x:c>
      <x:c r="I3755" s="115" t="str">
        <x:v>À équilibrer</x:v>
      </x:c>
      <x:c r="J3755" s="115" t="str">
        <x:v>Non</x:v>
      </x:c>
      <x:c r="K3755" s="115" t="str">
        <x:v>Pièces décrites, murs, portes, niveaux et mobilier inspectables à l’échelle. Volumes réservés, raccord au seed, butin, rencontres et services de campagne restent à terminer.</x:v>
      </x:c>
    </x:row>
    <x:row r="3756" ht="96" customHeight="1">
      <x:c r="A3756" s="115" t="str">
        <x:v>EXT-MONDE-T076-V01</x:v>
      </x:c>
      <x:c r="B3756" s="115" t="str">
        <x:v>EXT-MONDE-T076</x:v>
      </x:c>
      <x:c r="C3756" s="115" t="str">
        <x:v>Ferroviaire</x:v>
      </x:c>
      <x:c r="D3756" s="115" t="str">
        <x:v>Dépôt ferroviaire</x:v>
      </x:c>
      <x:c r="E3756" s="115" t="n">
        <x:v>1</x:v>
      </x:c>
      <x:c r="F3756" s="115" t="str">
        <x:v>Inspection physique</x:v>
      </x:c>
      <x:c r="G3756" s="115" t="str">
        <x:v>1 niveaux ; 36 pièces ; 265 segments de mur ; 0 transitions. Inspection physique ; architecture complète encore ouverte.</x:v>
      </x:c>
      <x:c r="H3756" s="115" t="str">
        <x:v>L 800 ; l 2100 ; hauteur 7 m ; choix de composition auteur ; dimensions réelles à documenter</x:v>
      </x:c>
      <x:c r="I3756" s="115" t="str">
        <x:v>À équilibrer</x:v>
      </x:c>
      <x:c r="J3756" s="115" t="str">
        <x:v>Non</x:v>
      </x:c>
      <x:c r="K3756" s="115" t="str">
        <x:v>Pièces décrites, murs, portes, niveaux et mobilier inspectables à l’échelle. Volumes réservés, raccord au seed, butin, rencontres et services de campagne restent à terminer.</x:v>
      </x:c>
    </x:row>
    <x:row r="3757" ht="96" customHeight="1">
      <x:c r="A3757" s="115" t="str">
        <x:v>EXT-MONDE-T076-V02</x:v>
      </x:c>
      <x:c r="B3757" s="115" t="str">
        <x:v>EXT-MONDE-T076</x:v>
      </x:c>
      <x:c r="C3757" s="115" t="str">
        <x:v>Ferroviaire</x:v>
      </x:c>
      <x:c r="D3757" s="115" t="str">
        <x:v>Dépôt ferroviaire</x:v>
      </x:c>
      <x:c r="E3757" s="115" t="n">
        <x:v>2</x:v>
      </x:c>
      <x:c r="F3757" s="115" t="str">
        <x:v>Inspection physique</x:v>
      </x:c>
      <x:c r="G3757" s="115" t="str">
        <x:v>1 niveaux ; 36 pièces ; 265 segments de mur ; 0 transitions. Inspection physique ; architecture complète encore ouverte.</x:v>
      </x:c>
      <x:c r="H3757" s="115" t="str">
        <x:v>L 800 ; l 2100 ; hauteur 7 m ; choix de composition auteur ; dimensions réelles à documenter</x:v>
      </x:c>
      <x:c r="I3757" s="115" t="str">
        <x:v>À équilibrer</x:v>
      </x:c>
      <x:c r="J3757" s="115" t="str">
        <x:v>Non</x:v>
      </x:c>
      <x:c r="K3757" s="115" t="str">
        <x:v>Pièces décrites, murs, portes, niveaux et mobilier inspectables à l’échelle. Volumes réservés, raccord au seed, butin, rencontres et services de campagne restent à terminer.</x:v>
      </x:c>
    </x:row>
    <x:row r="3758" ht="96" customHeight="1">
      <x:c r="A3758" s="115" t="str">
        <x:v>EXT-MONDE-T076-V03</x:v>
      </x:c>
      <x:c r="B3758" s="115" t="str">
        <x:v>EXT-MONDE-T076</x:v>
      </x:c>
      <x:c r="C3758" s="115" t="str">
        <x:v>Ferroviaire</x:v>
      </x:c>
      <x:c r="D3758" s="115" t="str">
        <x:v>Dépôt ferroviaire</x:v>
      </x:c>
      <x:c r="E3758" s="115" t="n">
        <x:v>3</x:v>
      </x:c>
      <x:c r="F3758" s="115" t="str">
        <x:v>Inspection physique</x:v>
      </x:c>
      <x:c r="G3758" s="115" t="str">
        <x:v>1 niveaux ; 36 pièces ; 265 segments de mur ; 0 transitions. Inspection physique ; architecture complète encore ouverte.</x:v>
      </x:c>
      <x:c r="H3758" s="115" t="str">
        <x:v>L 800 ; l 2100 ; hauteur 7 m ; choix de composition auteur ; dimensions réelles à documenter</x:v>
      </x:c>
      <x:c r="I3758" s="115" t="str">
        <x:v>À équilibrer</x:v>
      </x:c>
      <x:c r="J3758" s="115" t="str">
        <x:v>Non</x:v>
      </x:c>
      <x:c r="K3758" s="115" t="str">
        <x:v>Pièces décrites, murs, portes, niveaux et mobilier inspectables à l’échelle. Volumes réservés, raccord au seed, butin, rencontres et services de campagne restent à terminer.</x:v>
      </x:c>
    </x:row>
    <x:row r="3759" ht="96" customHeight="1">
      <x:c r="A3759" s="115" t="str">
        <x:v>EXT-MONDE-T076-V04</x:v>
      </x:c>
      <x:c r="B3759" s="115" t="str">
        <x:v>EXT-MONDE-T076</x:v>
      </x:c>
      <x:c r="C3759" s="115" t="str">
        <x:v>Ferroviaire</x:v>
      </x:c>
      <x:c r="D3759" s="115" t="str">
        <x:v>Dépôt ferroviaire</x:v>
      </x:c>
      <x:c r="E3759" s="115" t="n">
        <x:v>4</x:v>
      </x:c>
      <x:c r="F3759" s="115" t="str">
        <x:v>Inspection physique</x:v>
      </x:c>
      <x:c r="G3759" s="115" t="str">
        <x:v>1 niveaux ; 36 pièces ; 265 segments de mur ; 0 transitions. Inspection physique ; architecture complète encore ouverte.</x:v>
      </x:c>
      <x:c r="H3759" s="115" t="str">
        <x:v>L 800 ; l 2100 ; hauteur 7 m ; choix de composition auteur ; dimensions réelles à documenter</x:v>
      </x:c>
      <x:c r="I3759" s="115" t="str">
        <x:v>À équilibrer</x:v>
      </x:c>
      <x:c r="J3759" s="115" t="str">
        <x:v>Non</x:v>
      </x:c>
      <x:c r="K3759" s="115" t="str">
        <x:v>Pièces décrites, murs, portes, niveaux et mobilier inspectables à l’échelle. Volumes réservés, raccord au seed, butin, rencontres et services de campagne restent à terminer.</x:v>
      </x:c>
    </x:row>
    <x:row r="3760" ht="96" customHeight="1">
      <x:c r="A3760" s="115" t="str">
        <x:v>EXT-MONDE-T076-V05</x:v>
      </x:c>
      <x:c r="B3760" s="115" t="str">
        <x:v>EXT-MONDE-T076</x:v>
      </x:c>
      <x:c r="C3760" s="115" t="str">
        <x:v>Ferroviaire</x:v>
      </x:c>
      <x:c r="D3760" s="115" t="str">
        <x:v>Dépôt ferroviaire</x:v>
      </x:c>
      <x:c r="E3760" s="115" t="n">
        <x:v>5</x:v>
      </x:c>
      <x:c r="F3760" s="115" t="str">
        <x:v>Inspection physique</x:v>
      </x:c>
      <x:c r="G3760" s="115" t="str">
        <x:v>1 niveaux ; 36 pièces ; 265 segments de mur ; 0 transitions. Inspection physique ; architecture complète encore ouverte.</x:v>
      </x:c>
      <x:c r="H3760" s="115" t="str">
        <x:v>L 800 ; l 2100 ; hauteur 7 m ; choix de composition auteur ; dimensions réelles à documenter</x:v>
      </x:c>
      <x:c r="I3760" s="115" t="str">
        <x:v>À équilibrer</x:v>
      </x:c>
      <x:c r="J3760" s="115" t="str">
        <x:v>Non</x:v>
      </x:c>
      <x:c r="K3760" s="115" t="str">
        <x:v>Pièces décrites, murs, portes, niveaux et mobilier inspectables à l’échelle. Volumes réservés, raccord au seed, butin, rencontres et services de campagne restent à terminer.</x:v>
      </x:c>
    </x:row>
    <x:row r="3761" ht="96" customHeight="1">
      <x:c r="A3761" s="115" t="str">
        <x:v>EXT-MONDE-T076-V06</x:v>
      </x:c>
      <x:c r="B3761" s="115" t="str">
        <x:v>EXT-MONDE-T076</x:v>
      </x:c>
      <x:c r="C3761" s="115" t="str">
        <x:v>Ferroviaire</x:v>
      </x:c>
      <x:c r="D3761" s="115" t="str">
        <x:v>Dépôt ferroviaire</x:v>
      </x:c>
      <x:c r="E3761" s="115" t="n">
        <x:v>6</x:v>
      </x:c>
      <x:c r="F3761" s="115" t="str">
        <x:v>Inspection physique</x:v>
      </x:c>
      <x:c r="G3761" s="115" t="str">
        <x:v>1 niveaux ; 36 pièces ; 265 segments de mur ; 0 transitions. Inspection physique ; architecture complète encore ouverte.</x:v>
      </x:c>
      <x:c r="H3761" s="115" t="str">
        <x:v>L 800 ; l 2100 ; hauteur 7 m ; choix de composition auteur ; dimensions réelles à documenter</x:v>
      </x:c>
      <x:c r="I3761" s="115" t="str">
        <x:v>À équilibrer</x:v>
      </x:c>
      <x:c r="J3761" s="115" t="str">
        <x:v>Non</x:v>
      </x:c>
      <x:c r="K3761" s="115" t="str">
        <x:v>Pièces décrites, murs, portes, niveaux et mobilier inspectables à l’échelle. Volumes réservés, raccord au seed, butin, rencontres et services de campagne restent à terminer.</x:v>
      </x:c>
    </x:row>
    <x:row r="3762" ht="96" customHeight="1">
      <x:c r="A3762" s="115" t="str">
        <x:v>EXT-MONDE-T076-V07</x:v>
      </x:c>
      <x:c r="B3762" s="115" t="str">
        <x:v>EXT-MONDE-T076</x:v>
      </x:c>
      <x:c r="C3762" s="115" t="str">
        <x:v>Ferroviaire</x:v>
      </x:c>
      <x:c r="D3762" s="115" t="str">
        <x:v>Dépôt ferroviaire</x:v>
      </x:c>
      <x:c r="E3762" s="115" t="n">
        <x:v>7</x:v>
      </x:c>
      <x:c r="F3762" s="115" t="str">
        <x:v>Inspection physique</x:v>
      </x:c>
      <x:c r="G3762" s="115" t="str">
        <x:v>1 niveaux ; 36 pièces ; 265 segments de mur ; 0 transitions. Inspection physique ; architecture complète encore ouverte.</x:v>
      </x:c>
      <x:c r="H3762" s="115" t="str">
        <x:v>L 800 ; l 2100 ; hauteur 7 m ; choix de composition auteur ; dimensions réelles à documenter</x:v>
      </x:c>
      <x:c r="I3762" s="115" t="str">
        <x:v>À équilibrer</x:v>
      </x:c>
      <x:c r="J3762" s="115" t="str">
        <x:v>Non</x:v>
      </x:c>
      <x:c r="K3762" s="115" t="str">
        <x:v>Pièces décrites, murs, portes, niveaux et mobilier inspectables à l’échelle. Volumes réservés, raccord au seed, butin, rencontres et services de campagne restent à terminer.</x:v>
      </x:c>
    </x:row>
    <x:row r="3763" ht="96" customHeight="1">
      <x:c r="A3763" s="115" t="str">
        <x:v>EXT-MONDE-T076-V08</x:v>
      </x:c>
      <x:c r="B3763" s="115" t="str">
        <x:v>EXT-MONDE-T076</x:v>
      </x:c>
      <x:c r="C3763" s="115" t="str">
        <x:v>Ferroviaire</x:v>
      </x:c>
      <x:c r="D3763" s="115" t="str">
        <x:v>Dépôt ferroviaire</x:v>
      </x:c>
      <x:c r="E3763" s="115" t="n">
        <x:v>8</x:v>
      </x:c>
      <x:c r="F3763" s="115" t="str">
        <x:v>Inspection physique</x:v>
      </x:c>
      <x:c r="G3763" s="115" t="str">
        <x:v>1 niveaux ; 36 pièces ; 265 segments de mur ; 0 transitions. Inspection physique ; architecture complète encore ouverte.</x:v>
      </x:c>
      <x:c r="H3763" s="115" t="str">
        <x:v>L 800 ; l 2100 ; hauteur 7 m ; choix de composition auteur ; dimensions réelles à documenter</x:v>
      </x:c>
      <x:c r="I3763" s="115" t="str">
        <x:v>À équilibrer</x:v>
      </x:c>
      <x:c r="J3763" s="115" t="str">
        <x:v>Non</x:v>
      </x:c>
      <x:c r="K3763" s="115" t="str">
        <x:v>Pièces décrites, murs, portes, niveaux et mobilier inspectables à l’échelle. Volumes réservés, raccord au seed, butin, rencontres et services de campagne restent à terminer.</x:v>
      </x:c>
    </x:row>
    <x:row r="3764" ht="96" customHeight="1">
      <x:c r="A3764" s="115" t="str">
        <x:v>EXT-MONDE-T076-V09</x:v>
      </x:c>
      <x:c r="B3764" s="115" t="str">
        <x:v>EXT-MONDE-T076</x:v>
      </x:c>
      <x:c r="C3764" s="115" t="str">
        <x:v>Ferroviaire</x:v>
      </x:c>
      <x:c r="D3764" s="115" t="str">
        <x:v>Dépôt ferroviaire</x:v>
      </x:c>
      <x:c r="E3764" s="115" t="n">
        <x:v>9</x:v>
      </x:c>
      <x:c r="F3764" s="115" t="str">
        <x:v>Inspection physique</x:v>
      </x:c>
      <x:c r="G3764" s="115" t="str">
        <x:v>1 niveaux ; 36 pièces ; 265 segments de mur ; 0 transitions. Inspection physique ; architecture complète encore ouverte.</x:v>
      </x:c>
      <x:c r="H3764" s="115" t="str">
        <x:v>L 800 ; l 2100 ; hauteur 7 m ; choix de composition auteur ; dimensions réelles à documenter</x:v>
      </x:c>
      <x:c r="I3764" s="115" t="str">
        <x:v>À équilibrer</x:v>
      </x:c>
      <x:c r="J3764" s="115" t="str">
        <x:v>Non</x:v>
      </x:c>
      <x:c r="K3764" s="115" t="str">
        <x:v>Pièces décrites, murs, portes, niveaux et mobilier inspectables à l’échelle. Volumes réservés, raccord au seed, butin, rencontres et services de campagne restent à terminer.</x:v>
      </x:c>
    </x:row>
    <x:row r="3765" ht="96" customHeight="1">
      <x:c r="A3765" s="115" t="str">
        <x:v>EXT-MONDE-T076-V10</x:v>
      </x:c>
      <x:c r="B3765" s="115" t="str">
        <x:v>EXT-MONDE-T076</x:v>
      </x:c>
      <x:c r="C3765" s="115" t="str">
        <x:v>Ferroviaire</x:v>
      </x:c>
      <x:c r="D3765" s="115" t="str">
        <x:v>Dépôt ferroviaire</x:v>
      </x:c>
      <x:c r="E3765" s="115" t="n">
        <x:v>10</x:v>
      </x:c>
      <x:c r="F3765" s="115" t="str">
        <x:v>Inspection physique</x:v>
      </x:c>
      <x:c r="G3765" s="115" t="str">
        <x:v>1 niveaux ; 36 pièces ; 265 segments de mur ; 0 transitions. Inspection physique ; architecture complète encore ouverte.</x:v>
      </x:c>
      <x:c r="H3765" s="115" t="str">
        <x:v>L 800 ; l 2100 ; hauteur 7 m ; choix de composition auteur ; dimensions réelles à documenter</x:v>
      </x:c>
      <x:c r="I3765" s="115" t="str">
        <x:v>À équilibrer</x:v>
      </x:c>
      <x:c r="J3765" s="115" t="str">
        <x:v>Non</x:v>
      </x:c>
      <x:c r="K3765" s="115" t="str">
        <x:v>Pièces décrites, murs, portes, niveaux et mobilier inspectables à l’échelle. Volumes réservés, raccord au seed, butin, rencontres et services de campagne restent à terminer.</x:v>
      </x:c>
    </x:row>
    <x:row r="3766" ht="96" customHeight="1">
      <x:c r="A3766" s="115" t="str">
        <x:v>EXT-MONDE-T076-V11</x:v>
      </x:c>
      <x:c r="B3766" s="115" t="str">
        <x:v>EXT-MONDE-T076</x:v>
      </x:c>
      <x:c r="C3766" s="115" t="str">
        <x:v>Ferroviaire</x:v>
      </x:c>
      <x:c r="D3766" s="115" t="str">
        <x:v>Dépôt ferroviaire</x:v>
      </x:c>
      <x:c r="E3766" s="115" t="n">
        <x:v>11</x:v>
      </x:c>
      <x:c r="F3766" s="115" t="str">
        <x:v>Inspection physique</x:v>
      </x:c>
      <x:c r="G3766" s="115" t="str">
        <x:v>1 niveaux ; 36 pièces ; 265 segments de mur ; 0 transitions. Inspection physique ; architecture complète encore ouverte.</x:v>
      </x:c>
      <x:c r="H3766" s="115" t="str">
        <x:v>L 800 ; l 2260 ; hauteur 7,2 m ; choix de composition auteur ; dimensions réelles à documenter</x:v>
      </x:c>
      <x:c r="I3766" s="115" t="str">
        <x:v>À équilibrer</x:v>
      </x:c>
      <x:c r="J3766" s="115" t="str">
        <x:v>Non</x:v>
      </x:c>
      <x:c r="K3766" s="115" t="str">
        <x:v>Pièces décrites, murs, portes, niveaux et mobilier inspectables à l’échelle. Volumes réservés, raccord au seed, butin, rencontres et services de campagne restent à terminer.</x:v>
      </x:c>
    </x:row>
    <x:row r="3767" ht="96" customHeight="1">
      <x:c r="A3767" s="115" t="str">
        <x:v>EXT-MONDE-T076-V12</x:v>
      </x:c>
      <x:c r="B3767" s="115" t="str">
        <x:v>EXT-MONDE-T076</x:v>
      </x:c>
      <x:c r="C3767" s="115" t="str">
        <x:v>Ferroviaire</x:v>
      </x:c>
      <x:c r="D3767" s="115" t="str">
        <x:v>Dépôt ferroviaire</x:v>
      </x:c>
      <x:c r="E3767" s="115" t="n">
        <x:v>12</x:v>
      </x:c>
      <x:c r="F3767" s="115" t="str">
        <x:v>Inspection physique</x:v>
      </x:c>
      <x:c r="G3767" s="115" t="str">
        <x:v>1 niveaux ; 36 pièces ; 265 segments de mur ; 0 transitions. Inspection physique ; architecture complète encore ouverte.</x:v>
      </x:c>
      <x:c r="H3767" s="115" t="str">
        <x:v>L 800 ; l 2260 ; hauteur 7,2 m ; choix de composition auteur ; dimensions réelles à documenter</x:v>
      </x:c>
      <x:c r="I3767" s="115" t="str">
        <x:v>À équilibrer</x:v>
      </x:c>
      <x:c r="J3767" s="115" t="str">
        <x:v>Non</x:v>
      </x:c>
      <x:c r="K3767" s="115" t="str">
        <x:v>Pièces décrites, murs, portes, niveaux et mobilier inspectables à l’échelle. Volumes réservés, raccord au seed, butin, rencontres et services de campagne restent à terminer.</x:v>
      </x:c>
    </x:row>
    <x:row r="3768" ht="96" customHeight="1">
      <x:c r="A3768" s="115" t="str">
        <x:v>EXT-MONDE-T076-V13</x:v>
      </x:c>
      <x:c r="B3768" s="115" t="str">
        <x:v>EXT-MONDE-T076</x:v>
      </x:c>
      <x:c r="C3768" s="115" t="str">
        <x:v>Ferroviaire</x:v>
      </x:c>
      <x:c r="D3768" s="115" t="str">
        <x:v>Dépôt ferroviaire</x:v>
      </x:c>
      <x:c r="E3768" s="115" t="n">
        <x:v>13</x:v>
      </x:c>
      <x:c r="F3768" s="115" t="str">
        <x:v>Inspection physique</x:v>
      </x:c>
      <x:c r="G3768" s="115" t="str">
        <x:v>1 niveaux ; 36 pièces ; 265 segments de mur ; 0 transitions. Inspection physique ; architecture complète encore ouverte.</x:v>
      </x:c>
      <x:c r="H3768" s="115" t="str">
        <x:v>L 800 ; l 2260 ; hauteur 7,2 m ; choix de composition auteur ; dimensions réelles à documenter</x:v>
      </x:c>
      <x:c r="I3768" s="115" t="str">
        <x:v>À équilibrer</x:v>
      </x:c>
      <x:c r="J3768" s="115" t="str">
        <x:v>Non</x:v>
      </x:c>
      <x:c r="K3768" s="115" t="str">
        <x:v>Pièces décrites, murs, portes, niveaux et mobilier inspectables à l’échelle. Volumes réservés, raccord au seed, butin, rencontres et services de campagne restent à terminer.</x:v>
      </x:c>
    </x:row>
    <x:row r="3769" ht="96" customHeight="1">
      <x:c r="A3769" s="115" t="str">
        <x:v>EXT-MONDE-T076-V14</x:v>
      </x:c>
      <x:c r="B3769" s="115" t="str">
        <x:v>EXT-MONDE-T076</x:v>
      </x:c>
      <x:c r="C3769" s="115" t="str">
        <x:v>Ferroviaire</x:v>
      </x:c>
      <x:c r="D3769" s="115" t="str">
        <x:v>Dépôt ferroviaire</x:v>
      </x:c>
      <x:c r="E3769" s="115" t="n">
        <x:v>14</x:v>
      </x:c>
      <x:c r="F3769" s="115" t="str">
        <x:v>Inspection physique</x:v>
      </x:c>
      <x:c r="G3769" s="115" t="str">
        <x:v>1 niveaux ; 36 pièces ; 265 segments de mur ; 0 transitions. Inspection physique ; architecture complète encore ouverte.</x:v>
      </x:c>
      <x:c r="H3769" s="115" t="str">
        <x:v>L 800 ; l 2260 ; hauteur 7,2 m ; choix de composition auteur ; dimensions réelles à documenter</x:v>
      </x:c>
      <x:c r="I3769" s="115" t="str">
        <x:v>À équilibrer</x:v>
      </x:c>
      <x:c r="J3769" s="115" t="str">
        <x:v>Non</x:v>
      </x:c>
      <x:c r="K3769" s="115" t="str">
        <x:v>Pièces décrites, murs, portes, niveaux et mobilier inspectables à l’échelle. Volumes réservés, raccord au seed, butin, rencontres et services de campagne restent à terminer.</x:v>
      </x:c>
    </x:row>
    <x:row r="3770" ht="96" customHeight="1">
      <x:c r="A3770" s="115" t="str">
        <x:v>EXT-MONDE-T076-V15</x:v>
      </x:c>
      <x:c r="B3770" s="115" t="str">
        <x:v>EXT-MONDE-T076</x:v>
      </x:c>
      <x:c r="C3770" s="115" t="str">
        <x:v>Ferroviaire</x:v>
      </x:c>
      <x:c r="D3770" s="115" t="str">
        <x:v>Dépôt ferroviaire</x:v>
      </x:c>
      <x:c r="E3770" s="115" t="n">
        <x:v>15</x:v>
      </x:c>
      <x:c r="F3770" s="115" t="str">
        <x:v>Inspection physique</x:v>
      </x:c>
      <x:c r="G3770" s="115" t="str">
        <x:v>1 niveaux ; 36 pièces ; 265 segments de mur ; 0 transitions. Inspection physique ; architecture complète encore ouverte.</x:v>
      </x:c>
      <x:c r="H3770" s="115" t="str">
        <x:v>L 800 ; l 2260 ; hauteur 7,2 m ; choix de composition auteur ; dimensions réelles à documenter</x:v>
      </x:c>
      <x:c r="I3770" s="115" t="str">
        <x:v>À équilibrer</x:v>
      </x:c>
      <x:c r="J3770" s="115" t="str">
        <x:v>Non</x:v>
      </x:c>
      <x:c r="K3770" s="115" t="str">
        <x:v>Pièces décrites, murs, portes, niveaux et mobilier inspectables à l’échelle. Volumes réservés, raccord au seed, butin, rencontres et services de campagne restent à terminer.</x:v>
      </x:c>
    </x:row>
    <x:row r="3771" ht="96" customHeight="1">
      <x:c r="A3771" s="115" t="str">
        <x:v>EXT-MONDE-T076-V16</x:v>
      </x:c>
      <x:c r="B3771" s="115" t="str">
        <x:v>EXT-MONDE-T076</x:v>
      </x:c>
      <x:c r="C3771" s="115" t="str">
        <x:v>Ferroviaire</x:v>
      </x:c>
      <x:c r="D3771" s="115" t="str">
        <x:v>Dépôt ferroviaire</x:v>
      </x:c>
      <x:c r="E3771" s="115" t="n">
        <x:v>16</x:v>
      </x:c>
      <x:c r="F3771" s="115" t="str">
        <x:v>Inspection physique</x:v>
      </x:c>
      <x:c r="G3771" s="115" t="str">
        <x:v>1 niveaux ; 36 pièces ; 265 segments de mur ; 0 transitions. Inspection physique ; architecture complète encore ouverte.</x:v>
      </x:c>
      <x:c r="H3771" s="115" t="str">
        <x:v>L 800 ; l 2260 ; hauteur 7,2 m ; choix de composition auteur ; dimensions réelles à documenter</x:v>
      </x:c>
      <x:c r="I3771" s="115" t="str">
        <x:v>À équilibrer</x:v>
      </x:c>
      <x:c r="J3771" s="115" t="str">
        <x:v>Non</x:v>
      </x:c>
      <x:c r="K3771" s="115" t="str">
        <x:v>Pièces décrites, murs, portes, niveaux et mobilier inspectables à l’échelle. Volumes réservés, raccord au seed, butin, rencontres et services de campagne restent à terminer.</x:v>
      </x:c>
    </x:row>
    <x:row r="3772" ht="96" customHeight="1">
      <x:c r="A3772" s="115" t="str">
        <x:v>EXT-MONDE-T076-V17</x:v>
      </x:c>
      <x:c r="B3772" s="115" t="str">
        <x:v>EXT-MONDE-T076</x:v>
      </x:c>
      <x:c r="C3772" s="115" t="str">
        <x:v>Ferroviaire</x:v>
      </x:c>
      <x:c r="D3772" s="115" t="str">
        <x:v>Dépôt ferroviaire</x:v>
      </x:c>
      <x:c r="E3772" s="115" t="n">
        <x:v>17</x:v>
      </x:c>
      <x:c r="F3772" s="115" t="str">
        <x:v>Inspection physique</x:v>
      </x:c>
      <x:c r="G3772" s="115" t="str">
        <x:v>1 niveaux ; 36 pièces ; 265 segments de mur ; 0 transitions. Inspection physique ; architecture complète encore ouverte.</x:v>
      </x:c>
      <x:c r="H3772" s="115" t="str">
        <x:v>L 800 ; l 2260 ; hauteur 7,2 m ; choix de composition auteur ; dimensions réelles à documenter</x:v>
      </x:c>
      <x:c r="I3772" s="115" t="str">
        <x:v>À équilibrer</x:v>
      </x:c>
      <x:c r="J3772" s="115" t="str">
        <x:v>Non</x:v>
      </x:c>
      <x:c r="K3772" s="115" t="str">
        <x:v>Pièces décrites, murs, portes, niveaux et mobilier inspectables à l’échelle. Volumes réservés, raccord au seed, butin, rencontres et services de campagne restent à terminer.</x:v>
      </x:c>
    </x:row>
    <x:row r="3773" ht="96" customHeight="1">
      <x:c r="A3773" s="115" t="str">
        <x:v>EXT-MONDE-T076-V18</x:v>
      </x:c>
      <x:c r="B3773" s="115" t="str">
        <x:v>EXT-MONDE-T076</x:v>
      </x:c>
      <x:c r="C3773" s="115" t="str">
        <x:v>Ferroviaire</x:v>
      </x:c>
      <x:c r="D3773" s="115" t="str">
        <x:v>Dépôt ferroviaire</x:v>
      </x:c>
      <x:c r="E3773" s="115" t="n">
        <x:v>18</x:v>
      </x:c>
      <x:c r="F3773" s="115" t="str">
        <x:v>Inspection physique</x:v>
      </x:c>
      <x:c r="G3773" s="115" t="str">
        <x:v>1 niveaux ; 36 pièces ; 265 segments de mur ; 0 transitions. Inspection physique ; architecture complète encore ouverte.</x:v>
      </x:c>
      <x:c r="H3773" s="115" t="str">
        <x:v>L 800 ; l 2260 ; hauteur 7,2 m ; choix de composition auteur ; dimensions réelles à documenter</x:v>
      </x:c>
      <x:c r="I3773" s="115" t="str">
        <x:v>À équilibrer</x:v>
      </x:c>
      <x:c r="J3773" s="115" t="str">
        <x:v>Non</x:v>
      </x:c>
      <x:c r="K3773" s="115" t="str">
        <x:v>Pièces décrites, murs, portes, niveaux et mobilier inspectables à l’échelle. Volumes réservés, raccord au seed, butin, rencontres et services de campagne restent à terminer.</x:v>
      </x:c>
    </x:row>
    <x:row r="3774" ht="96" customHeight="1">
      <x:c r="A3774" s="115" t="str">
        <x:v>EXT-MONDE-T076-V19</x:v>
      </x:c>
      <x:c r="B3774" s="115" t="str">
        <x:v>EXT-MONDE-T076</x:v>
      </x:c>
      <x:c r="C3774" s="115" t="str">
        <x:v>Ferroviaire</x:v>
      </x:c>
      <x:c r="D3774" s="115" t="str">
        <x:v>Dépôt ferroviaire</x:v>
      </x:c>
      <x:c r="E3774" s="115" t="n">
        <x:v>19</x:v>
      </x:c>
      <x:c r="F3774" s="115" t="str">
        <x:v>Inspection physique</x:v>
      </x:c>
      <x:c r="G3774" s="115" t="str">
        <x:v>1 niveaux ; 36 pièces ; 265 segments de mur ; 0 transitions. Inspection physique ; architecture complète encore ouverte.</x:v>
      </x:c>
      <x:c r="H3774" s="115" t="str">
        <x:v>L 800 ; l 2260 ; hauteur 7,2 m ; choix de composition auteur ; dimensions réelles à documenter</x:v>
      </x:c>
      <x:c r="I3774" s="115" t="str">
        <x:v>À équilibrer</x:v>
      </x:c>
      <x:c r="J3774" s="115" t="str">
        <x:v>Non</x:v>
      </x:c>
      <x:c r="K3774" s="115" t="str">
        <x:v>Pièces décrites, murs, portes, niveaux et mobilier inspectables à l’échelle. Volumes réservés, raccord au seed, butin, rencontres et services de campagne restent à terminer.</x:v>
      </x:c>
    </x:row>
    <x:row r="3775" ht="96" customHeight="1">
      <x:c r="A3775" s="115" t="str">
        <x:v>EXT-MONDE-T076-V20</x:v>
      </x:c>
      <x:c r="B3775" s="115" t="str">
        <x:v>EXT-MONDE-T076</x:v>
      </x:c>
      <x:c r="C3775" s="115" t="str">
        <x:v>Ferroviaire</x:v>
      </x:c>
      <x:c r="D3775" s="115" t="str">
        <x:v>Dépôt ferroviaire</x:v>
      </x:c>
      <x:c r="E3775" s="115" t="n">
        <x:v>20</x:v>
      </x:c>
      <x:c r="F3775" s="115" t="str">
        <x:v>Inspection physique</x:v>
      </x:c>
      <x:c r="G3775" s="115" t="str">
        <x:v>1 niveaux ; 36 pièces ; 265 segments de mur ; 0 transitions. Inspection physique ; architecture complète encore ouverte.</x:v>
      </x:c>
      <x:c r="H3775" s="115" t="str">
        <x:v>L 800 ; l 2260 ; hauteur 7,2 m ; choix de composition auteur ; dimensions réelles à documenter</x:v>
      </x:c>
      <x:c r="I3775" s="115" t="str">
        <x:v>À équilibrer</x:v>
      </x:c>
      <x:c r="J3775" s="115" t="str">
        <x:v>Non</x:v>
      </x:c>
      <x:c r="K3775" s="115" t="str">
        <x:v>Pièces décrites, murs, portes, niveaux et mobilier inspectables à l’échelle. Volumes réservés, raccord au seed, butin, rencontres et services de campagne restent à terminer.</x:v>
      </x:c>
    </x:row>
    <x:row r="3776" ht="96" customHeight="1">
      <x:c r="A3776" s="115" t="str">
        <x:v>EXT-MONDE-T076-V21</x:v>
      </x:c>
      <x:c r="B3776" s="115" t="str">
        <x:v>EXT-MONDE-T076</x:v>
      </x:c>
      <x:c r="C3776" s="115" t="str">
        <x:v>Ferroviaire</x:v>
      </x:c>
      <x:c r="D3776" s="115" t="str">
        <x:v>Dépôt ferroviaire</x:v>
      </x:c>
      <x:c r="E3776" s="115" t="n">
        <x:v>21</x:v>
      </x:c>
      <x:c r="F3776" s="115" t="str">
        <x:v>Inspection physique</x:v>
      </x:c>
      <x:c r="G3776" s="115" t="str">
        <x:v>1 niveaux ; 36 pièces ; 265 segments de mur ; 0 transitions. Inspection physique ; architecture complète encore ouverte.</x:v>
      </x:c>
      <x:c r="H3776" s="115" t="str">
        <x:v>L 800 ; l 2420 ; hauteur 7,4 m ; choix de composition auteur ; dimensions réelles à documenter</x:v>
      </x:c>
      <x:c r="I3776" s="115" t="str">
        <x:v>À équilibrer</x:v>
      </x:c>
      <x:c r="J3776" s="115" t="str">
        <x:v>Non</x:v>
      </x:c>
      <x:c r="K3776" s="115" t="str">
        <x:v>Pièces décrites, murs, portes, niveaux et mobilier inspectables à l’échelle. Volumes réservés, raccord au seed, butin, rencontres et services de campagne restent à terminer.</x:v>
      </x:c>
    </x:row>
    <x:row r="3777" ht="96" customHeight="1">
      <x:c r="A3777" s="115" t="str">
        <x:v>EXT-MONDE-T076-V22</x:v>
      </x:c>
      <x:c r="B3777" s="115" t="str">
        <x:v>EXT-MONDE-T076</x:v>
      </x:c>
      <x:c r="C3777" s="115" t="str">
        <x:v>Ferroviaire</x:v>
      </x:c>
      <x:c r="D3777" s="115" t="str">
        <x:v>Dépôt ferroviaire</x:v>
      </x:c>
      <x:c r="E3777" s="115" t="n">
        <x:v>22</x:v>
      </x:c>
      <x:c r="F3777" s="115" t="str">
        <x:v>Inspection physique</x:v>
      </x:c>
      <x:c r="G3777" s="115" t="str">
        <x:v>1 niveaux ; 36 pièces ; 265 segments de mur ; 0 transitions. Inspection physique ; architecture complète encore ouverte.</x:v>
      </x:c>
      <x:c r="H3777" s="115" t="str">
        <x:v>L 800 ; l 2420 ; hauteur 7,4 m ; choix de composition auteur ; dimensions réelles à documenter</x:v>
      </x:c>
      <x:c r="I3777" s="115" t="str">
        <x:v>À équilibrer</x:v>
      </x:c>
      <x:c r="J3777" s="115" t="str">
        <x:v>Non</x:v>
      </x:c>
      <x:c r="K3777" s="115" t="str">
        <x:v>Pièces décrites, murs, portes, niveaux et mobilier inspectables à l’échelle. Volumes réservés, raccord au seed, butin, rencontres et services de campagne restent à terminer.</x:v>
      </x:c>
    </x:row>
    <x:row r="3778" ht="96" customHeight="1">
      <x:c r="A3778" s="115" t="str">
        <x:v>EXT-MONDE-T076-V23</x:v>
      </x:c>
      <x:c r="B3778" s="115" t="str">
        <x:v>EXT-MONDE-T076</x:v>
      </x:c>
      <x:c r="C3778" s="115" t="str">
        <x:v>Ferroviaire</x:v>
      </x:c>
      <x:c r="D3778" s="115" t="str">
        <x:v>Dépôt ferroviaire</x:v>
      </x:c>
      <x:c r="E3778" s="115" t="n">
        <x:v>23</x:v>
      </x:c>
      <x:c r="F3778" s="115" t="str">
        <x:v>Inspection physique</x:v>
      </x:c>
      <x:c r="G3778" s="115" t="str">
        <x:v>1 niveaux ; 36 pièces ; 265 segments de mur ; 0 transitions. Inspection physique ; architecture complète encore ouverte.</x:v>
      </x:c>
      <x:c r="H3778" s="115" t="str">
        <x:v>L 800 ; l 2420 ; hauteur 7,4 m ; choix de composition auteur ; dimensions réelles à documenter</x:v>
      </x:c>
      <x:c r="I3778" s="115" t="str">
        <x:v>À équilibrer</x:v>
      </x:c>
      <x:c r="J3778" s="115" t="str">
        <x:v>Non</x:v>
      </x:c>
      <x:c r="K3778" s="115" t="str">
        <x:v>Pièces décrites, murs, portes, niveaux et mobilier inspectables à l’échelle. Volumes réservés, raccord au seed, butin, rencontres et services de campagne restent à terminer.</x:v>
      </x:c>
    </x:row>
    <x:row r="3779" ht="96" customHeight="1">
      <x:c r="A3779" s="115" t="str">
        <x:v>EXT-MONDE-T076-V24</x:v>
      </x:c>
      <x:c r="B3779" s="115" t="str">
        <x:v>EXT-MONDE-T076</x:v>
      </x:c>
      <x:c r="C3779" s="115" t="str">
        <x:v>Ferroviaire</x:v>
      </x:c>
      <x:c r="D3779" s="115" t="str">
        <x:v>Dépôt ferroviaire</x:v>
      </x:c>
      <x:c r="E3779" s="115" t="n">
        <x:v>24</x:v>
      </x:c>
      <x:c r="F3779" s="115" t="str">
        <x:v>Inspection physique</x:v>
      </x:c>
      <x:c r="G3779" s="115" t="str">
        <x:v>1 niveaux ; 36 pièces ; 265 segments de mur ; 0 transitions. Inspection physique ; architecture complète encore ouverte.</x:v>
      </x:c>
      <x:c r="H3779" s="115" t="str">
        <x:v>L 800 ; l 2420 ; hauteur 7,4 m ; choix de composition auteur ; dimensions réelles à documenter</x:v>
      </x:c>
      <x:c r="I3779" s="115" t="str">
        <x:v>À équilibrer</x:v>
      </x:c>
      <x:c r="J3779" s="115" t="str">
        <x:v>Non</x:v>
      </x:c>
      <x:c r="K3779" s="115" t="str">
        <x:v>Pièces décrites, murs, portes, niveaux et mobilier inspectables à l’échelle. Volumes réservés, raccord au seed, butin, rencontres et services de campagne restent à terminer.</x:v>
      </x:c>
    </x:row>
    <x:row r="3780" ht="96" customHeight="1">
      <x:c r="A3780" s="115" t="str">
        <x:v>EXT-MONDE-T076-V25</x:v>
      </x:c>
      <x:c r="B3780" s="115" t="str">
        <x:v>EXT-MONDE-T076</x:v>
      </x:c>
      <x:c r="C3780" s="115" t="str">
        <x:v>Ferroviaire</x:v>
      </x:c>
      <x:c r="D3780" s="115" t="str">
        <x:v>Dépôt ferroviaire</x:v>
      </x:c>
      <x:c r="E3780" s="115" t="n">
        <x:v>25</x:v>
      </x:c>
      <x:c r="F3780" s="115" t="str">
        <x:v>Inspection physique</x:v>
      </x:c>
      <x:c r="G3780" s="115" t="str">
        <x:v>1 niveaux ; 36 pièces ; 265 segments de mur ; 0 transitions. Inspection physique ; architecture complète encore ouverte.</x:v>
      </x:c>
      <x:c r="H3780" s="115" t="str">
        <x:v>L 800 ; l 2420 ; hauteur 7,4 m ; choix de composition auteur ; dimensions réelles à documenter</x:v>
      </x:c>
      <x:c r="I3780" s="115" t="str">
        <x:v>À équilibrer</x:v>
      </x:c>
      <x:c r="J3780" s="115" t="str">
        <x:v>Non</x:v>
      </x:c>
      <x:c r="K3780" s="115" t="str">
        <x:v>Pièces décrites, murs, portes, niveaux et mobilier inspectables à l’échelle. Volumes réservés, raccord au seed, butin, rencontres et services de campagne restent à terminer.</x:v>
      </x:c>
    </x:row>
    <x:row r="3781" ht="96" customHeight="1">
      <x:c r="A3781" s="115" t="str">
        <x:v>EXT-MONDE-T076-V26</x:v>
      </x:c>
      <x:c r="B3781" s="115" t="str">
        <x:v>EXT-MONDE-T076</x:v>
      </x:c>
      <x:c r="C3781" s="115" t="str">
        <x:v>Ferroviaire</x:v>
      </x:c>
      <x:c r="D3781" s="115" t="str">
        <x:v>Dépôt ferroviaire</x:v>
      </x:c>
      <x:c r="E3781" s="115" t="n">
        <x:v>26</x:v>
      </x:c>
      <x:c r="F3781" s="115" t="str">
        <x:v>Inspection physique</x:v>
      </x:c>
      <x:c r="G3781" s="115" t="str">
        <x:v>1 niveaux ; 36 pièces ; 265 segments de mur ; 0 transitions. Inspection physique ; architecture complète encore ouverte.</x:v>
      </x:c>
      <x:c r="H3781" s="115" t="str">
        <x:v>L 800 ; l 2420 ; hauteur 7,4 m ; choix de composition auteur ; dimensions réelles à documenter</x:v>
      </x:c>
      <x:c r="I3781" s="115" t="str">
        <x:v>À équilibrer</x:v>
      </x:c>
      <x:c r="J3781" s="115" t="str">
        <x:v>Non</x:v>
      </x:c>
      <x:c r="K3781" s="115" t="str">
        <x:v>Pièces décrites, murs, portes, niveaux et mobilier inspectables à l’échelle. Volumes réservés, raccord au seed, butin, rencontres et services de campagne restent à terminer.</x:v>
      </x:c>
    </x:row>
    <x:row r="3782" ht="96" customHeight="1">
      <x:c r="A3782" s="115" t="str">
        <x:v>EXT-MONDE-T076-V27</x:v>
      </x:c>
      <x:c r="B3782" s="115" t="str">
        <x:v>EXT-MONDE-T076</x:v>
      </x:c>
      <x:c r="C3782" s="115" t="str">
        <x:v>Ferroviaire</x:v>
      </x:c>
      <x:c r="D3782" s="115" t="str">
        <x:v>Dépôt ferroviaire</x:v>
      </x:c>
      <x:c r="E3782" s="115" t="n">
        <x:v>27</x:v>
      </x:c>
      <x:c r="F3782" s="115" t="str">
        <x:v>Inspection physique</x:v>
      </x:c>
      <x:c r="G3782" s="115" t="str">
        <x:v>1 niveaux ; 36 pièces ; 265 segments de mur ; 0 transitions. Inspection physique ; architecture complète encore ouverte.</x:v>
      </x:c>
      <x:c r="H3782" s="115" t="str">
        <x:v>L 800 ; l 2420 ; hauteur 7,4 m ; choix de composition auteur ; dimensions réelles à documenter</x:v>
      </x:c>
      <x:c r="I3782" s="115" t="str">
        <x:v>À équilibrer</x:v>
      </x:c>
      <x:c r="J3782" s="115" t="str">
        <x:v>Non</x:v>
      </x:c>
      <x:c r="K3782" s="115" t="str">
        <x:v>Pièces décrites, murs, portes, niveaux et mobilier inspectables à l’échelle. Volumes réservés, raccord au seed, butin, rencontres et services de campagne restent à terminer.</x:v>
      </x:c>
    </x:row>
    <x:row r="3783" ht="96" customHeight="1">
      <x:c r="A3783" s="115" t="str">
        <x:v>EXT-MONDE-T076-V28</x:v>
      </x:c>
      <x:c r="B3783" s="115" t="str">
        <x:v>EXT-MONDE-T076</x:v>
      </x:c>
      <x:c r="C3783" s="115" t="str">
        <x:v>Ferroviaire</x:v>
      </x:c>
      <x:c r="D3783" s="115" t="str">
        <x:v>Dépôt ferroviaire</x:v>
      </x:c>
      <x:c r="E3783" s="115" t="n">
        <x:v>28</x:v>
      </x:c>
      <x:c r="F3783" s="115" t="str">
        <x:v>Inspection physique</x:v>
      </x:c>
      <x:c r="G3783" s="115" t="str">
        <x:v>1 niveaux ; 36 pièces ; 265 segments de mur ; 0 transitions. Inspection physique ; architecture complète encore ouverte.</x:v>
      </x:c>
      <x:c r="H3783" s="115" t="str">
        <x:v>L 800 ; l 2420 ; hauteur 7,4 m ; choix de composition auteur ; dimensions réelles à documenter</x:v>
      </x:c>
      <x:c r="I3783" s="115" t="str">
        <x:v>À équilibrer</x:v>
      </x:c>
      <x:c r="J3783" s="115" t="str">
        <x:v>Non</x:v>
      </x:c>
      <x:c r="K3783" s="115" t="str">
        <x:v>Pièces décrites, murs, portes, niveaux et mobilier inspectables à l’échelle. Volumes réservés, raccord au seed, butin, rencontres et services de campagne restent à terminer.</x:v>
      </x:c>
    </x:row>
    <x:row r="3784" ht="96" customHeight="1">
      <x:c r="A3784" s="115" t="str">
        <x:v>EXT-MONDE-T076-V29</x:v>
      </x:c>
      <x:c r="B3784" s="115" t="str">
        <x:v>EXT-MONDE-T076</x:v>
      </x:c>
      <x:c r="C3784" s="115" t="str">
        <x:v>Ferroviaire</x:v>
      </x:c>
      <x:c r="D3784" s="115" t="str">
        <x:v>Dépôt ferroviaire</x:v>
      </x:c>
      <x:c r="E3784" s="115" t="n">
        <x:v>29</x:v>
      </x:c>
      <x:c r="F3784" s="115" t="str">
        <x:v>Inspection physique</x:v>
      </x:c>
      <x:c r="G3784" s="115" t="str">
        <x:v>1 niveaux ; 36 pièces ; 265 segments de mur ; 0 transitions. Inspection physique ; architecture complète encore ouverte.</x:v>
      </x:c>
      <x:c r="H3784" s="115" t="str">
        <x:v>L 800 ; l 2420 ; hauteur 7,4 m ; choix de composition auteur ; dimensions réelles à documenter</x:v>
      </x:c>
      <x:c r="I3784" s="115" t="str">
        <x:v>À équilibrer</x:v>
      </x:c>
      <x:c r="J3784" s="115" t="str">
        <x:v>Non</x:v>
      </x:c>
      <x:c r="K3784" s="115" t="str">
        <x:v>Pièces décrites, murs, portes, niveaux et mobilier inspectables à l’échelle. Volumes réservés, raccord au seed, butin, rencontres et services de campagne restent à terminer.</x:v>
      </x:c>
    </x:row>
    <x:row r="3785" ht="96" customHeight="1">
      <x:c r="A3785" s="115" t="str">
        <x:v>EXT-MONDE-T076-V30</x:v>
      </x:c>
      <x:c r="B3785" s="115" t="str">
        <x:v>EXT-MONDE-T076</x:v>
      </x:c>
      <x:c r="C3785" s="115" t="str">
        <x:v>Ferroviaire</x:v>
      </x:c>
      <x:c r="D3785" s="115" t="str">
        <x:v>Dépôt ferroviaire</x:v>
      </x:c>
      <x:c r="E3785" s="115" t="n">
        <x:v>30</x:v>
      </x:c>
      <x:c r="F3785" s="115" t="str">
        <x:v>Inspection physique</x:v>
      </x:c>
      <x:c r="G3785" s="115" t="str">
        <x:v>1 niveaux ; 36 pièces ; 265 segments de mur ; 0 transitions. Inspection physique ; architecture complète encore ouverte.</x:v>
      </x:c>
      <x:c r="H3785" s="115" t="str">
        <x:v>L 800 ; l 2420 ; hauteur 7,4 m ; choix de composition auteur ; dimensions réelles à documenter</x:v>
      </x:c>
      <x:c r="I3785" s="115" t="str">
        <x:v>À équilibrer</x:v>
      </x:c>
      <x:c r="J3785" s="115" t="str">
        <x:v>Non</x:v>
      </x:c>
      <x:c r="K3785" s="115" t="str">
        <x:v>Pièces décrites, murs, portes, niveaux et mobilier inspectables à l’échelle. Volumes réservés, raccord au seed, butin, rencontres et services de campagne restent à terminer.</x:v>
      </x:c>
    </x:row>
    <x:row r="3786" ht="96" customHeight="1">
      <x:c r="A3786" s="115" t="str">
        <x:v>EXT-MONDE-T076-V31</x:v>
      </x:c>
      <x:c r="B3786" s="115" t="str">
        <x:v>EXT-MONDE-T076</x:v>
      </x:c>
      <x:c r="C3786" s="115" t="str">
        <x:v>Ferroviaire</x:v>
      </x:c>
      <x:c r="D3786" s="115" t="str">
        <x:v>Dépôt ferroviaire</x:v>
      </x:c>
      <x:c r="E3786" s="115" t="n">
        <x:v>31</x:v>
      </x:c>
      <x:c r="F3786" s="115" t="str">
        <x:v>Inspection physique</x:v>
      </x:c>
      <x:c r="G3786" s="115" t="str">
        <x:v>1 niveaux ; 36 pièces ; 265 segments de mur ; 0 transitions. Inspection physique ; architecture complète encore ouverte.</x:v>
      </x:c>
      <x:c r="H3786" s="115" t="str">
        <x:v>L 800 ; l 2580 ; hauteur 7,6 m ; choix de composition auteur ; dimensions réelles à documenter</x:v>
      </x:c>
      <x:c r="I3786" s="115" t="str">
        <x:v>À équilibrer</x:v>
      </x:c>
      <x:c r="J3786" s="115" t="str">
        <x:v>Non</x:v>
      </x:c>
      <x:c r="K3786" s="115" t="str">
        <x:v>Pièces décrites, murs, portes, niveaux et mobilier inspectables à l’échelle. Volumes réservés, raccord au seed, butin, rencontres et services de campagne restent à terminer.</x:v>
      </x:c>
    </x:row>
    <x:row r="3787" ht="96" customHeight="1">
      <x:c r="A3787" s="115" t="str">
        <x:v>EXT-MONDE-T076-V32</x:v>
      </x:c>
      <x:c r="B3787" s="115" t="str">
        <x:v>EXT-MONDE-T076</x:v>
      </x:c>
      <x:c r="C3787" s="115" t="str">
        <x:v>Ferroviaire</x:v>
      </x:c>
      <x:c r="D3787" s="115" t="str">
        <x:v>Dépôt ferroviaire</x:v>
      </x:c>
      <x:c r="E3787" s="115" t="n">
        <x:v>32</x:v>
      </x:c>
      <x:c r="F3787" s="115" t="str">
        <x:v>Inspection physique</x:v>
      </x:c>
      <x:c r="G3787" s="115" t="str">
        <x:v>1 niveaux ; 36 pièces ; 265 segments de mur ; 0 transitions. Inspection physique ; architecture complète encore ouverte.</x:v>
      </x:c>
      <x:c r="H3787" s="115" t="str">
        <x:v>L 800 ; l 2580 ; hauteur 7,6 m ; choix de composition auteur ; dimensions réelles à documenter</x:v>
      </x:c>
      <x:c r="I3787" s="115" t="str">
        <x:v>À équilibrer</x:v>
      </x:c>
      <x:c r="J3787" s="115" t="str">
        <x:v>Non</x:v>
      </x:c>
      <x:c r="K3787" s="115" t="str">
        <x:v>Pièces décrites, murs, portes, niveaux et mobilier inspectables à l’échelle. Volumes réservés, raccord au seed, butin, rencontres et services de campagne restent à terminer.</x:v>
      </x:c>
    </x:row>
    <x:row r="3788" ht="96" customHeight="1">
      <x:c r="A3788" s="115" t="str">
        <x:v>EXT-MONDE-T076-V33</x:v>
      </x:c>
      <x:c r="B3788" s="115" t="str">
        <x:v>EXT-MONDE-T076</x:v>
      </x:c>
      <x:c r="C3788" s="115" t="str">
        <x:v>Ferroviaire</x:v>
      </x:c>
      <x:c r="D3788" s="115" t="str">
        <x:v>Dépôt ferroviaire</x:v>
      </x:c>
      <x:c r="E3788" s="115" t="n">
        <x:v>33</x:v>
      </x:c>
      <x:c r="F3788" s="115" t="str">
        <x:v>Inspection physique</x:v>
      </x:c>
      <x:c r="G3788" s="115" t="str">
        <x:v>1 niveaux ; 36 pièces ; 265 segments de mur ; 0 transitions. Inspection physique ; architecture complète encore ouverte.</x:v>
      </x:c>
      <x:c r="H3788" s="115" t="str">
        <x:v>L 800 ; l 2580 ; hauteur 7,6 m ; choix de composition auteur ; dimensions réelles à documenter</x:v>
      </x:c>
      <x:c r="I3788" s="115" t="str">
        <x:v>À équilibrer</x:v>
      </x:c>
      <x:c r="J3788" s="115" t="str">
        <x:v>Non</x:v>
      </x:c>
      <x:c r="K3788" s="115" t="str">
        <x:v>Pièces décrites, murs, portes, niveaux et mobilier inspectables à l’échelle. Volumes réservés, raccord au seed, butin, rencontres et services de campagne restent à terminer.</x:v>
      </x:c>
    </x:row>
    <x:row r="3789" ht="96" customHeight="1">
      <x:c r="A3789" s="115" t="str">
        <x:v>EXT-MONDE-T076-V34</x:v>
      </x:c>
      <x:c r="B3789" s="115" t="str">
        <x:v>EXT-MONDE-T076</x:v>
      </x:c>
      <x:c r="C3789" s="115" t="str">
        <x:v>Ferroviaire</x:v>
      </x:c>
      <x:c r="D3789" s="115" t="str">
        <x:v>Dépôt ferroviaire</x:v>
      </x:c>
      <x:c r="E3789" s="115" t="n">
        <x:v>34</x:v>
      </x:c>
      <x:c r="F3789" s="115" t="str">
        <x:v>Inspection physique</x:v>
      </x:c>
      <x:c r="G3789" s="115" t="str">
        <x:v>1 niveaux ; 36 pièces ; 265 segments de mur ; 0 transitions. Inspection physique ; architecture complète encore ouverte.</x:v>
      </x:c>
      <x:c r="H3789" s="115" t="str">
        <x:v>L 800 ; l 2580 ; hauteur 7,6 m ; choix de composition auteur ; dimensions réelles à documenter</x:v>
      </x:c>
      <x:c r="I3789" s="115" t="str">
        <x:v>À équilibrer</x:v>
      </x:c>
      <x:c r="J3789" s="115" t="str">
        <x:v>Non</x:v>
      </x:c>
      <x:c r="K3789" s="115" t="str">
        <x:v>Pièces décrites, murs, portes, niveaux et mobilier inspectables à l’échelle. Volumes réservés, raccord au seed, butin, rencontres et services de campagne restent à terminer.</x:v>
      </x:c>
    </x:row>
    <x:row r="3790" ht="96" customHeight="1">
      <x:c r="A3790" s="115" t="str">
        <x:v>EXT-MONDE-T076-V35</x:v>
      </x:c>
      <x:c r="B3790" s="115" t="str">
        <x:v>EXT-MONDE-T076</x:v>
      </x:c>
      <x:c r="C3790" s="115" t="str">
        <x:v>Ferroviaire</x:v>
      </x:c>
      <x:c r="D3790" s="115" t="str">
        <x:v>Dépôt ferroviaire</x:v>
      </x:c>
      <x:c r="E3790" s="115" t="n">
        <x:v>35</x:v>
      </x:c>
      <x:c r="F3790" s="115" t="str">
        <x:v>Inspection physique</x:v>
      </x:c>
      <x:c r="G3790" s="115" t="str">
        <x:v>1 niveaux ; 36 pièces ; 265 segments de mur ; 0 transitions. Inspection physique ; architecture complète encore ouverte.</x:v>
      </x:c>
      <x:c r="H3790" s="115" t="str">
        <x:v>L 800 ; l 2580 ; hauteur 7,6 m ; choix de composition auteur ; dimensions réelles à documenter</x:v>
      </x:c>
      <x:c r="I3790" s="115" t="str">
        <x:v>À équilibrer</x:v>
      </x:c>
      <x:c r="J3790" s="115" t="str">
        <x:v>Non</x:v>
      </x:c>
      <x:c r="K3790" s="115" t="str">
        <x:v>Pièces décrites, murs, portes, niveaux et mobilier inspectables à l’échelle. Volumes réservés, raccord au seed, butin, rencontres et services de campagne restent à terminer.</x:v>
      </x:c>
    </x:row>
    <x:row r="3791" ht="96" customHeight="1">
      <x:c r="A3791" s="115" t="str">
        <x:v>EXT-MONDE-T076-V36</x:v>
      </x:c>
      <x:c r="B3791" s="115" t="str">
        <x:v>EXT-MONDE-T076</x:v>
      </x:c>
      <x:c r="C3791" s="115" t="str">
        <x:v>Ferroviaire</x:v>
      </x:c>
      <x:c r="D3791" s="115" t="str">
        <x:v>Dépôt ferroviaire</x:v>
      </x:c>
      <x:c r="E3791" s="115" t="n">
        <x:v>36</x:v>
      </x:c>
      <x:c r="F3791" s="115" t="str">
        <x:v>Inspection physique</x:v>
      </x:c>
      <x:c r="G3791" s="115" t="str">
        <x:v>1 niveaux ; 36 pièces ; 265 segments de mur ; 0 transitions. Inspection physique ; architecture complète encore ouverte.</x:v>
      </x:c>
      <x:c r="H3791" s="115" t="str">
        <x:v>L 800 ; l 2580 ; hauteur 7,6 m ; choix de composition auteur ; dimensions réelles à documenter</x:v>
      </x:c>
      <x:c r="I3791" s="115" t="str">
        <x:v>À équilibrer</x:v>
      </x:c>
      <x:c r="J3791" s="115" t="str">
        <x:v>Non</x:v>
      </x:c>
      <x:c r="K3791" s="115" t="str">
        <x:v>Pièces décrites, murs, portes, niveaux et mobilier inspectables à l’échelle. Volumes réservés, raccord au seed, butin, rencontres et services de campagne restent à terminer.</x:v>
      </x:c>
    </x:row>
    <x:row r="3792" ht="96" customHeight="1">
      <x:c r="A3792" s="115" t="str">
        <x:v>EXT-MONDE-T076-V37</x:v>
      </x:c>
      <x:c r="B3792" s="115" t="str">
        <x:v>EXT-MONDE-T076</x:v>
      </x:c>
      <x:c r="C3792" s="115" t="str">
        <x:v>Ferroviaire</x:v>
      </x:c>
      <x:c r="D3792" s="115" t="str">
        <x:v>Dépôt ferroviaire</x:v>
      </x:c>
      <x:c r="E3792" s="115" t="n">
        <x:v>37</x:v>
      </x:c>
      <x:c r="F3792" s="115" t="str">
        <x:v>Inspection physique</x:v>
      </x:c>
      <x:c r="G3792" s="115" t="str">
        <x:v>1 niveaux ; 36 pièces ; 265 segments de mur ; 0 transitions. Inspection physique ; architecture complète encore ouverte.</x:v>
      </x:c>
      <x:c r="H3792" s="115" t="str">
        <x:v>L 800 ; l 2580 ; hauteur 7,6 m ; choix de composition auteur ; dimensions réelles à documenter</x:v>
      </x:c>
      <x:c r="I3792" s="115" t="str">
        <x:v>À équilibrer</x:v>
      </x:c>
      <x:c r="J3792" s="115" t="str">
        <x:v>Non</x:v>
      </x:c>
      <x:c r="K3792" s="115" t="str">
        <x:v>Pièces décrites, murs, portes, niveaux et mobilier inspectables à l’échelle. Volumes réservés, raccord au seed, butin, rencontres et services de campagne restent à terminer.</x:v>
      </x:c>
    </x:row>
    <x:row r="3793" ht="96" customHeight="1">
      <x:c r="A3793" s="115" t="str">
        <x:v>EXT-MONDE-T076-V38</x:v>
      </x:c>
      <x:c r="B3793" s="115" t="str">
        <x:v>EXT-MONDE-T076</x:v>
      </x:c>
      <x:c r="C3793" s="115" t="str">
        <x:v>Ferroviaire</x:v>
      </x:c>
      <x:c r="D3793" s="115" t="str">
        <x:v>Dépôt ferroviaire</x:v>
      </x:c>
      <x:c r="E3793" s="115" t="n">
        <x:v>38</x:v>
      </x:c>
      <x:c r="F3793" s="115" t="str">
        <x:v>Inspection physique</x:v>
      </x:c>
      <x:c r="G3793" s="115" t="str">
        <x:v>1 niveaux ; 36 pièces ; 265 segments de mur ; 0 transitions. Inspection physique ; architecture complète encore ouverte.</x:v>
      </x:c>
      <x:c r="H3793" s="115" t="str">
        <x:v>L 800 ; l 2580 ; hauteur 7,6 m ; choix de composition auteur ; dimensions réelles à documenter</x:v>
      </x:c>
      <x:c r="I3793" s="115" t="str">
        <x:v>À équilibrer</x:v>
      </x:c>
      <x:c r="J3793" s="115" t="str">
        <x:v>Non</x:v>
      </x:c>
      <x:c r="K3793" s="115" t="str">
        <x:v>Pièces décrites, murs, portes, niveaux et mobilier inspectables à l’échelle. Volumes réservés, raccord au seed, butin, rencontres et services de campagne restent à terminer.</x:v>
      </x:c>
    </x:row>
    <x:row r="3794" ht="96" customHeight="1">
      <x:c r="A3794" s="115" t="str">
        <x:v>EXT-MONDE-T076-V39</x:v>
      </x:c>
      <x:c r="B3794" s="115" t="str">
        <x:v>EXT-MONDE-T076</x:v>
      </x:c>
      <x:c r="C3794" s="115" t="str">
        <x:v>Ferroviaire</x:v>
      </x:c>
      <x:c r="D3794" s="115" t="str">
        <x:v>Dépôt ferroviaire</x:v>
      </x:c>
      <x:c r="E3794" s="115" t="n">
        <x:v>39</x:v>
      </x:c>
      <x:c r="F3794" s="115" t="str">
        <x:v>Inspection physique</x:v>
      </x:c>
      <x:c r="G3794" s="115" t="str">
        <x:v>1 niveaux ; 36 pièces ; 265 segments de mur ; 0 transitions. Inspection physique ; architecture complète encore ouverte.</x:v>
      </x:c>
      <x:c r="H3794" s="115" t="str">
        <x:v>L 800 ; l 2580 ; hauteur 7,6 m ; choix de composition auteur ; dimensions réelles à documenter</x:v>
      </x:c>
      <x:c r="I3794" s="115" t="str">
        <x:v>À équilibrer</x:v>
      </x:c>
      <x:c r="J3794" s="115" t="str">
        <x:v>Non</x:v>
      </x:c>
      <x:c r="K3794" s="115" t="str">
        <x:v>Pièces décrites, murs, portes, niveaux et mobilier inspectables à l’échelle. Volumes réservés, raccord au seed, butin, rencontres et services de campagne restent à terminer.</x:v>
      </x:c>
    </x:row>
    <x:row r="3795" ht="96" customHeight="1">
      <x:c r="A3795" s="115" t="str">
        <x:v>EXT-MONDE-T076-V40</x:v>
      </x:c>
      <x:c r="B3795" s="115" t="str">
        <x:v>EXT-MONDE-T076</x:v>
      </x:c>
      <x:c r="C3795" s="115" t="str">
        <x:v>Ferroviaire</x:v>
      </x:c>
      <x:c r="D3795" s="115" t="str">
        <x:v>Dépôt ferroviaire</x:v>
      </x:c>
      <x:c r="E3795" s="115" t="n">
        <x:v>40</x:v>
      </x:c>
      <x:c r="F3795" s="115" t="str">
        <x:v>Inspection physique</x:v>
      </x:c>
      <x:c r="G3795" s="115" t="str">
        <x:v>1 niveaux ; 36 pièces ; 265 segments de mur ; 0 transitions. Inspection physique ; architecture complète encore ouverte.</x:v>
      </x:c>
      <x:c r="H3795" s="115" t="str">
        <x:v>L 800 ; l 2580 ; hauteur 7,6 m ; choix de composition auteur ; dimensions réelles à documenter</x:v>
      </x:c>
      <x:c r="I3795" s="115" t="str">
        <x:v>À équilibrer</x:v>
      </x:c>
      <x:c r="J3795" s="115" t="str">
        <x:v>Non</x:v>
      </x:c>
      <x:c r="K3795" s="115" t="str">
        <x:v>Pièces décrites, murs, portes, niveaux et mobilier inspectables à l’échelle. Volumes réservés, raccord au seed, butin, rencontres et services de campagne restent à terminer.</x:v>
      </x:c>
    </x:row>
    <x:row r="3796" ht="96" customHeight="1">
      <x:c r="A3796" s="115" t="str">
        <x:v>EXT-MONDE-T076-V41</x:v>
      </x:c>
      <x:c r="B3796" s="115" t="str">
        <x:v>EXT-MONDE-T076</x:v>
      </x:c>
      <x:c r="C3796" s="115" t="str">
        <x:v>Ferroviaire</x:v>
      </x:c>
      <x:c r="D3796" s="115" t="str">
        <x:v>Dépôt ferroviaire</x:v>
      </x:c>
      <x:c r="E3796" s="115" t="n">
        <x:v>41</x:v>
      </x:c>
      <x:c r="F3796" s="115" t="str">
        <x:v>Inspection physique</x:v>
      </x:c>
      <x:c r="G3796" s="115" t="str">
        <x:v>1 niveaux ; 36 pièces ; 265 segments de mur ; 0 transitions. Inspection physique ; architecture complète encore ouverte.</x:v>
      </x:c>
      <x:c r="H3796" s="115" t="str">
        <x:v>L 800 ; l 2740 ; hauteur 7,8 m ; choix de composition auteur ; dimensions réelles à documenter</x:v>
      </x:c>
      <x:c r="I3796" s="115" t="str">
        <x:v>À équilibrer</x:v>
      </x:c>
      <x:c r="J3796" s="115" t="str">
        <x:v>Non</x:v>
      </x:c>
      <x:c r="K3796" s="115" t="str">
        <x:v>Pièces décrites, murs, portes, niveaux et mobilier inspectables à l’échelle. Volumes réservés, raccord au seed, butin, rencontres et services de campagne restent à terminer.</x:v>
      </x:c>
    </x:row>
    <x:row r="3797" ht="96" customHeight="1">
      <x:c r="A3797" s="115" t="str">
        <x:v>EXT-MONDE-T076-V42</x:v>
      </x:c>
      <x:c r="B3797" s="115" t="str">
        <x:v>EXT-MONDE-T076</x:v>
      </x:c>
      <x:c r="C3797" s="115" t="str">
        <x:v>Ferroviaire</x:v>
      </x:c>
      <x:c r="D3797" s="115" t="str">
        <x:v>Dépôt ferroviaire</x:v>
      </x:c>
      <x:c r="E3797" s="115" t="n">
        <x:v>42</x:v>
      </x:c>
      <x:c r="F3797" s="115" t="str">
        <x:v>Inspection physique</x:v>
      </x:c>
      <x:c r="G3797" s="115" t="str">
        <x:v>1 niveaux ; 36 pièces ; 265 segments de mur ; 0 transitions. Inspection physique ; architecture complète encore ouverte.</x:v>
      </x:c>
      <x:c r="H3797" s="115" t="str">
        <x:v>L 800 ; l 2740 ; hauteur 7,8 m ; choix de composition auteur ; dimensions réelles à documenter</x:v>
      </x:c>
      <x:c r="I3797" s="115" t="str">
        <x:v>À équilibrer</x:v>
      </x:c>
      <x:c r="J3797" s="115" t="str">
        <x:v>Non</x:v>
      </x:c>
      <x:c r="K3797" s="115" t="str">
        <x:v>Pièces décrites, murs, portes, niveaux et mobilier inspectables à l’échelle. Volumes réservés, raccord au seed, butin, rencontres et services de campagne restent à terminer.</x:v>
      </x:c>
    </x:row>
    <x:row r="3798" ht="96" customHeight="1">
      <x:c r="A3798" s="115" t="str">
        <x:v>EXT-MONDE-T076-V43</x:v>
      </x:c>
      <x:c r="B3798" s="115" t="str">
        <x:v>EXT-MONDE-T076</x:v>
      </x:c>
      <x:c r="C3798" s="115" t="str">
        <x:v>Ferroviaire</x:v>
      </x:c>
      <x:c r="D3798" s="115" t="str">
        <x:v>Dépôt ferroviaire</x:v>
      </x:c>
      <x:c r="E3798" s="115" t="n">
        <x:v>43</x:v>
      </x:c>
      <x:c r="F3798" s="115" t="str">
        <x:v>Inspection physique</x:v>
      </x:c>
      <x:c r="G3798" s="115" t="str">
        <x:v>1 niveaux ; 36 pièces ; 265 segments de mur ; 0 transitions. Inspection physique ; architecture complète encore ouverte.</x:v>
      </x:c>
      <x:c r="H3798" s="115" t="str">
        <x:v>L 800 ; l 2740 ; hauteur 7,8 m ; choix de composition auteur ; dimensions réelles à documenter</x:v>
      </x:c>
      <x:c r="I3798" s="115" t="str">
        <x:v>À équilibrer</x:v>
      </x:c>
      <x:c r="J3798" s="115" t="str">
        <x:v>Non</x:v>
      </x:c>
      <x:c r="K3798" s="115" t="str">
        <x:v>Pièces décrites, murs, portes, niveaux et mobilier inspectables à l’échelle. Volumes réservés, raccord au seed, butin, rencontres et services de campagne restent à terminer.</x:v>
      </x:c>
    </x:row>
    <x:row r="3799" ht="96" customHeight="1">
      <x:c r="A3799" s="115" t="str">
        <x:v>EXT-MONDE-T076-V44</x:v>
      </x:c>
      <x:c r="B3799" s="115" t="str">
        <x:v>EXT-MONDE-T076</x:v>
      </x:c>
      <x:c r="C3799" s="115" t="str">
        <x:v>Ferroviaire</x:v>
      </x:c>
      <x:c r="D3799" s="115" t="str">
        <x:v>Dépôt ferroviaire</x:v>
      </x:c>
      <x:c r="E3799" s="115" t="n">
        <x:v>44</x:v>
      </x:c>
      <x:c r="F3799" s="115" t="str">
        <x:v>Inspection physique</x:v>
      </x:c>
      <x:c r="G3799" s="115" t="str">
        <x:v>1 niveaux ; 36 pièces ; 265 segments de mur ; 0 transitions. Inspection physique ; architecture complète encore ouverte.</x:v>
      </x:c>
      <x:c r="H3799" s="115" t="str">
        <x:v>L 800 ; l 2740 ; hauteur 7,8 m ; choix de composition auteur ; dimensions réelles à documenter</x:v>
      </x:c>
      <x:c r="I3799" s="115" t="str">
        <x:v>À équilibrer</x:v>
      </x:c>
      <x:c r="J3799" s="115" t="str">
        <x:v>Non</x:v>
      </x:c>
      <x:c r="K3799" s="115" t="str">
        <x:v>Pièces décrites, murs, portes, niveaux et mobilier inspectables à l’échelle. Volumes réservés, raccord au seed, butin, rencontres et services de campagne restent à terminer.</x:v>
      </x:c>
    </x:row>
    <x:row r="3800" ht="96" customHeight="1">
      <x:c r="A3800" s="115" t="str">
        <x:v>EXT-MONDE-T076-V45</x:v>
      </x:c>
      <x:c r="B3800" s="115" t="str">
        <x:v>EXT-MONDE-T076</x:v>
      </x:c>
      <x:c r="C3800" s="115" t="str">
        <x:v>Ferroviaire</x:v>
      </x:c>
      <x:c r="D3800" s="115" t="str">
        <x:v>Dépôt ferroviaire</x:v>
      </x:c>
      <x:c r="E3800" s="115" t="n">
        <x:v>45</x:v>
      </x:c>
      <x:c r="F3800" s="115" t="str">
        <x:v>Inspection physique</x:v>
      </x:c>
      <x:c r="G3800" s="115" t="str">
        <x:v>1 niveaux ; 36 pièces ; 265 segments de mur ; 0 transitions. Inspection physique ; architecture complète encore ouverte.</x:v>
      </x:c>
      <x:c r="H3800" s="115" t="str">
        <x:v>L 800 ; l 2740 ; hauteur 7,8 m ; choix de composition auteur ; dimensions réelles à documenter</x:v>
      </x:c>
      <x:c r="I3800" s="115" t="str">
        <x:v>À équilibrer</x:v>
      </x:c>
      <x:c r="J3800" s="115" t="str">
        <x:v>Non</x:v>
      </x:c>
      <x:c r="K3800" s="115" t="str">
        <x:v>Pièces décrites, murs, portes, niveaux et mobilier inspectables à l’échelle. Volumes réservés, raccord au seed, butin, rencontres et services de campagne restent à terminer.</x:v>
      </x:c>
    </x:row>
    <x:row r="3801" ht="96" customHeight="1">
      <x:c r="A3801" s="115" t="str">
        <x:v>EXT-MONDE-T076-V46</x:v>
      </x:c>
      <x:c r="B3801" s="115" t="str">
        <x:v>EXT-MONDE-T076</x:v>
      </x:c>
      <x:c r="C3801" s="115" t="str">
        <x:v>Ferroviaire</x:v>
      </x:c>
      <x:c r="D3801" s="115" t="str">
        <x:v>Dépôt ferroviaire</x:v>
      </x:c>
      <x:c r="E3801" s="115" t="n">
        <x:v>46</x:v>
      </x:c>
      <x:c r="F3801" s="115" t="str">
        <x:v>Inspection physique</x:v>
      </x:c>
      <x:c r="G3801" s="115" t="str">
        <x:v>1 niveaux ; 36 pièces ; 265 segments de mur ; 0 transitions. Inspection physique ; architecture complète encore ouverte.</x:v>
      </x:c>
      <x:c r="H3801" s="115" t="str">
        <x:v>L 800 ; l 2740 ; hauteur 7,8 m ; choix de composition auteur ; dimensions réelles à documenter</x:v>
      </x:c>
      <x:c r="I3801" s="115" t="str">
        <x:v>À équilibrer</x:v>
      </x:c>
      <x:c r="J3801" s="115" t="str">
        <x:v>Non</x:v>
      </x:c>
      <x:c r="K3801" s="115" t="str">
        <x:v>Pièces décrites, murs, portes, niveaux et mobilier inspectables à l’échelle. Volumes réservés, raccord au seed, butin, rencontres et services de campagne restent à terminer.</x:v>
      </x:c>
    </x:row>
    <x:row r="3802" ht="96" customHeight="1">
      <x:c r="A3802" s="115" t="str">
        <x:v>EXT-MONDE-T076-V47</x:v>
      </x:c>
      <x:c r="B3802" s="115" t="str">
        <x:v>EXT-MONDE-T076</x:v>
      </x:c>
      <x:c r="C3802" s="115" t="str">
        <x:v>Ferroviaire</x:v>
      </x:c>
      <x:c r="D3802" s="115" t="str">
        <x:v>Dépôt ferroviaire</x:v>
      </x:c>
      <x:c r="E3802" s="115" t="n">
        <x:v>47</x:v>
      </x:c>
      <x:c r="F3802" s="115" t="str">
        <x:v>Inspection physique</x:v>
      </x:c>
      <x:c r="G3802" s="115" t="str">
        <x:v>1 niveaux ; 36 pièces ; 265 segments de mur ; 0 transitions. Inspection physique ; architecture complète encore ouverte.</x:v>
      </x:c>
      <x:c r="H3802" s="115" t="str">
        <x:v>L 800 ; l 2740 ; hauteur 7,8 m ; choix de composition auteur ; dimensions réelles à documenter</x:v>
      </x:c>
      <x:c r="I3802" s="115" t="str">
        <x:v>À équilibrer</x:v>
      </x:c>
      <x:c r="J3802" s="115" t="str">
        <x:v>Non</x:v>
      </x:c>
      <x:c r="K3802" s="115" t="str">
        <x:v>Pièces décrites, murs, portes, niveaux et mobilier inspectables à l’échelle. Volumes réservés, raccord au seed, butin, rencontres et services de campagne restent à terminer.</x:v>
      </x:c>
    </x:row>
    <x:row r="3803" ht="96" customHeight="1">
      <x:c r="A3803" s="115" t="str">
        <x:v>EXT-MONDE-T076-V48</x:v>
      </x:c>
      <x:c r="B3803" s="115" t="str">
        <x:v>EXT-MONDE-T076</x:v>
      </x:c>
      <x:c r="C3803" s="115" t="str">
        <x:v>Ferroviaire</x:v>
      </x:c>
      <x:c r="D3803" s="115" t="str">
        <x:v>Dépôt ferroviaire</x:v>
      </x:c>
      <x:c r="E3803" s="115" t="n">
        <x:v>48</x:v>
      </x:c>
      <x:c r="F3803" s="115" t="str">
        <x:v>Inspection physique</x:v>
      </x:c>
      <x:c r="G3803" s="115" t="str">
        <x:v>1 niveaux ; 36 pièces ; 265 segments de mur ; 0 transitions. Inspection physique ; architecture complète encore ouverte.</x:v>
      </x:c>
      <x:c r="H3803" s="115" t="str">
        <x:v>L 800 ; l 2740 ; hauteur 7,8 m ; choix de composition auteur ; dimensions réelles à documenter</x:v>
      </x:c>
      <x:c r="I3803" s="115" t="str">
        <x:v>À équilibrer</x:v>
      </x:c>
      <x:c r="J3803" s="115" t="str">
        <x:v>Non</x:v>
      </x:c>
      <x:c r="K3803" s="115" t="str">
        <x:v>Pièces décrites, murs, portes, niveaux et mobilier inspectables à l’échelle. Volumes réservés, raccord au seed, butin, rencontres et services de campagne restent à terminer.</x:v>
      </x:c>
    </x:row>
    <x:row r="3804" ht="96" customHeight="1">
      <x:c r="A3804" s="115" t="str">
        <x:v>EXT-MONDE-T076-V49</x:v>
      </x:c>
      <x:c r="B3804" s="115" t="str">
        <x:v>EXT-MONDE-T076</x:v>
      </x:c>
      <x:c r="C3804" s="115" t="str">
        <x:v>Ferroviaire</x:v>
      </x:c>
      <x:c r="D3804" s="115" t="str">
        <x:v>Dépôt ferroviaire</x:v>
      </x:c>
      <x:c r="E3804" s="115" t="n">
        <x:v>49</x:v>
      </x:c>
      <x:c r="F3804" s="115" t="str">
        <x:v>Inspection physique</x:v>
      </x:c>
      <x:c r="G3804" s="115" t="str">
        <x:v>1 niveaux ; 36 pièces ; 265 segments de mur ; 0 transitions. Inspection physique ; architecture complète encore ouverte.</x:v>
      </x:c>
      <x:c r="H3804" s="115" t="str">
        <x:v>L 800 ; l 2740 ; hauteur 7,8 m ; choix de composition auteur ; dimensions réelles à documenter</x:v>
      </x:c>
      <x:c r="I3804" s="115" t="str">
        <x:v>À équilibrer</x:v>
      </x:c>
      <x:c r="J3804" s="115" t="str">
        <x:v>Non</x:v>
      </x:c>
      <x:c r="K3804" s="115" t="str">
        <x:v>Pièces décrites, murs, portes, niveaux et mobilier inspectables à l’échelle. Volumes réservés, raccord au seed, butin, rencontres et services de campagne restent à terminer.</x:v>
      </x:c>
    </x:row>
    <x:row r="3805" ht="96" customHeight="1">
      <x:c r="A3805" s="115" t="str">
        <x:v>EXT-MONDE-T076-V50</x:v>
      </x:c>
      <x:c r="B3805" s="115" t="str">
        <x:v>EXT-MONDE-T076</x:v>
      </x:c>
      <x:c r="C3805" s="115" t="str">
        <x:v>Ferroviaire</x:v>
      </x:c>
      <x:c r="D3805" s="115" t="str">
        <x:v>Dépôt ferroviaire</x:v>
      </x:c>
      <x:c r="E3805" s="115" t="n">
        <x:v>50</x:v>
      </x:c>
      <x:c r="F3805" s="115" t="str">
        <x:v>Inspection physique</x:v>
      </x:c>
      <x:c r="G3805" s="115" t="str">
        <x:v>1 niveaux ; 36 pièces ; 265 segments de mur ; 0 transitions. Inspection physique ; architecture complète encore ouverte.</x:v>
      </x:c>
      <x:c r="H3805" s="115" t="str">
        <x:v>L 800 ; l 2740 ; hauteur 7,8 m ; choix de composition auteur ; dimensions réelles à documenter</x:v>
      </x:c>
      <x:c r="I3805" s="115" t="str">
        <x:v>À équilibrer</x:v>
      </x:c>
      <x:c r="J3805" s="115" t="str">
        <x:v>Non</x:v>
      </x:c>
      <x:c r="K3805" s="115" t="str">
        <x:v>Pièces décrites, murs, portes, niveaux et mobilier inspectables à l’échelle. Volumes réservés, raccord au seed, butin, rencontres et services de campagne restent à terminer.</x:v>
      </x:c>
    </x:row>
    <x:row r="3806" ht="96" customHeight="1">
      <x:c r="A3806" s="115" t="str">
        <x:v>EXT-MONDE-T077-V01</x:v>
      </x:c>
      <x:c r="B3806" s="115" t="str">
        <x:v>EXT-MONDE-T077</x:v>
      </x:c>
      <x:c r="C3806" s="115" t="str">
        <x:v>Îles</x:v>
      </x:c>
      <x:c r="D3806" s="115" t="str">
        <x:v>Îlot de phare</x:v>
      </x:c>
      <x:c r="E3806" s="115" t="n">
        <x:v>1</x:v>
      </x:c>
      <x:c r="F3806" s="115" t="str">
        <x:v>Inspection physique</x:v>
      </x:c>
      <x:c r="G3806" s="115" t="str">
        <x:v>1 niveaux ; 32 pièces ; 248 segments de mur ; 0 transitions. Inspection physique ; architecture complète encore ouverte.</x:v>
      </x:c>
      <x:c r="H3806" s="115" t="str">
        <x:v>L 336 ; l 276 ; hauteur 32 m ; choix de composition auteur ; dimensions réelles à documenter</x:v>
      </x:c>
      <x:c r="I3806" s="115" t="str">
        <x:v>À équilibrer</x:v>
      </x:c>
      <x:c r="J3806" s="115" t="str">
        <x:v>Non</x:v>
      </x:c>
      <x:c r="K3806" s="115" t="str">
        <x:v>Pièces décrites, murs, portes, niveaux et mobilier inspectables à l’échelle. Volumes réservés, raccord au seed, butin, rencontres et services de campagne restent à terminer.</x:v>
      </x:c>
    </x:row>
    <x:row r="3807" ht="96" customHeight="1">
      <x:c r="A3807" s="115" t="str">
        <x:v>EXT-MONDE-T077-V02</x:v>
      </x:c>
      <x:c r="B3807" s="115" t="str">
        <x:v>EXT-MONDE-T077</x:v>
      </x:c>
      <x:c r="C3807" s="115" t="str">
        <x:v>Îles</x:v>
      </x:c>
      <x:c r="D3807" s="115" t="str">
        <x:v>Îlot de phare</x:v>
      </x:c>
      <x:c r="E3807" s="115" t="n">
        <x:v>2</x:v>
      </x:c>
      <x:c r="F3807" s="115" t="str">
        <x:v>Inspection physique</x:v>
      </x:c>
      <x:c r="G3807" s="115" t="str">
        <x:v>1 niveaux ; 32 pièces ; 248 segments de mur ; 0 transitions. Inspection physique ; architecture complète encore ouverte.</x:v>
      </x:c>
      <x:c r="H3807" s="115" t="str">
        <x:v>L 336 ; l 276 ; hauteur 32 m ; choix de composition auteur ; dimensions réelles à documenter</x:v>
      </x:c>
      <x:c r="I3807" s="115" t="str">
        <x:v>À équilibrer</x:v>
      </x:c>
      <x:c r="J3807" s="115" t="str">
        <x:v>Non</x:v>
      </x:c>
      <x:c r="K3807" s="115" t="str">
        <x:v>Pièces décrites, murs, portes, niveaux et mobilier inspectables à l’échelle. Volumes réservés, raccord au seed, butin, rencontres et services de campagne restent à terminer.</x:v>
      </x:c>
    </x:row>
    <x:row r="3808" ht="96" customHeight="1">
      <x:c r="A3808" s="115" t="str">
        <x:v>EXT-MONDE-T077-V03</x:v>
      </x:c>
      <x:c r="B3808" s="115" t="str">
        <x:v>EXT-MONDE-T077</x:v>
      </x:c>
      <x:c r="C3808" s="115" t="str">
        <x:v>Îles</x:v>
      </x:c>
      <x:c r="D3808" s="115" t="str">
        <x:v>Îlot de phare</x:v>
      </x:c>
      <x:c r="E3808" s="115" t="n">
        <x:v>3</x:v>
      </x:c>
      <x:c r="F3808" s="115" t="str">
        <x:v>Inspection physique</x:v>
      </x:c>
      <x:c r="G3808" s="115" t="str">
        <x:v>1 niveaux ; 32 pièces ; 248 segments de mur ; 0 transitions. Inspection physique ; architecture complète encore ouverte.</x:v>
      </x:c>
      <x:c r="H3808" s="115" t="str">
        <x:v>L 336 ; l 276 ; hauteur 32 m ; choix de composition auteur ; dimensions réelles à documenter</x:v>
      </x:c>
      <x:c r="I3808" s="115" t="str">
        <x:v>À équilibrer</x:v>
      </x:c>
      <x:c r="J3808" s="115" t="str">
        <x:v>Non</x:v>
      </x:c>
      <x:c r="K3808" s="115" t="str">
        <x:v>Pièces décrites, murs, portes, niveaux et mobilier inspectables à l’échelle. Volumes réservés, raccord au seed, butin, rencontres et services de campagne restent à terminer.</x:v>
      </x:c>
    </x:row>
    <x:row r="3809" ht="96" customHeight="1">
      <x:c r="A3809" s="115" t="str">
        <x:v>EXT-MONDE-T077-V04</x:v>
      </x:c>
      <x:c r="B3809" s="115" t="str">
        <x:v>EXT-MONDE-T077</x:v>
      </x:c>
      <x:c r="C3809" s="115" t="str">
        <x:v>Îles</x:v>
      </x:c>
      <x:c r="D3809" s="115" t="str">
        <x:v>Îlot de phare</x:v>
      </x:c>
      <x:c r="E3809" s="115" t="n">
        <x:v>4</x:v>
      </x:c>
      <x:c r="F3809" s="115" t="str">
        <x:v>Inspection physique</x:v>
      </x:c>
      <x:c r="G3809" s="115" t="str">
        <x:v>1 niveaux ; 32 pièces ; 248 segments de mur ; 0 transitions. Inspection physique ; architecture complète encore ouverte.</x:v>
      </x:c>
      <x:c r="H3809" s="115" t="str">
        <x:v>L 336 ; l 276 ; hauteur 32 m ; choix de composition auteur ; dimensions réelles à documenter</x:v>
      </x:c>
      <x:c r="I3809" s="115" t="str">
        <x:v>À équilibrer</x:v>
      </x:c>
      <x:c r="J3809" s="115" t="str">
        <x:v>Non</x:v>
      </x:c>
      <x:c r="K3809" s="115" t="str">
        <x:v>Pièces décrites, murs, portes, niveaux et mobilier inspectables à l’échelle. Volumes réservés, raccord au seed, butin, rencontres et services de campagne restent à terminer.</x:v>
      </x:c>
    </x:row>
    <x:row r="3810" ht="96" customHeight="1">
      <x:c r="A3810" s="115" t="str">
        <x:v>EXT-MONDE-T077-V05</x:v>
      </x:c>
      <x:c r="B3810" s="115" t="str">
        <x:v>EXT-MONDE-T077</x:v>
      </x:c>
      <x:c r="C3810" s="115" t="str">
        <x:v>Îles</x:v>
      </x:c>
      <x:c r="D3810" s="115" t="str">
        <x:v>Îlot de phare</x:v>
      </x:c>
      <x:c r="E3810" s="115" t="n">
        <x:v>5</x:v>
      </x:c>
      <x:c r="F3810" s="115" t="str">
        <x:v>Inspection physique</x:v>
      </x:c>
      <x:c r="G3810" s="115" t="str">
        <x:v>1 niveaux ; 32 pièces ; 248 segments de mur ; 0 transitions. Inspection physique ; architecture complète encore ouverte.</x:v>
      </x:c>
      <x:c r="H3810" s="115" t="str">
        <x:v>L 336 ; l 276 ; hauteur 32 m ; choix de composition auteur ; dimensions réelles à documenter</x:v>
      </x:c>
      <x:c r="I3810" s="115" t="str">
        <x:v>À équilibrer</x:v>
      </x:c>
      <x:c r="J3810" s="115" t="str">
        <x:v>Non</x:v>
      </x:c>
      <x:c r="K3810" s="115" t="str">
        <x:v>Pièces décrites, murs, portes, niveaux et mobilier inspectables à l’échelle. Volumes réservés, raccord au seed, butin, rencontres et services de campagne restent à terminer.</x:v>
      </x:c>
    </x:row>
    <x:row r="3811" ht="96" customHeight="1">
      <x:c r="A3811" s="115" t="str">
        <x:v>EXT-MONDE-T077-V06</x:v>
      </x:c>
      <x:c r="B3811" s="115" t="str">
        <x:v>EXT-MONDE-T077</x:v>
      </x:c>
      <x:c r="C3811" s="115" t="str">
        <x:v>Îles</x:v>
      </x:c>
      <x:c r="D3811" s="115" t="str">
        <x:v>Îlot de phare</x:v>
      </x:c>
      <x:c r="E3811" s="115" t="n">
        <x:v>6</x:v>
      </x:c>
      <x:c r="F3811" s="115" t="str">
        <x:v>Inspection physique</x:v>
      </x:c>
      <x:c r="G3811" s="115" t="str">
        <x:v>1 niveaux ; 32 pièces ; 248 segments de mur ; 0 transitions. Inspection physique ; architecture complète encore ouverte.</x:v>
      </x:c>
      <x:c r="H3811" s="115" t="str">
        <x:v>L 336 ; l 276 ; hauteur 32 m ; choix de composition auteur ; dimensions réelles à documenter</x:v>
      </x:c>
      <x:c r="I3811" s="115" t="str">
        <x:v>À équilibrer</x:v>
      </x:c>
      <x:c r="J3811" s="115" t="str">
        <x:v>Non</x:v>
      </x:c>
      <x:c r="K3811" s="115" t="str">
        <x:v>Pièces décrites, murs, portes, niveaux et mobilier inspectables à l’échelle. Volumes réservés, raccord au seed, butin, rencontres et services de campagne restent à terminer.</x:v>
      </x:c>
    </x:row>
    <x:row r="3812" ht="96" customHeight="1">
      <x:c r="A3812" s="115" t="str">
        <x:v>EXT-MONDE-T077-V07</x:v>
      </x:c>
      <x:c r="B3812" s="115" t="str">
        <x:v>EXT-MONDE-T077</x:v>
      </x:c>
      <x:c r="C3812" s="115" t="str">
        <x:v>Îles</x:v>
      </x:c>
      <x:c r="D3812" s="115" t="str">
        <x:v>Îlot de phare</x:v>
      </x:c>
      <x:c r="E3812" s="115" t="n">
        <x:v>7</x:v>
      </x:c>
      <x:c r="F3812" s="115" t="str">
        <x:v>Inspection physique</x:v>
      </x:c>
      <x:c r="G3812" s="115" t="str">
        <x:v>1 niveaux ; 32 pièces ; 248 segments de mur ; 0 transitions. Inspection physique ; architecture complète encore ouverte.</x:v>
      </x:c>
      <x:c r="H3812" s="115" t="str">
        <x:v>L 336 ; l 276 ; hauteur 32 m ; choix de composition auteur ; dimensions réelles à documenter</x:v>
      </x:c>
      <x:c r="I3812" s="115" t="str">
        <x:v>À équilibrer</x:v>
      </x:c>
      <x:c r="J3812" s="115" t="str">
        <x:v>Non</x:v>
      </x:c>
      <x:c r="K3812" s="115" t="str">
        <x:v>Pièces décrites, murs, portes, niveaux et mobilier inspectables à l’échelle. Volumes réservés, raccord au seed, butin, rencontres et services de campagne restent à terminer.</x:v>
      </x:c>
    </x:row>
    <x:row r="3813" ht="96" customHeight="1">
      <x:c r="A3813" s="115" t="str">
        <x:v>EXT-MONDE-T077-V08</x:v>
      </x:c>
      <x:c r="B3813" s="115" t="str">
        <x:v>EXT-MONDE-T077</x:v>
      </x:c>
      <x:c r="C3813" s="115" t="str">
        <x:v>Îles</x:v>
      </x:c>
      <x:c r="D3813" s="115" t="str">
        <x:v>Îlot de phare</x:v>
      </x:c>
      <x:c r="E3813" s="115" t="n">
        <x:v>8</x:v>
      </x:c>
      <x:c r="F3813" s="115" t="str">
        <x:v>Inspection physique</x:v>
      </x:c>
      <x:c r="G3813" s="115" t="str">
        <x:v>1 niveaux ; 32 pièces ; 248 segments de mur ; 0 transitions. Inspection physique ; architecture complète encore ouverte.</x:v>
      </x:c>
      <x:c r="H3813" s="115" t="str">
        <x:v>L 336 ; l 276 ; hauteur 32 m ; choix de composition auteur ; dimensions réelles à documenter</x:v>
      </x:c>
      <x:c r="I3813" s="115" t="str">
        <x:v>À équilibrer</x:v>
      </x:c>
      <x:c r="J3813" s="115" t="str">
        <x:v>Non</x:v>
      </x:c>
      <x:c r="K3813" s="115" t="str">
        <x:v>Pièces décrites, murs, portes, niveaux et mobilier inspectables à l’échelle. Volumes réservés, raccord au seed, butin, rencontres et services de campagne restent à terminer.</x:v>
      </x:c>
    </x:row>
    <x:row r="3814" ht="96" customHeight="1">
      <x:c r="A3814" s="115" t="str">
        <x:v>EXT-MONDE-T077-V09</x:v>
      </x:c>
      <x:c r="B3814" s="115" t="str">
        <x:v>EXT-MONDE-T077</x:v>
      </x:c>
      <x:c r="C3814" s="115" t="str">
        <x:v>Îles</x:v>
      </x:c>
      <x:c r="D3814" s="115" t="str">
        <x:v>Îlot de phare</x:v>
      </x:c>
      <x:c r="E3814" s="115" t="n">
        <x:v>9</x:v>
      </x:c>
      <x:c r="F3814" s="115" t="str">
        <x:v>Inspection physique</x:v>
      </x:c>
      <x:c r="G3814" s="115" t="str">
        <x:v>1 niveaux ; 32 pièces ; 248 segments de mur ; 0 transitions. Inspection physique ; architecture complète encore ouverte.</x:v>
      </x:c>
      <x:c r="H3814" s="115" t="str">
        <x:v>L 336 ; l 276 ; hauteur 32 m ; choix de composition auteur ; dimensions réelles à documenter</x:v>
      </x:c>
      <x:c r="I3814" s="115" t="str">
        <x:v>À équilibrer</x:v>
      </x:c>
      <x:c r="J3814" s="115" t="str">
        <x:v>Non</x:v>
      </x:c>
      <x:c r="K3814" s="115" t="str">
        <x:v>Pièces décrites, murs, portes, niveaux et mobilier inspectables à l’échelle. Volumes réservés, raccord au seed, butin, rencontres et services de campagne restent à terminer.</x:v>
      </x:c>
    </x:row>
    <x:row r="3815" ht="96" customHeight="1">
      <x:c r="A3815" s="115" t="str">
        <x:v>EXT-MONDE-T077-V10</x:v>
      </x:c>
      <x:c r="B3815" s="115" t="str">
        <x:v>EXT-MONDE-T077</x:v>
      </x:c>
      <x:c r="C3815" s="115" t="str">
        <x:v>Îles</x:v>
      </x:c>
      <x:c r="D3815" s="115" t="str">
        <x:v>Îlot de phare</x:v>
      </x:c>
      <x:c r="E3815" s="115" t="n">
        <x:v>10</x:v>
      </x:c>
      <x:c r="F3815" s="115" t="str">
        <x:v>Inspection physique</x:v>
      </x:c>
      <x:c r="G3815" s="115" t="str">
        <x:v>1 niveaux ; 32 pièces ; 248 segments de mur ; 0 transitions. Inspection physique ; architecture complète encore ouverte.</x:v>
      </x:c>
      <x:c r="H3815" s="115" t="str">
        <x:v>L 336 ; l 276 ; hauteur 32 m ; choix de composition auteur ; dimensions réelles à documenter</x:v>
      </x:c>
      <x:c r="I3815" s="115" t="str">
        <x:v>À équilibrer</x:v>
      </x:c>
      <x:c r="J3815" s="115" t="str">
        <x:v>Non</x:v>
      </x:c>
      <x:c r="K3815" s="115" t="str">
        <x:v>Pièces décrites, murs, portes, niveaux et mobilier inspectables à l’échelle. Volumes réservés, raccord au seed, butin, rencontres et services de campagne restent à terminer.</x:v>
      </x:c>
    </x:row>
    <x:row r="3816" ht="96" customHeight="1">
      <x:c r="A3816" s="115" t="str">
        <x:v>EXT-MONDE-T077-V11</x:v>
      </x:c>
      <x:c r="B3816" s="115" t="str">
        <x:v>EXT-MONDE-T077</x:v>
      </x:c>
      <x:c r="C3816" s="115" t="str">
        <x:v>Îles</x:v>
      </x:c>
      <x:c r="D3816" s="115" t="str">
        <x:v>Îlot de phare</x:v>
      </x:c>
      <x:c r="E3816" s="115" t="n">
        <x:v>11</x:v>
      </x:c>
      <x:c r="F3816" s="115" t="str">
        <x:v>Inspection physique</x:v>
      </x:c>
      <x:c r="G3816" s="115" t="str">
        <x:v>1 niveaux ; 32 pièces ; 248 segments de mur ; 0 transitions. Inspection physique ; architecture complète encore ouverte.</x:v>
      </x:c>
      <x:c r="H3816" s="115" t="str">
        <x:v>L 350 ; l 288 ; hauteur 32 m ; choix de composition auteur ; dimensions réelles à documenter</x:v>
      </x:c>
      <x:c r="I3816" s="115" t="str">
        <x:v>À équilibrer</x:v>
      </x:c>
      <x:c r="J3816" s="115" t="str">
        <x:v>Non</x:v>
      </x:c>
      <x:c r="K3816" s="115" t="str">
        <x:v>Pièces décrites, murs, portes, niveaux et mobilier inspectables à l’échelle. Volumes réservés, raccord au seed, butin, rencontres et services de campagne restent à terminer.</x:v>
      </x:c>
    </x:row>
    <x:row r="3817" ht="96" customHeight="1">
      <x:c r="A3817" s="115" t="str">
        <x:v>EXT-MONDE-T077-V12</x:v>
      </x:c>
      <x:c r="B3817" s="115" t="str">
        <x:v>EXT-MONDE-T077</x:v>
      </x:c>
      <x:c r="C3817" s="115" t="str">
        <x:v>Îles</x:v>
      </x:c>
      <x:c r="D3817" s="115" t="str">
        <x:v>Îlot de phare</x:v>
      </x:c>
      <x:c r="E3817" s="115" t="n">
        <x:v>12</x:v>
      </x:c>
      <x:c r="F3817" s="115" t="str">
        <x:v>Inspection physique</x:v>
      </x:c>
      <x:c r="G3817" s="115" t="str">
        <x:v>1 niveaux ; 32 pièces ; 248 segments de mur ; 0 transitions. Inspection physique ; architecture complète encore ouverte.</x:v>
      </x:c>
      <x:c r="H3817" s="115" t="str">
        <x:v>L 350 ; l 288 ; hauteur 32 m ; choix de composition auteur ; dimensions réelles à documenter</x:v>
      </x:c>
      <x:c r="I3817" s="115" t="str">
        <x:v>À équilibrer</x:v>
      </x:c>
      <x:c r="J3817" s="115" t="str">
        <x:v>Non</x:v>
      </x:c>
      <x:c r="K3817" s="115" t="str">
        <x:v>Pièces décrites, murs, portes, niveaux et mobilier inspectables à l’échelle. Volumes réservés, raccord au seed, butin, rencontres et services de campagne restent à terminer.</x:v>
      </x:c>
    </x:row>
    <x:row r="3818" ht="96" customHeight="1">
      <x:c r="A3818" s="115" t="str">
        <x:v>EXT-MONDE-T077-V13</x:v>
      </x:c>
      <x:c r="B3818" s="115" t="str">
        <x:v>EXT-MONDE-T077</x:v>
      </x:c>
      <x:c r="C3818" s="115" t="str">
        <x:v>Îles</x:v>
      </x:c>
      <x:c r="D3818" s="115" t="str">
        <x:v>Îlot de phare</x:v>
      </x:c>
      <x:c r="E3818" s="115" t="n">
        <x:v>13</x:v>
      </x:c>
      <x:c r="F3818" s="115" t="str">
        <x:v>Inspection physique</x:v>
      </x:c>
      <x:c r="G3818" s="115" t="str">
        <x:v>1 niveaux ; 32 pièces ; 248 segments de mur ; 0 transitions. Inspection physique ; architecture complète encore ouverte.</x:v>
      </x:c>
      <x:c r="H3818" s="115" t="str">
        <x:v>L 350 ; l 288 ; hauteur 32 m ; choix de composition auteur ; dimensions réelles à documenter</x:v>
      </x:c>
      <x:c r="I3818" s="115" t="str">
        <x:v>À équilibrer</x:v>
      </x:c>
      <x:c r="J3818" s="115" t="str">
        <x:v>Non</x:v>
      </x:c>
      <x:c r="K3818" s="115" t="str">
        <x:v>Pièces décrites, murs, portes, niveaux et mobilier inspectables à l’échelle. Volumes réservés, raccord au seed, butin, rencontres et services de campagne restent à terminer.</x:v>
      </x:c>
    </x:row>
    <x:row r="3819" ht="96" customHeight="1">
      <x:c r="A3819" s="115" t="str">
        <x:v>EXT-MONDE-T077-V14</x:v>
      </x:c>
      <x:c r="B3819" s="115" t="str">
        <x:v>EXT-MONDE-T077</x:v>
      </x:c>
      <x:c r="C3819" s="115" t="str">
        <x:v>Îles</x:v>
      </x:c>
      <x:c r="D3819" s="115" t="str">
        <x:v>Îlot de phare</x:v>
      </x:c>
      <x:c r="E3819" s="115" t="n">
        <x:v>14</x:v>
      </x:c>
      <x:c r="F3819" s="115" t="str">
        <x:v>Inspection physique</x:v>
      </x:c>
      <x:c r="G3819" s="115" t="str">
        <x:v>1 niveaux ; 32 pièces ; 248 segments de mur ; 0 transitions. Inspection physique ; architecture complète encore ouverte.</x:v>
      </x:c>
      <x:c r="H3819" s="115" t="str">
        <x:v>L 350 ; l 288 ; hauteur 32 m ; choix de composition auteur ; dimensions réelles à documenter</x:v>
      </x:c>
      <x:c r="I3819" s="115" t="str">
        <x:v>À équilibrer</x:v>
      </x:c>
      <x:c r="J3819" s="115" t="str">
        <x:v>Non</x:v>
      </x:c>
      <x:c r="K3819" s="115" t="str">
        <x:v>Pièces décrites, murs, portes, niveaux et mobilier inspectables à l’échelle. Volumes réservés, raccord au seed, butin, rencontres et services de campagne restent à terminer.</x:v>
      </x:c>
    </x:row>
    <x:row r="3820" ht="96" customHeight="1">
      <x:c r="A3820" s="115" t="str">
        <x:v>EXT-MONDE-T077-V15</x:v>
      </x:c>
      <x:c r="B3820" s="115" t="str">
        <x:v>EXT-MONDE-T077</x:v>
      </x:c>
      <x:c r="C3820" s="115" t="str">
        <x:v>Îles</x:v>
      </x:c>
      <x:c r="D3820" s="115" t="str">
        <x:v>Îlot de phare</x:v>
      </x:c>
      <x:c r="E3820" s="115" t="n">
        <x:v>15</x:v>
      </x:c>
      <x:c r="F3820" s="115" t="str">
        <x:v>Inspection physique</x:v>
      </x:c>
      <x:c r="G3820" s="115" t="str">
        <x:v>1 niveaux ; 32 pièces ; 248 segments de mur ; 0 transitions. Inspection physique ; architecture complète encore ouverte.</x:v>
      </x:c>
      <x:c r="H3820" s="115" t="str">
        <x:v>L 350 ; l 288 ; hauteur 32 m ; choix de composition auteur ; dimensions réelles à documenter</x:v>
      </x:c>
      <x:c r="I3820" s="115" t="str">
        <x:v>À équilibrer</x:v>
      </x:c>
      <x:c r="J3820" s="115" t="str">
        <x:v>Non</x:v>
      </x:c>
      <x:c r="K3820" s="115" t="str">
        <x:v>Pièces décrites, murs, portes, niveaux et mobilier inspectables à l’échelle. Volumes réservés, raccord au seed, butin, rencontres et services de campagne restent à terminer.</x:v>
      </x:c>
    </x:row>
    <x:row r="3821" ht="96" customHeight="1">
      <x:c r="A3821" s="115" t="str">
        <x:v>EXT-MONDE-T077-V16</x:v>
      </x:c>
      <x:c r="B3821" s="115" t="str">
        <x:v>EXT-MONDE-T077</x:v>
      </x:c>
      <x:c r="C3821" s="115" t="str">
        <x:v>Îles</x:v>
      </x:c>
      <x:c r="D3821" s="115" t="str">
        <x:v>Îlot de phare</x:v>
      </x:c>
      <x:c r="E3821" s="115" t="n">
        <x:v>16</x:v>
      </x:c>
      <x:c r="F3821" s="115" t="str">
        <x:v>Inspection physique</x:v>
      </x:c>
      <x:c r="G3821" s="115" t="str">
        <x:v>1 niveaux ; 32 pièces ; 248 segments de mur ; 0 transitions. Inspection physique ; architecture complète encore ouverte.</x:v>
      </x:c>
      <x:c r="H3821" s="115" t="str">
        <x:v>L 350 ; l 288 ; hauteur 32 m ; choix de composition auteur ; dimensions réelles à documenter</x:v>
      </x:c>
      <x:c r="I3821" s="115" t="str">
        <x:v>À équilibrer</x:v>
      </x:c>
      <x:c r="J3821" s="115" t="str">
        <x:v>Non</x:v>
      </x:c>
      <x:c r="K3821" s="115" t="str">
        <x:v>Pièces décrites, murs, portes, niveaux et mobilier inspectables à l’échelle. Volumes réservés, raccord au seed, butin, rencontres et services de campagne restent à terminer.</x:v>
      </x:c>
    </x:row>
    <x:row r="3822" ht="96" customHeight="1">
      <x:c r="A3822" s="115" t="str">
        <x:v>EXT-MONDE-T077-V17</x:v>
      </x:c>
      <x:c r="B3822" s="115" t="str">
        <x:v>EXT-MONDE-T077</x:v>
      </x:c>
      <x:c r="C3822" s="115" t="str">
        <x:v>Îles</x:v>
      </x:c>
      <x:c r="D3822" s="115" t="str">
        <x:v>Îlot de phare</x:v>
      </x:c>
      <x:c r="E3822" s="115" t="n">
        <x:v>17</x:v>
      </x:c>
      <x:c r="F3822" s="115" t="str">
        <x:v>Inspection physique</x:v>
      </x:c>
      <x:c r="G3822" s="115" t="str">
        <x:v>1 niveaux ; 32 pièces ; 248 segments de mur ; 0 transitions. Inspection physique ; architecture complète encore ouverte.</x:v>
      </x:c>
      <x:c r="H3822" s="115" t="str">
        <x:v>L 350 ; l 288 ; hauteur 32 m ; choix de composition auteur ; dimensions réelles à documenter</x:v>
      </x:c>
      <x:c r="I3822" s="115" t="str">
        <x:v>À équilibrer</x:v>
      </x:c>
      <x:c r="J3822" s="115" t="str">
        <x:v>Non</x:v>
      </x:c>
      <x:c r="K3822" s="115" t="str">
        <x:v>Pièces décrites, murs, portes, niveaux et mobilier inspectables à l’échelle. Volumes réservés, raccord au seed, butin, rencontres et services de campagne restent à terminer.</x:v>
      </x:c>
    </x:row>
    <x:row r="3823" ht="96" customHeight="1">
      <x:c r="A3823" s="115" t="str">
        <x:v>EXT-MONDE-T077-V18</x:v>
      </x:c>
      <x:c r="B3823" s="115" t="str">
        <x:v>EXT-MONDE-T077</x:v>
      </x:c>
      <x:c r="C3823" s="115" t="str">
        <x:v>Îles</x:v>
      </x:c>
      <x:c r="D3823" s="115" t="str">
        <x:v>Îlot de phare</x:v>
      </x:c>
      <x:c r="E3823" s="115" t="n">
        <x:v>18</x:v>
      </x:c>
      <x:c r="F3823" s="115" t="str">
        <x:v>Inspection physique</x:v>
      </x:c>
      <x:c r="G3823" s="115" t="str">
        <x:v>1 niveaux ; 32 pièces ; 248 segments de mur ; 0 transitions. Inspection physique ; architecture complète encore ouverte.</x:v>
      </x:c>
      <x:c r="H3823" s="115" t="str">
        <x:v>L 350 ; l 288 ; hauteur 32 m ; choix de composition auteur ; dimensions réelles à documenter</x:v>
      </x:c>
      <x:c r="I3823" s="115" t="str">
        <x:v>À équilibrer</x:v>
      </x:c>
      <x:c r="J3823" s="115" t="str">
        <x:v>Non</x:v>
      </x:c>
      <x:c r="K3823" s="115" t="str">
        <x:v>Pièces décrites, murs, portes, niveaux et mobilier inspectables à l’échelle. Volumes réservés, raccord au seed, butin, rencontres et services de campagne restent à terminer.</x:v>
      </x:c>
    </x:row>
    <x:row r="3824" ht="96" customHeight="1">
      <x:c r="A3824" s="115" t="str">
        <x:v>EXT-MONDE-T077-V19</x:v>
      </x:c>
      <x:c r="B3824" s="115" t="str">
        <x:v>EXT-MONDE-T077</x:v>
      </x:c>
      <x:c r="C3824" s="115" t="str">
        <x:v>Îles</x:v>
      </x:c>
      <x:c r="D3824" s="115" t="str">
        <x:v>Îlot de phare</x:v>
      </x:c>
      <x:c r="E3824" s="115" t="n">
        <x:v>19</x:v>
      </x:c>
      <x:c r="F3824" s="115" t="str">
        <x:v>Inspection physique</x:v>
      </x:c>
      <x:c r="G3824" s="115" t="str">
        <x:v>1 niveaux ; 32 pièces ; 248 segments de mur ; 0 transitions. Inspection physique ; architecture complète encore ouverte.</x:v>
      </x:c>
      <x:c r="H3824" s="115" t="str">
        <x:v>L 350 ; l 288 ; hauteur 32 m ; choix de composition auteur ; dimensions réelles à documenter</x:v>
      </x:c>
      <x:c r="I3824" s="115" t="str">
        <x:v>À équilibrer</x:v>
      </x:c>
      <x:c r="J3824" s="115" t="str">
        <x:v>Non</x:v>
      </x:c>
      <x:c r="K3824" s="115" t="str">
        <x:v>Pièces décrites, murs, portes, niveaux et mobilier inspectables à l’échelle. Volumes réservés, raccord au seed, butin, rencontres et services de campagne restent à terminer.</x:v>
      </x:c>
    </x:row>
    <x:row r="3825" ht="96" customHeight="1">
      <x:c r="A3825" s="115" t="str">
        <x:v>EXT-MONDE-T077-V20</x:v>
      </x:c>
      <x:c r="B3825" s="115" t="str">
        <x:v>EXT-MONDE-T077</x:v>
      </x:c>
      <x:c r="C3825" s="115" t="str">
        <x:v>Îles</x:v>
      </x:c>
      <x:c r="D3825" s="115" t="str">
        <x:v>Îlot de phare</x:v>
      </x:c>
      <x:c r="E3825" s="115" t="n">
        <x:v>20</x:v>
      </x:c>
      <x:c r="F3825" s="115" t="str">
        <x:v>Inspection physique</x:v>
      </x:c>
      <x:c r="G3825" s="115" t="str">
        <x:v>1 niveaux ; 32 pièces ; 248 segments de mur ; 0 transitions. Inspection physique ; architecture complète encore ouverte.</x:v>
      </x:c>
      <x:c r="H3825" s="115" t="str">
        <x:v>L 350 ; l 288 ; hauteur 32 m ; choix de composition auteur ; dimensions réelles à documenter</x:v>
      </x:c>
      <x:c r="I3825" s="115" t="str">
        <x:v>À équilibrer</x:v>
      </x:c>
      <x:c r="J3825" s="115" t="str">
        <x:v>Non</x:v>
      </x:c>
      <x:c r="K3825" s="115" t="str">
        <x:v>Pièces décrites, murs, portes, niveaux et mobilier inspectables à l’échelle. Volumes réservés, raccord au seed, butin, rencontres et services de campagne restent à terminer.</x:v>
      </x:c>
    </x:row>
    <x:row r="3826" ht="96" customHeight="1">
      <x:c r="A3826" s="115" t="str">
        <x:v>EXT-MONDE-T077-V21</x:v>
      </x:c>
      <x:c r="B3826" s="115" t="str">
        <x:v>EXT-MONDE-T077</x:v>
      </x:c>
      <x:c r="C3826" s="115" t="str">
        <x:v>Îles</x:v>
      </x:c>
      <x:c r="D3826" s="115" t="str">
        <x:v>Îlot de phare</x:v>
      </x:c>
      <x:c r="E3826" s="115" t="n">
        <x:v>21</x:v>
      </x:c>
      <x:c r="F3826" s="115" t="str">
        <x:v>Inspection physique</x:v>
      </x:c>
      <x:c r="G3826" s="115" t="str">
        <x:v>1 niveaux ; 32 pièces ; 248 segments de mur ; 0 transitions. Inspection physique ; architecture complète encore ouverte.</x:v>
      </x:c>
      <x:c r="H3826" s="115" t="str">
        <x:v>L 364 ; l 300 ; hauteur 32 m ; choix de composition auteur ; dimensions réelles à documenter</x:v>
      </x:c>
      <x:c r="I3826" s="115" t="str">
        <x:v>À équilibrer</x:v>
      </x:c>
      <x:c r="J3826" s="115" t="str">
        <x:v>Non</x:v>
      </x:c>
      <x:c r="K3826" s="115" t="str">
        <x:v>Pièces décrites, murs, portes, niveaux et mobilier inspectables à l’échelle. Volumes réservés, raccord au seed, butin, rencontres et services de campagne restent à terminer.</x:v>
      </x:c>
    </x:row>
    <x:row r="3827" ht="96" customHeight="1">
      <x:c r="A3827" s="115" t="str">
        <x:v>EXT-MONDE-T077-V22</x:v>
      </x:c>
      <x:c r="B3827" s="115" t="str">
        <x:v>EXT-MONDE-T077</x:v>
      </x:c>
      <x:c r="C3827" s="115" t="str">
        <x:v>Îles</x:v>
      </x:c>
      <x:c r="D3827" s="115" t="str">
        <x:v>Îlot de phare</x:v>
      </x:c>
      <x:c r="E3827" s="115" t="n">
        <x:v>22</x:v>
      </x:c>
      <x:c r="F3827" s="115" t="str">
        <x:v>Inspection physique</x:v>
      </x:c>
      <x:c r="G3827" s="115" t="str">
        <x:v>1 niveaux ; 32 pièces ; 248 segments de mur ; 0 transitions. Inspection physique ; architecture complète encore ouverte.</x:v>
      </x:c>
      <x:c r="H3827" s="115" t="str">
        <x:v>L 364 ; l 300 ; hauteur 32 m ; choix de composition auteur ; dimensions réelles à documenter</x:v>
      </x:c>
      <x:c r="I3827" s="115" t="str">
        <x:v>À équilibrer</x:v>
      </x:c>
      <x:c r="J3827" s="115" t="str">
        <x:v>Non</x:v>
      </x:c>
      <x:c r="K3827" s="115" t="str">
        <x:v>Pièces décrites, murs, portes, niveaux et mobilier inspectables à l’échelle. Volumes réservés, raccord au seed, butin, rencontres et services de campagne restent à terminer.</x:v>
      </x:c>
    </x:row>
    <x:row r="3828" ht="96" customHeight="1">
      <x:c r="A3828" s="115" t="str">
        <x:v>EXT-MONDE-T077-V23</x:v>
      </x:c>
      <x:c r="B3828" s="115" t="str">
        <x:v>EXT-MONDE-T077</x:v>
      </x:c>
      <x:c r="C3828" s="115" t="str">
        <x:v>Îles</x:v>
      </x:c>
      <x:c r="D3828" s="115" t="str">
        <x:v>Îlot de phare</x:v>
      </x:c>
      <x:c r="E3828" s="115" t="n">
        <x:v>23</x:v>
      </x:c>
      <x:c r="F3828" s="115" t="str">
        <x:v>Inspection physique</x:v>
      </x:c>
      <x:c r="G3828" s="115" t="str">
        <x:v>1 niveaux ; 32 pièces ; 248 segments de mur ; 0 transitions. Inspection physique ; architecture complète encore ouverte.</x:v>
      </x:c>
      <x:c r="H3828" s="115" t="str">
        <x:v>L 364 ; l 300 ; hauteur 32 m ; choix de composition auteur ; dimensions réelles à documenter</x:v>
      </x:c>
      <x:c r="I3828" s="115" t="str">
        <x:v>À équilibrer</x:v>
      </x:c>
      <x:c r="J3828" s="115" t="str">
        <x:v>Non</x:v>
      </x:c>
      <x:c r="K3828" s="115" t="str">
        <x:v>Pièces décrites, murs, portes, niveaux et mobilier inspectables à l’échelle. Volumes réservés, raccord au seed, butin, rencontres et services de campagne restent à terminer.</x:v>
      </x:c>
    </x:row>
    <x:row r="3829" ht="96" customHeight="1">
      <x:c r="A3829" s="115" t="str">
        <x:v>EXT-MONDE-T077-V24</x:v>
      </x:c>
      <x:c r="B3829" s="115" t="str">
        <x:v>EXT-MONDE-T077</x:v>
      </x:c>
      <x:c r="C3829" s="115" t="str">
        <x:v>Îles</x:v>
      </x:c>
      <x:c r="D3829" s="115" t="str">
        <x:v>Îlot de phare</x:v>
      </x:c>
      <x:c r="E3829" s="115" t="n">
        <x:v>24</x:v>
      </x:c>
      <x:c r="F3829" s="115" t="str">
        <x:v>Inspection physique</x:v>
      </x:c>
      <x:c r="G3829" s="115" t="str">
        <x:v>1 niveaux ; 32 pièces ; 248 segments de mur ; 0 transitions. Inspection physique ; architecture complète encore ouverte.</x:v>
      </x:c>
      <x:c r="H3829" s="115" t="str">
        <x:v>L 364 ; l 300 ; hauteur 32 m ; choix de composition auteur ; dimensions réelles à documenter</x:v>
      </x:c>
      <x:c r="I3829" s="115" t="str">
        <x:v>À équilibrer</x:v>
      </x:c>
      <x:c r="J3829" s="115" t="str">
        <x:v>Non</x:v>
      </x:c>
      <x:c r="K3829" s="115" t="str">
        <x:v>Pièces décrites, murs, portes, niveaux et mobilier inspectables à l’échelle. Volumes réservés, raccord au seed, butin, rencontres et services de campagne restent à terminer.</x:v>
      </x:c>
    </x:row>
    <x:row r="3830" ht="96" customHeight="1">
      <x:c r="A3830" s="115" t="str">
        <x:v>EXT-MONDE-T077-V25</x:v>
      </x:c>
      <x:c r="B3830" s="115" t="str">
        <x:v>EXT-MONDE-T077</x:v>
      </x:c>
      <x:c r="C3830" s="115" t="str">
        <x:v>Îles</x:v>
      </x:c>
      <x:c r="D3830" s="115" t="str">
        <x:v>Îlot de phare</x:v>
      </x:c>
      <x:c r="E3830" s="115" t="n">
        <x:v>25</x:v>
      </x:c>
      <x:c r="F3830" s="115" t="str">
        <x:v>Inspection physique</x:v>
      </x:c>
      <x:c r="G3830" s="115" t="str">
        <x:v>1 niveaux ; 32 pièces ; 248 segments de mur ; 0 transitions. Inspection physique ; architecture complète encore ouverte.</x:v>
      </x:c>
      <x:c r="H3830" s="115" t="str">
        <x:v>L 364 ; l 300 ; hauteur 32 m ; choix de composition auteur ; dimensions réelles à documenter</x:v>
      </x:c>
      <x:c r="I3830" s="115" t="str">
        <x:v>À équilibrer</x:v>
      </x:c>
      <x:c r="J3830" s="115" t="str">
        <x:v>Non</x:v>
      </x:c>
      <x:c r="K3830" s="115" t="str">
        <x:v>Pièces décrites, murs, portes, niveaux et mobilier inspectables à l’échelle. Volumes réservés, raccord au seed, butin, rencontres et services de campagne restent à terminer.</x:v>
      </x:c>
    </x:row>
    <x:row r="3831" ht="96" customHeight="1">
      <x:c r="A3831" s="115" t="str">
        <x:v>EXT-MONDE-T077-V26</x:v>
      </x:c>
      <x:c r="B3831" s="115" t="str">
        <x:v>EXT-MONDE-T077</x:v>
      </x:c>
      <x:c r="C3831" s="115" t="str">
        <x:v>Îles</x:v>
      </x:c>
      <x:c r="D3831" s="115" t="str">
        <x:v>Îlot de phare</x:v>
      </x:c>
      <x:c r="E3831" s="115" t="n">
        <x:v>26</x:v>
      </x:c>
      <x:c r="F3831" s="115" t="str">
        <x:v>Inspection physique</x:v>
      </x:c>
      <x:c r="G3831" s="115" t="str">
        <x:v>1 niveaux ; 32 pièces ; 248 segments de mur ; 0 transitions. Inspection physique ; architecture complète encore ouverte.</x:v>
      </x:c>
      <x:c r="H3831" s="115" t="str">
        <x:v>L 364 ; l 300 ; hauteur 32 m ; choix de composition auteur ; dimensions réelles à documenter</x:v>
      </x:c>
      <x:c r="I3831" s="115" t="str">
        <x:v>À équilibrer</x:v>
      </x:c>
      <x:c r="J3831" s="115" t="str">
        <x:v>Non</x:v>
      </x:c>
      <x:c r="K3831" s="115" t="str">
        <x:v>Pièces décrites, murs, portes, niveaux et mobilier inspectables à l’échelle. Volumes réservés, raccord au seed, butin, rencontres et services de campagne restent à terminer.</x:v>
      </x:c>
    </x:row>
    <x:row r="3832" ht="96" customHeight="1">
      <x:c r="A3832" s="115" t="str">
        <x:v>EXT-MONDE-T077-V27</x:v>
      </x:c>
      <x:c r="B3832" s="115" t="str">
        <x:v>EXT-MONDE-T077</x:v>
      </x:c>
      <x:c r="C3832" s="115" t="str">
        <x:v>Îles</x:v>
      </x:c>
      <x:c r="D3832" s="115" t="str">
        <x:v>Îlot de phare</x:v>
      </x:c>
      <x:c r="E3832" s="115" t="n">
        <x:v>27</x:v>
      </x:c>
      <x:c r="F3832" s="115" t="str">
        <x:v>Inspection physique</x:v>
      </x:c>
      <x:c r="G3832" s="115" t="str">
        <x:v>1 niveaux ; 32 pièces ; 248 segments de mur ; 0 transitions. Inspection physique ; architecture complète encore ouverte.</x:v>
      </x:c>
      <x:c r="H3832" s="115" t="str">
        <x:v>L 364 ; l 300 ; hauteur 32 m ; choix de composition auteur ; dimensions réelles à documenter</x:v>
      </x:c>
      <x:c r="I3832" s="115" t="str">
        <x:v>À équilibrer</x:v>
      </x:c>
      <x:c r="J3832" s="115" t="str">
        <x:v>Non</x:v>
      </x:c>
      <x:c r="K3832" s="115" t="str">
        <x:v>Pièces décrites, murs, portes, niveaux et mobilier inspectables à l’échelle. Volumes réservés, raccord au seed, butin, rencontres et services de campagne restent à terminer.</x:v>
      </x:c>
    </x:row>
    <x:row r="3833" ht="96" customHeight="1">
      <x:c r="A3833" s="115" t="str">
        <x:v>EXT-MONDE-T077-V28</x:v>
      </x:c>
      <x:c r="B3833" s="115" t="str">
        <x:v>EXT-MONDE-T077</x:v>
      </x:c>
      <x:c r="C3833" s="115" t="str">
        <x:v>Îles</x:v>
      </x:c>
      <x:c r="D3833" s="115" t="str">
        <x:v>Îlot de phare</x:v>
      </x:c>
      <x:c r="E3833" s="115" t="n">
        <x:v>28</x:v>
      </x:c>
      <x:c r="F3833" s="115" t="str">
        <x:v>Inspection physique</x:v>
      </x:c>
      <x:c r="G3833" s="115" t="str">
        <x:v>1 niveaux ; 32 pièces ; 248 segments de mur ; 0 transitions. Inspection physique ; architecture complète encore ouverte.</x:v>
      </x:c>
      <x:c r="H3833" s="115" t="str">
        <x:v>L 364 ; l 300 ; hauteur 32 m ; choix de composition auteur ; dimensions réelles à documenter</x:v>
      </x:c>
      <x:c r="I3833" s="115" t="str">
        <x:v>À équilibrer</x:v>
      </x:c>
      <x:c r="J3833" s="115" t="str">
        <x:v>Non</x:v>
      </x:c>
      <x:c r="K3833" s="115" t="str">
        <x:v>Pièces décrites, murs, portes, niveaux et mobilier inspectables à l’échelle. Volumes réservés, raccord au seed, butin, rencontres et services de campagne restent à terminer.</x:v>
      </x:c>
    </x:row>
    <x:row r="3834" ht="96" customHeight="1">
      <x:c r="A3834" s="115" t="str">
        <x:v>EXT-MONDE-T077-V29</x:v>
      </x:c>
      <x:c r="B3834" s="115" t="str">
        <x:v>EXT-MONDE-T077</x:v>
      </x:c>
      <x:c r="C3834" s="115" t="str">
        <x:v>Îles</x:v>
      </x:c>
      <x:c r="D3834" s="115" t="str">
        <x:v>Îlot de phare</x:v>
      </x:c>
      <x:c r="E3834" s="115" t="n">
        <x:v>29</x:v>
      </x:c>
      <x:c r="F3834" s="115" t="str">
        <x:v>Inspection physique</x:v>
      </x:c>
      <x:c r="G3834" s="115" t="str">
        <x:v>1 niveaux ; 32 pièces ; 248 segments de mur ; 0 transitions. Inspection physique ; architecture complète encore ouverte.</x:v>
      </x:c>
      <x:c r="H3834" s="115" t="str">
        <x:v>L 364 ; l 300 ; hauteur 32 m ; choix de composition auteur ; dimensions réelles à documenter</x:v>
      </x:c>
      <x:c r="I3834" s="115" t="str">
        <x:v>À équilibrer</x:v>
      </x:c>
      <x:c r="J3834" s="115" t="str">
        <x:v>Non</x:v>
      </x:c>
      <x:c r="K3834" s="115" t="str">
        <x:v>Pièces décrites, murs, portes, niveaux et mobilier inspectables à l’échelle. Volumes réservés, raccord au seed, butin, rencontres et services de campagne restent à terminer.</x:v>
      </x:c>
    </x:row>
    <x:row r="3835" ht="96" customHeight="1">
      <x:c r="A3835" s="115" t="str">
        <x:v>EXT-MONDE-T077-V30</x:v>
      </x:c>
      <x:c r="B3835" s="115" t="str">
        <x:v>EXT-MONDE-T077</x:v>
      </x:c>
      <x:c r="C3835" s="115" t="str">
        <x:v>Îles</x:v>
      </x:c>
      <x:c r="D3835" s="115" t="str">
        <x:v>Îlot de phare</x:v>
      </x:c>
      <x:c r="E3835" s="115" t="n">
        <x:v>30</x:v>
      </x:c>
      <x:c r="F3835" s="115" t="str">
        <x:v>Inspection physique</x:v>
      </x:c>
      <x:c r="G3835" s="115" t="str">
        <x:v>1 niveaux ; 32 pièces ; 248 segments de mur ; 0 transitions. Inspection physique ; architecture complète encore ouverte.</x:v>
      </x:c>
      <x:c r="H3835" s="115" t="str">
        <x:v>L 364 ; l 300 ; hauteur 32 m ; choix de composition auteur ; dimensions réelles à documenter</x:v>
      </x:c>
      <x:c r="I3835" s="115" t="str">
        <x:v>À équilibrer</x:v>
      </x:c>
      <x:c r="J3835" s="115" t="str">
        <x:v>Non</x:v>
      </x:c>
      <x:c r="K3835" s="115" t="str">
        <x:v>Pièces décrites, murs, portes, niveaux et mobilier inspectables à l’échelle. Volumes réservés, raccord au seed, butin, rencontres et services de campagne restent à terminer.</x:v>
      </x:c>
    </x:row>
    <x:row r="3836" ht="96" customHeight="1">
      <x:c r="A3836" s="115" t="str">
        <x:v>EXT-MONDE-T077-V31</x:v>
      </x:c>
      <x:c r="B3836" s="115" t="str">
        <x:v>EXT-MONDE-T077</x:v>
      </x:c>
      <x:c r="C3836" s="115" t="str">
        <x:v>Îles</x:v>
      </x:c>
      <x:c r="D3836" s="115" t="str">
        <x:v>Îlot de phare</x:v>
      </x:c>
      <x:c r="E3836" s="115" t="n">
        <x:v>31</x:v>
      </x:c>
      <x:c r="F3836" s="115" t="str">
        <x:v>Inspection physique</x:v>
      </x:c>
      <x:c r="G3836" s="115" t="str">
        <x:v>1 niveaux ; 32 pièces ; 248 segments de mur ; 0 transitions. Inspection physique ; architecture complète encore ouverte.</x:v>
      </x:c>
      <x:c r="H3836" s="115" t="str">
        <x:v>L 378 ; l 312 ; hauteur 32 m ; choix de composition auteur ; dimensions réelles à documenter</x:v>
      </x:c>
      <x:c r="I3836" s="115" t="str">
        <x:v>À équilibrer</x:v>
      </x:c>
      <x:c r="J3836" s="115" t="str">
        <x:v>Non</x:v>
      </x:c>
      <x:c r="K3836" s="115" t="str">
        <x:v>Pièces décrites, murs, portes, niveaux et mobilier inspectables à l’échelle. Volumes réservés, raccord au seed, butin, rencontres et services de campagne restent à terminer.</x:v>
      </x:c>
    </x:row>
    <x:row r="3837" ht="96" customHeight="1">
      <x:c r="A3837" s="115" t="str">
        <x:v>EXT-MONDE-T077-V32</x:v>
      </x:c>
      <x:c r="B3837" s="115" t="str">
        <x:v>EXT-MONDE-T077</x:v>
      </x:c>
      <x:c r="C3837" s="115" t="str">
        <x:v>Îles</x:v>
      </x:c>
      <x:c r="D3837" s="115" t="str">
        <x:v>Îlot de phare</x:v>
      </x:c>
      <x:c r="E3837" s="115" t="n">
        <x:v>32</x:v>
      </x:c>
      <x:c r="F3837" s="115" t="str">
        <x:v>Inspection physique</x:v>
      </x:c>
      <x:c r="G3837" s="115" t="str">
        <x:v>1 niveaux ; 32 pièces ; 248 segments de mur ; 0 transitions. Inspection physique ; architecture complète encore ouverte.</x:v>
      </x:c>
      <x:c r="H3837" s="115" t="str">
        <x:v>L 378 ; l 312 ; hauteur 32 m ; choix de composition auteur ; dimensions réelles à documenter</x:v>
      </x:c>
      <x:c r="I3837" s="115" t="str">
        <x:v>À équilibrer</x:v>
      </x:c>
      <x:c r="J3837" s="115" t="str">
        <x:v>Non</x:v>
      </x:c>
      <x:c r="K3837" s="115" t="str">
        <x:v>Pièces décrites, murs, portes, niveaux et mobilier inspectables à l’échelle. Volumes réservés, raccord au seed, butin, rencontres et services de campagne restent à terminer.</x:v>
      </x:c>
    </x:row>
    <x:row r="3838" ht="96" customHeight="1">
      <x:c r="A3838" s="115" t="str">
        <x:v>EXT-MONDE-T077-V33</x:v>
      </x:c>
      <x:c r="B3838" s="115" t="str">
        <x:v>EXT-MONDE-T077</x:v>
      </x:c>
      <x:c r="C3838" s="115" t="str">
        <x:v>Îles</x:v>
      </x:c>
      <x:c r="D3838" s="115" t="str">
        <x:v>Îlot de phare</x:v>
      </x:c>
      <x:c r="E3838" s="115" t="n">
        <x:v>33</x:v>
      </x:c>
      <x:c r="F3838" s="115" t="str">
        <x:v>Inspection physique</x:v>
      </x:c>
      <x:c r="G3838" s="115" t="str">
        <x:v>1 niveaux ; 32 pièces ; 248 segments de mur ; 0 transitions. Inspection physique ; architecture complète encore ouverte.</x:v>
      </x:c>
      <x:c r="H3838" s="115" t="str">
        <x:v>L 378 ; l 312 ; hauteur 32 m ; choix de composition auteur ; dimensions réelles à documenter</x:v>
      </x:c>
      <x:c r="I3838" s="115" t="str">
        <x:v>À équilibrer</x:v>
      </x:c>
      <x:c r="J3838" s="115" t="str">
        <x:v>Non</x:v>
      </x:c>
      <x:c r="K3838" s="115" t="str">
        <x:v>Pièces décrites, murs, portes, niveaux et mobilier inspectables à l’échelle. Volumes réservés, raccord au seed, butin, rencontres et services de campagne restent à terminer.</x:v>
      </x:c>
    </x:row>
    <x:row r="3839" ht="96" customHeight="1">
      <x:c r="A3839" s="115" t="str">
        <x:v>EXT-MONDE-T077-V34</x:v>
      </x:c>
      <x:c r="B3839" s="115" t="str">
        <x:v>EXT-MONDE-T077</x:v>
      </x:c>
      <x:c r="C3839" s="115" t="str">
        <x:v>Îles</x:v>
      </x:c>
      <x:c r="D3839" s="115" t="str">
        <x:v>Îlot de phare</x:v>
      </x:c>
      <x:c r="E3839" s="115" t="n">
        <x:v>34</x:v>
      </x:c>
      <x:c r="F3839" s="115" t="str">
        <x:v>Inspection physique</x:v>
      </x:c>
      <x:c r="G3839" s="115" t="str">
        <x:v>1 niveaux ; 32 pièces ; 248 segments de mur ; 0 transitions. Inspection physique ; architecture complète encore ouverte.</x:v>
      </x:c>
      <x:c r="H3839" s="115" t="str">
        <x:v>L 378 ; l 312 ; hauteur 32 m ; choix de composition auteur ; dimensions réelles à documenter</x:v>
      </x:c>
      <x:c r="I3839" s="115" t="str">
        <x:v>À équilibrer</x:v>
      </x:c>
      <x:c r="J3839" s="115" t="str">
        <x:v>Non</x:v>
      </x:c>
      <x:c r="K3839" s="115" t="str">
        <x:v>Pièces décrites, murs, portes, niveaux et mobilier inspectables à l’échelle. Volumes réservés, raccord au seed, butin, rencontres et services de campagne restent à terminer.</x:v>
      </x:c>
    </x:row>
    <x:row r="3840" ht="96" customHeight="1">
      <x:c r="A3840" s="115" t="str">
        <x:v>EXT-MONDE-T077-V35</x:v>
      </x:c>
      <x:c r="B3840" s="115" t="str">
        <x:v>EXT-MONDE-T077</x:v>
      </x:c>
      <x:c r="C3840" s="115" t="str">
        <x:v>Îles</x:v>
      </x:c>
      <x:c r="D3840" s="115" t="str">
        <x:v>Îlot de phare</x:v>
      </x:c>
      <x:c r="E3840" s="115" t="n">
        <x:v>35</x:v>
      </x:c>
      <x:c r="F3840" s="115" t="str">
        <x:v>Inspection physique</x:v>
      </x:c>
      <x:c r="G3840" s="115" t="str">
        <x:v>1 niveaux ; 32 pièces ; 248 segments de mur ; 0 transitions. Inspection physique ; architecture complète encore ouverte.</x:v>
      </x:c>
      <x:c r="H3840" s="115" t="str">
        <x:v>L 378 ; l 312 ; hauteur 32 m ; choix de composition auteur ; dimensions réelles à documenter</x:v>
      </x:c>
      <x:c r="I3840" s="115" t="str">
        <x:v>À équilibrer</x:v>
      </x:c>
      <x:c r="J3840" s="115" t="str">
        <x:v>Non</x:v>
      </x:c>
      <x:c r="K3840" s="115" t="str">
        <x:v>Pièces décrites, murs, portes, niveaux et mobilier inspectables à l’échelle. Volumes réservés, raccord au seed, butin, rencontres et services de campagne restent à terminer.</x:v>
      </x:c>
    </x:row>
    <x:row r="3841" ht="96" customHeight="1">
      <x:c r="A3841" s="115" t="str">
        <x:v>EXT-MONDE-T077-V36</x:v>
      </x:c>
      <x:c r="B3841" s="115" t="str">
        <x:v>EXT-MONDE-T077</x:v>
      </x:c>
      <x:c r="C3841" s="115" t="str">
        <x:v>Îles</x:v>
      </x:c>
      <x:c r="D3841" s="115" t="str">
        <x:v>Îlot de phare</x:v>
      </x:c>
      <x:c r="E3841" s="115" t="n">
        <x:v>36</x:v>
      </x:c>
      <x:c r="F3841" s="115" t="str">
        <x:v>Inspection physique</x:v>
      </x:c>
      <x:c r="G3841" s="115" t="str">
        <x:v>1 niveaux ; 32 pièces ; 248 segments de mur ; 0 transitions. Inspection physique ; architecture complète encore ouverte.</x:v>
      </x:c>
      <x:c r="H3841" s="115" t="str">
        <x:v>L 378 ; l 312 ; hauteur 32 m ; choix de composition auteur ; dimensions réelles à documenter</x:v>
      </x:c>
      <x:c r="I3841" s="115" t="str">
        <x:v>À équilibrer</x:v>
      </x:c>
      <x:c r="J3841" s="115" t="str">
        <x:v>Non</x:v>
      </x:c>
      <x:c r="K3841" s="115" t="str">
        <x:v>Pièces décrites, murs, portes, niveaux et mobilier inspectables à l’échelle. Volumes réservés, raccord au seed, butin, rencontres et services de campagne restent à terminer.</x:v>
      </x:c>
    </x:row>
    <x:row r="3842" ht="96" customHeight="1">
      <x:c r="A3842" s="115" t="str">
        <x:v>EXT-MONDE-T077-V37</x:v>
      </x:c>
      <x:c r="B3842" s="115" t="str">
        <x:v>EXT-MONDE-T077</x:v>
      </x:c>
      <x:c r="C3842" s="115" t="str">
        <x:v>Îles</x:v>
      </x:c>
      <x:c r="D3842" s="115" t="str">
        <x:v>Îlot de phare</x:v>
      </x:c>
      <x:c r="E3842" s="115" t="n">
        <x:v>37</x:v>
      </x:c>
      <x:c r="F3842" s="115" t="str">
        <x:v>Inspection physique</x:v>
      </x:c>
      <x:c r="G3842" s="115" t="str">
        <x:v>1 niveaux ; 32 pièces ; 248 segments de mur ; 0 transitions. Inspection physique ; architecture complète encore ouverte.</x:v>
      </x:c>
      <x:c r="H3842" s="115" t="str">
        <x:v>L 378 ; l 312 ; hauteur 32 m ; choix de composition auteur ; dimensions réelles à documenter</x:v>
      </x:c>
      <x:c r="I3842" s="115" t="str">
        <x:v>À équilibrer</x:v>
      </x:c>
      <x:c r="J3842" s="115" t="str">
        <x:v>Non</x:v>
      </x:c>
      <x:c r="K3842" s="115" t="str">
        <x:v>Pièces décrites, murs, portes, niveaux et mobilier inspectables à l’échelle. Volumes réservés, raccord au seed, butin, rencontres et services de campagne restent à terminer.</x:v>
      </x:c>
    </x:row>
    <x:row r="3843" ht="96" customHeight="1">
      <x:c r="A3843" s="115" t="str">
        <x:v>EXT-MONDE-T077-V38</x:v>
      </x:c>
      <x:c r="B3843" s="115" t="str">
        <x:v>EXT-MONDE-T077</x:v>
      </x:c>
      <x:c r="C3843" s="115" t="str">
        <x:v>Îles</x:v>
      </x:c>
      <x:c r="D3843" s="115" t="str">
        <x:v>Îlot de phare</x:v>
      </x:c>
      <x:c r="E3843" s="115" t="n">
        <x:v>38</x:v>
      </x:c>
      <x:c r="F3843" s="115" t="str">
        <x:v>Inspection physique</x:v>
      </x:c>
      <x:c r="G3843" s="115" t="str">
        <x:v>1 niveaux ; 32 pièces ; 248 segments de mur ; 0 transitions. Inspection physique ; architecture complète encore ouverte.</x:v>
      </x:c>
      <x:c r="H3843" s="115" t="str">
        <x:v>L 378 ; l 312 ; hauteur 32 m ; choix de composition auteur ; dimensions réelles à documenter</x:v>
      </x:c>
      <x:c r="I3843" s="115" t="str">
        <x:v>À équilibrer</x:v>
      </x:c>
      <x:c r="J3843" s="115" t="str">
        <x:v>Non</x:v>
      </x:c>
      <x:c r="K3843" s="115" t="str">
        <x:v>Pièces décrites, murs, portes, niveaux et mobilier inspectables à l’échelle. Volumes réservés, raccord au seed, butin, rencontres et services de campagne restent à terminer.</x:v>
      </x:c>
    </x:row>
    <x:row r="3844" ht="96" customHeight="1">
      <x:c r="A3844" s="115" t="str">
        <x:v>EXT-MONDE-T077-V39</x:v>
      </x:c>
      <x:c r="B3844" s="115" t="str">
        <x:v>EXT-MONDE-T077</x:v>
      </x:c>
      <x:c r="C3844" s="115" t="str">
        <x:v>Îles</x:v>
      </x:c>
      <x:c r="D3844" s="115" t="str">
        <x:v>Îlot de phare</x:v>
      </x:c>
      <x:c r="E3844" s="115" t="n">
        <x:v>39</x:v>
      </x:c>
      <x:c r="F3844" s="115" t="str">
        <x:v>Inspection physique</x:v>
      </x:c>
      <x:c r="G3844" s="115" t="str">
        <x:v>1 niveaux ; 32 pièces ; 248 segments de mur ; 0 transitions. Inspection physique ; architecture complète encore ouverte.</x:v>
      </x:c>
      <x:c r="H3844" s="115" t="str">
        <x:v>L 378 ; l 312 ; hauteur 32 m ; choix de composition auteur ; dimensions réelles à documenter</x:v>
      </x:c>
      <x:c r="I3844" s="115" t="str">
        <x:v>À équilibrer</x:v>
      </x:c>
      <x:c r="J3844" s="115" t="str">
        <x:v>Non</x:v>
      </x:c>
      <x:c r="K3844" s="115" t="str">
        <x:v>Pièces décrites, murs, portes, niveaux et mobilier inspectables à l’échelle. Volumes réservés, raccord au seed, butin, rencontres et services de campagne restent à terminer.</x:v>
      </x:c>
    </x:row>
    <x:row r="3845" ht="96" customHeight="1">
      <x:c r="A3845" s="115" t="str">
        <x:v>EXT-MONDE-T077-V40</x:v>
      </x:c>
      <x:c r="B3845" s="115" t="str">
        <x:v>EXT-MONDE-T077</x:v>
      </x:c>
      <x:c r="C3845" s="115" t="str">
        <x:v>Îles</x:v>
      </x:c>
      <x:c r="D3845" s="115" t="str">
        <x:v>Îlot de phare</x:v>
      </x:c>
      <x:c r="E3845" s="115" t="n">
        <x:v>40</x:v>
      </x:c>
      <x:c r="F3845" s="115" t="str">
        <x:v>Inspection physique</x:v>
      </x:c>
      <x:c r="G3845" s="115" t="str">
        <x:v>1 niveaux ; 32 pièces ; 248 segments de mur ; 0 transitions. Inspection physique ; architecture complète encore ouverte.</x:v>
      </x:c>
      <x:c r="H3845" s="115" t="str">
        <x:v>L 378 ; l 312 ; hauteur 32 m ; choix de composition auteur ; dimensions réelles à documenter</x:v>
      </x:c>
      <x:c r="I3845" s="115" t="str">
        <x:v>À équilibrer</x:v>
      </x:c>
      <x:c r="J3845" s="115" t="str">
        <x:v>Non</x:v>
      </x:c>
      <x:c r="K3845" s="115" t="str">
        <x:v>Pièces décrites, murs, portes, niveaux et mobilier inspectables à l’échelle. Volumes réservés, raccord au seed, butin, rencontres et services de campagne restent à terminer.</x:v>
      </x:c>
    </x:row>
    <x:row r="3846" ht="96" customHeight="1">
      <x:c r="A3846" s="115" t="str">
        <x:v>EXT-MONDE-T077-V41</x:v>
      </x:c>
      <x:c r="B3846" s="115" t="str">
        <x:v>EXT-MONDE-T077</x:v>
      </x:c>
      <x:c r="C3846" s="115" t="str">
        <x:v>Îles</x:v>
      </x:c>
      <x:c r="D3846" s="115" t="str">
        <x:v>Îlot de phare</x:v>
      </x:c>
      <x:c r="E3846" s="115" t="n">
        <x:v>41</x:v>
      </x:c>
      <x:c r="F3846" s="115" t="str">
        <x:v>Inspection physique</x:v>
      </x:c>
      <x:c r="G3846" s="115" t="str">
        <x:v>1 niveaux ; 32 pièces ; 248 segments de mur ; 0 transitions. Inspection physique ; architecture complète encore ouverte.</x:v>
      </x:c>
      <x:c r="H3846" s="115" t="str">
        <x:v>L 392 ; l 324 ; hauteur 32 m ; choix de composition auteur ; dimensions réelles à documenter</x:v>
      </x:c>
      <x:c r="I3846" s="115" t="str">
        <x:v>À équilibrer</x:v>
      </x:c>
      <x:c r="J3846" s="115" t="str">
        <x:v>Non</x:v>
      </x:c>
      <x:c r="K3846" s="115" t="str">
        <x:v>Pièces décrites, murs, portes, niveaux et mobilier inspectables à l’échelle. Volumes réservés, raccord au seed, butin, rencontres et services de campagne restent à terminer.</x:v>
      </x:c>
    </x:row>
    <x:row r="3847" ht="96" customHeight="1">
      <x:c r="A3847" s="115" t="str">
        <x:v>EXT-MONDE-T077-V42</x:v>
      </x:c>
      <x:c r="B3847" s="115" t="str">
        <x:v>EXT-MONDE-T077</x:v>
      </x:c>
      <x:c r="C3847" s="115" t="str">
        <x:v>Îles</x:v>
      </x:c>
      <x:c r="D3847" s="115" t="str">
        <x:v>Îlot de phare</x:v>
      </x:c>
      <x:c r="E3847" s="115" t="n">
        <x:v>42</x:v>
      </x:c>
      <x:c r="F3847" s="115" t="str">
        <x:v>Inspection physique</x:v>
      </x:c>
      <x:c r="G3847" s="115" t="str">
        <x:v>1 niveaux ; 32 pièces ; 248 segments de mur ; 0 transitions. Inspection physique ; architecture complète encore ouverte.</x:v>
      </x:c>
      <x:c r="H3847" s="115" t="str">
        <x:v>L 392 ; l 324 ; hauteur 32 m ; choix de composition auteur ; dimensions réelles à documenter</x:v>
      </x:c>
      <x:c r="I3847" s="115" t="str">
        <x:v>À équilibrer</x:v>
      </x:c>
      <x:c r="J3847" s="115" t="str">
        <x:v>Non</x:v>
      </x:c>
      <x:c r="K3847" s="115" t="str">
        <x:v>Pièces décrites, murs, portes, niveaux et mobilier inspectables à l’échelle. Volumes réservés, raccord au seed, butin, rencontres et services de campagne restent à terminer.</x:v>
      </x:c>
    </x:row>
    <x:row r="3848" ht="96" customHeight="1">
      <x:c r="A3848" s="115" t="str">
        <x:v>EXT-MONDE-T077-V43</x:v>
      </x:c>
      <x:c r="B3848" s="115" t="str">
        <x:v>EXT-MONDE-T077</x:v>
      </x:c>
      <x:c r="C3848" s="115" t="str">
        <x:v>Îles</x:v>
      </x:c>
      <x:c r="D3848" s="115" t="str">
        <x:v>Îlot de phare</x:v>
      </x:c>
      <x:c r="E3848" s="115" t="n">
        <x:v>43</x:v>
      </x:c>
      <x:c r="F3848" s="115" t="str">
        <x:v>Inspection physique</x:v>
      </x:c>
      <x:c r="G3848" s="115" t="str">
        <x:v>1 niveaux ; 32 pièces ; 248 segments de mur ; 0 transitions. Inspection physique ; architecture complète encore ouverte.</x:v>
      </x:c>
      <x:c r="H3848" s="115" t="str">
        <x:v>L 392 ; l 324 ; hauteur 32 m ; choix de composition auteur ; dimensions réelles à documenter</x:v>
      </x:c>
      <x:c r="I3848" s="115" t="str">
        <x:v>À équilibrer</x:v>
      </x:c>
      <x:c r="J3848" s="115" t="str">
        <x:v>Non</x:v>
      </x:c>
      <x:c r="K3848" s="115" t="str">
        <x:v>Pièces décrites, murs, portes, niveaux et mobilier inspectables à l’échelle. Volumes réservés, raccord au seed, butin, rencontres et services de campagne restent à terminer.</x:v>
      </x:c>
    </x:row>
    <x:row r="3849" ht="96" customHeight="1">
      <x:c r="A3849" s="115" t="str">
        <x:v>EXT-MONDE-T077-V44</x:v>
      </x:c>
      <x:c r="B3849" s="115" t="str">
        <x:v>EXT-MONDE-T077</x:v>
      </x:c>
      <x:c r="C3849" s="115" t="str">
        <x:v>Îles</x:v>
      </x:c>
      <x:c r="D3849" s="115" t="str">
        <x:v>Îlot de phare</x:v>
      </x:c>
      <x:c r="E3849" s="115" t="n">
        <x:v>44</x:v>
      </x:c>
      <x:c r="F3849" s="115" t="str">
        <x:v>Inspection physique</x:v>
      </x:c>
      <x:c r="G3849" s="115" t="str">
        <x:v>1 niveaux ; 32 pièces ; 248 segments de mur ; 0 transitions. Inspection physique ; architecture complète encore ouverte.</x:v>
      </x:c>
      <x:c r="H3849" s="115" t="str">
        <x:v>L 392 ; l 324 ; hauteur 32 m ; choix de composition auteur ; dimensions réelles à documenter</x:v>
      </x:c>
      <x:c r="I3849" s="115" t="str">
        <x:v>À équilibrer</x:v>
      </x:c>
      <x:c r="J3849" s="115" t="str">
        <x:v>Non</x:v>
      </x:c>
      <x:c r="K3849" s="115" t="str">
        <x:v>Pièces décrites, murs, portes, niveaux et mobilier inspectables à l’échelle. Volumes réservés, raccord au seed, butin, rencontres et services de campagne restent à terminer.</x:v>
      </x:c>
    </x:row>
    <x:row r="3850" ht="96" customHeight="1">
      <x:c r="A3850" s="115" t="str">
        <x:v>EXT-MONDE-T077-V45</x:v>
      </x:c>
      <x:c r="B3850" s="115" t="str">
        <x:v>EXT-MONDE-T077</x:v>
      </x:c>
      <x:c r="C3850" s="115" t="str">
        <x:v>Îles</x:v>
      </x:c>
      <x:c r="D3850" s="115" t="str">
        <x:v>Îlot de phare</x:v>
      </x:c>
      <x:c r="E3850" s="115" t="n">
        <x:v>45</x:v>
      </x:c>
      <x:c r="F3850" s="115" t="str">
        <x:v>Inspection physique</x:v>
      </x:c>
      <x:c r="G3850" s="115" t="str">
        <x:v>1 niveaux ; 32 pièces ; 248 segments de mur ; 0 transitions. Inspection physique ; architecture complète encore ouverte.</x:v>
      </x:c>
      <x:c r="H3850" s="115" t="str">
        <x:v>L 392 ; l 324 ; hauteur 32 m ; choix de composition auteur ; dimensions réelles à documenter</x:v>
      </x:c>
      <x:c r="I3850" s="115" t="str">
        <x:v>À équilibrer</x:v>
      </x:c>
      <x:c r="J3850" s="115" t="str">
        <x:v>Non</x:v>
      </x:c>
      <x:c r="K3850" s="115" t="str">
        <x:v>Pièces décrites, murs, portes, niveaux et mobilier inspectables à l’échelle. Volumes réservés, raccord au seed, butin, rencontres et services de campagne restent à terminer.</x:v>
      </x:c>
    </x:row>
    <x:row r="3851" ht="96" customHeight="1">
      <x:c r="A3851" s="115" t="str">
        <x:v>EXT-MONDE-T077-V46</x:v>
      </x:c>
      <x:c r="B3851" s="115" t="str">
        <x:v>EXT-MONDE-T077</x:v>
      </x:c>
      <x:c r="C3851" s="115" t="str">
        <x:v>Îles</x:v>
      </x:c>
      <x:c r="D3851" s="115" t="str">
        <x:v>Îlot de phare</x:v>
      </x:c>
      <x:c r="E3851" s="115" t="n">
        <x:v>46</x:v>
      </x:c>
      <x:c r="F3851" s="115" t="str">
        <x:v>Inspection physique</x:v>
      </x:c>
      <x:c r="G3851" s="115" t="str">
        <x:v>1 niveaux ; 32 pièces ; 248 segments de mur ; 0 transitions. Inspection physique ; architecture complète encore ouverte.</x:v>
      </x:c>
      <x:c r="H3851" s="115" t="str">
        <x:v>L 392 ; l 324 ; hauteur 32 m ; choix de composition auteur ; dimensions réelles à documenter</x:v>
      </x:c>
      <x:c r="I3851" s="115" t="str">
        <x:v>À équilibrer</x:v>
      </x:c>
      <x:c r="J3851" s="115" t="str">
        <x:v>Non</x:v>
      </x:c>
      <x:c r="K3851" s="115" t="str">
        <x:v>Pièces décrites, murs, portes, niveaux et mobilier inspectables à l’échelle. Volumes réservés, raccord au seed, butin, rencontres et services de campagne restent à terminer.</x:v>
      </x:c>
    </x:row>
    <x:row r="3852" ht="96" customHeight="1">
      <x:c r="A3852" s="115" t="str">
        <x:v>EXT-MONDE-T077-V47</x:v>
      </x:c>
      <x:c r="B3852" s="115" t="str">
        <x:v>EXT-MONDE-T077</x:v>
      </x:c>
      <x:c r="C3852" s="115" t="str">
        <x:v>Îles</x:v>
      </x:c>
      <x:c r="D3852" s="115" t="str">
        <x:v>Îlot de phare</x:v>
      </x:c>
      <x:c r="E3852" s="115" t="n">
        <x:v>47</x:v>
      </x:c>
      <x:c r="F3852" s="115" t="str">
        <x:v>Inspection physique</x:v>
      </x:c>
      <x:c r="G3852" s="115" t="str">
        <x:v>1 niveaux ; 32 pièces ; 248 segments de mur ; 0 transitions. Inspection physique ; architecture complète encore ouverte.</x:v>
      </x:c>
      <x:c r="H3852" s="115" t="str">
        <x:v>L 392 ; l 324 ; hauteur 32 m ; choix de composition auteur ; dimensions réelles à documenter</x:v>
      </x:c>
      <x:c r="I3852" s="115" t="str">
        <x:v>À équilibrer</x:v>
      </x:c>
      <x:c r="J3852" s="115" t="str">
        <x:v>Non</x:v>
      </x:c>
      <x:c r="K3852" s="115" t="str">
        <x:v>Pièces décrites, murs, portes, niveaux et mobilier inspectables à l’échelle. Volumes réservés, raccord au seed, butin, rencontres et services de campagne restent à terminer.</x:v>
      </x:c>
    </x:row>
    <x:row r="3853" ht="96" customHeight="1">
      <x:c r="A3853" s="115" t="str">
        <x:v>EXT-MONDE-T077-V48</x:v>
      </x:c>
      <x:c r="B3853" s="115" t="str">
        <x:v>EXT-MONDE-T077</x:v>
      </x:c>
      <x:c r="C3853" s="115" t="str">
        <x:v>Îles</x:v>
      </x:c>
      <x:c r="D3853" s="115" t="str">
        <x:v>Îlot de phare</x:v>
      </x:c>
      <x:c r="E3853" s="115" t="n">
        <x:v>48</x:v>
      </x:c>
      <x:c r="F3853" s="115" t="str">
        <x:v>Inspection physique</x:v>
      </x:c>
      <x:c r="G3853" s="115" t="str">
        <x:v>1 niveaux ; 32 pièces ; 248 segments de mur ; 0 transitions. Inspection physique ; architecture complète encore ouverte.</x:v>
      </x:c>
      <x:c r="H3853" s="115" t="str">
        <x:v>L 392 ; l 324 ; hauteur 32 m ; choix de composition auteur ; dimensions réelles à documenter</x:v>
      </x:c>
      <x:c r="I3853" s="115" t="str">
        <x:v>À équilibrer</x:v>
      </x:c>
      <x:c r="J3853" s="115" t="str">
        <x:v>Non</x:v>
      </x:c>
      <x:c r="K3853" s="115" t="str">
        <x:v>Pièces décrites, murs, portes, niveaux et mobilier inspectables à l’échelle. Volumes réservés, raccord au seed, butin, rencontres et services de campagne restent à terminer.</x:v>
      </x:c>
    </x:row>
    <x:row r="3854" ht="96" customHeight="1">
      <x:c r="A3854" s="115" t="str">
        <x:v>EXT-MONDE-T077-V49</x:v>
      </x:c>
      <x:c r="B3854" s="115" t="str">
        <x:v>EXT-MONDE-T077</x:v>
      </x:c>
      <x:c r="C3854" s="115" t="str">
        <x:v>Îles</x:v>
      </x:c>
      <x:c r="D3854" s="115" t="str">
        <x:v>Îlot de phare</x:v>
      </x:c>
      <x:c r="E3854" s="115" t="n">
        <x:v>49</x:v>
      </x:c>
      <x:c r="F3854" s="115" t="str">
        <x:v>Inspection physique</x:v>
      </x:c>
      <x:c r="G3854" s="115" t="str">
        <x:v>1 niveaux ; 32 pièces ; 248 segments de mur ; 0 transitions. Inspection physique ; architecture complète encore ouverte.</x:v>
      </x:c>
      <x:c r="H3854" s="115" t="str">
        <x:v>L 392 ; l 324 ; hauteur 32 m ; choix de composition auteur ; dimensions réelles à documenter</x:v>
      </x:c>
      <x:c r="I3854" s="115" t="str">
        <x:v>À équilibrer</x:v>
      </x:c>
      <x:c r="J3854" s="115" t="str">
        <x:v>Non</x:v>
      </x:c>
      <x:c r="K3854" s="115" t="str">
        <x:v>Pièces décrites, murs, portes, niveaux et mobilier inspectables à l’échelle. Volumes réservés, raccord au seed, butin, rencontres et services de campagne restent à terminer.</x:v>
      </x:c>
    </x:row>
    <x:row r="3855" ht="96" customHeight="1">
      <x:c r="A3855" s="115" t="str">
        <x:v>EXT-MONDE-T077-V50</x:v>
      </x:c>
      <x:c r="B3855" s="115" t="str">
        <x:v>EXT-MONDE-T077</x:v>
      </x:c>
      <x:c r="C3855" s="115" t="str">
        <x:v>Îles</x:v>
      </x:c>
      <x:c r="D3855" s="115" t="str">
        <x:v>Îlot de phare</x:v>
      </x:c>
      <x:c r="E3855" s="115" t="n">
        <x:v>50</x:v>
      </x:c>
      <x:c r="F3855" s="115" t="str">
        <x:v>Inspection physique</x:v>
      </x:c>
      <x:c r="G3855" s="115" t="str">
        <x:v>1 niveaux ; 32 pièces ; 248 segments de mur ; 0 transitions. Inspection physique ; architecture complète encore ouverte.</x:v>
      </x:c>
      <x:c r="H3855" s="115" t="str">
        <x:v>L 392 ; l 324 ; hauteur 32 m ; choix de composition auteur ; dimensions réelles à documenter</x:v>
      </x:c>
      <x:c r="I3855" s="115" t="str">
        <x:v>À équilibrer</x:v>
      </x:c>
      <x:c r="J3855" s="115" t="str">
        <x:v>Non</x:v>
      </x:c>
      <x:c r="K3855" s="115" t="str">
        <x:v>Pièces décrites, murs, portes, niveaux et mobilier inspectables à l’échelle. Volumes réservés, raccord au seed, butin, rencontres et services de campagne restent à terminer.</x:v>
      </x:c>
    </x:row>
    <x:row r="3856" ht="96" customHeight="1">
      <x:c r="A3856" s="115" t="str">
        <x:v>EXT-MONDE-T078-V01</x:v>
      </x:c>
      <x:c r="B3856" s="115" t="str">
        <x:v>EXT-MONDE-T078</x:v>
      </x:c>
      <x:c r="C3856" s="115" t="str">
        <x:v>Îles</x:v>
      </x:c>
      <x:c r="D3856" s="115" t="str">
        <x:v>Île agricole habitée</x:v>
      </x:c>
      <x:c r="E3856" s="115" t="n">
        <x:v>1</x:v>
      </x:c>
      <x:c r="F3856" s="115" t="str">
        <x:v>Inspection physique</x:v>
      </x:c>
      <x:c r="G3856" s="115" t="str">
        <x:v>1 niveaux ; 32 pièces ; 248 segments de mur ; 0 transitions. Inspection physique ; architecture complète encore ouverte.</x:v>
      </x:c>
      <x:c r="H3856" s="115" t="str">
        <x:v>L 576 ; l 556 ; hauteur 14 m ; choix de composition auteur ; dimensions réelles à documenter</x:v>
      </x:c>
      <x:c r="I3856" s="115" t="str">
        <x:v>À équilibrer</x:v>
      </x:c>
      <x:c r="J3856" s="115" t="str">
        <x:v>Non</x:v>
      </x:c>
      <x:c r="K3856" s="115" t="str">
        <x:v>Pièces décrites, murs, portes, niveaux et mobilier inspectables à l’échelle. Volumes réservés, raccord au seed, butin, rencontres et services de campagne restent à terminer.</x:v>
      </x:c>
    </x:row>
    <x:row r="3857" ht="96" customHeight="1">
      <x:c r="A3857" s="115" t="str">
        <x:v>EXT-MONDE-T078-V02</x:v>
      </x:c>
      <x:c r="B3857" s="115" t="str">
        <x:v>EXT-MONDE-T078</x:v>
      </x:c>
      <x:c r="C3857" s="115" t="str">
        <x:v>Îles</x:v>
      </x:c>
      <x:c r="D3857" s="115" t="str">
        <x:v>Île agricole habitée</x:v>
      </x:c>
      <x:c r="E3857" s="115" t="n">
        <x:v>2</x:v>
      </x:c>
      <x:c r="F3857" s="115" t="str">
        <x:v>Inspection physique</x:v>
      </x:c>
      <x:c r="G3857" s="115" t="str">
        <x:v>1 niveaux ; 32 pièces ; 248 segments de mur ; 0 transitions. Inspection physique ; architecture complète encore ouverte.</x:v>
      </x:c>
      <x:c r="H3857" s="115" t="str">
        <x:v>L 576 ; l 556 ; hauteur 14 m ; choix de composition auteur ; dimensions réelles à documenter</x:v>
      </x:c>
      <x:c r="I3857" s="115" t="str">
        <x:v>À équilibrer</x:v>
      </x:c>
      <x:c r="J3857" s="115" t="str">
        <x:v>Non</x:v>
      </x:c>
      <x:c r="K3857" s="115" t="str">
        <x:v>Pièces décrites, murs, portes, niveaux et mobilier inspectables à l’échelle. Volumes réservés, raccord au seed, butin, rencontres et services de campagne restent à terminer.</x:v>
      </x:c>
    </x:row>
    <x:row r="3858" ht="96" customHeight="1">
      <x:c r="A3858" s="115" t="str">
        <x:v>EXT-MONDE-T078-V03</x:v>
      </x:c>
      <x:c r="B3858" s="115" t="str">
        <x:v>EXT-MONDE-T078</x:v>
      </x:c>
      <x:c r="C3858" s="115" t="str">
        <x:v>Îles</x:v>
      </x:c>
      <x:c r="D3858" s="115" t="str">
        <x:v>Île agricole habitée</x:v>
      </x:c>
      <x:c r="E3858" s="115" t="n">
        <x:v>3</x:v>
      </x:c>
      <x:c r="F3858" s="115" t="str">
        <x:v>Inspection physique</x:v>
      </x:c>
      <x:c r="G3858" s="115" t="str">
        <x:v>1 niveaux ; 32 pièces ; 248 segments de mur ; 0 transitions. Inspection physique ; architecture complète encore ouverte.</x:v>
      </x:c>
      <x:c r="H3858" s="115" t="str">
        <x:v>L 576 ; l 556 ; hauteur 14 m ; choix de composition auteur ; dimensions réelles à documenter</x:v>
      </x:c>
      <x:c r="I3858" s="115" t="str">
        <x:v>À équilibrer</x:v>
      </x:c>
      <x:c r="J3858" s="115" t="str">
        <x:v>Non</x:v>
      </x:c>
      <x:c r="K3858" s="115" t="str">
        <x:v>Pièces décrites, murs, portes, niveaux et mobilier inspectables à l’échelle. Volumes réservés, raccord au seed, butin, rencontres et services de campagne restent à terminer.</x:v>
      </x:c>
    </x:row>
    <x:row r="3859" ht="96" customHeight="1">
      <x:c r="A3859" s="115" t="str">
        <x:v>EXT-MONDE-T078-V04</x:v>
      </x:c>
      <x:c r="B3859" s="115" t="str">
        <x:v>EXT-MONDE-T078</x:v>
      </x:c>
      <x:c r="C3859" s="115" t="str">
        <x:v>Îles</x:v>
      </x:c>
      <x:c r="D3859" s="115" t="str">
        <x:v>Île agricole habitée</x:v>
      </x:c>
      <x:c r="E3859" s="115" t="n">
        <x:v>4</x:v>
      </x:c>
      <x:c r="F3859" s="115" t="str">
        <x:v>Inspection physique</x:v>
      </x:c>
      <x:c r="G3859" s="115" t="str">
        <x:v>1 niveaux ; 32 pièces ; 248 segments de mur ; 0 transitions. Inspection physique ; architecture complète encore ouverte.</x:v>
      </x:c>
      <x:c r="H3859" s="115" t="str">
        <x:v>L 576 ; l 556 ; hauteur 14 m ; choix de composition auteur ; dimensions réelles à documenter</x:v>
      </x:c>
      <x:c r="I3859" s="115" t="str">
        <x:v>À équilibrer</x:v>
      </x:c>
      <x:c r="J3859" s="115" t="str">
        <x:v>Non</x:v>
      </x:c>
      <x:c r="K3859" s="115" t="str">
        <x:v>Pièces décrites, murs, portes, niveaux et mobilier inspectables à l’échelle. Volumes réservés, raccord au seed, butin, rencontres et services de campagne restent à terminer.</x:v>
      </x:c>
    </x:row>
    <x:row r="3860" ht="96" customHeight="1">
      <x:c r="A3860" s="115" t="str">
        <x:v>EXT-MONDE-T078-V05</x:v>
      </x:c>
      <x:c r="B3860" s="115" t="str">
        <x:v>EXT-MONDE-T078</x:v>
      </x:c>
      <x:c r="C3860" s="115" t="str">
        <x:v>Îles</x:v>
      </x:c>
      <x:c r="D3860" s="115" t="str">
        <x:v>Île agricole habitée</x:v>
      </x:c>
      <x:c r="E3860" s="115" t="n">
        <x:v>5</x:v>
      </x:c>
      <x:c r="F3860" s="115" t="str">
        <x:v>Inspection physique</x:v>
      </x:c>
      <x:c r="G3860" s="115" t="str">
        <x:v>1 niveaux ; 32 pièces ; 248 segments de mur ; 0 transitions. Inspection physique ; architecture complète encore ouverte.</x:v>
      </x:c>
      <x:c r="H3860" s="115" t="str">
        <x:v>L 576 ; l 556 ; hauteur 14 m ; choix de composition auteur ; dimensions réelles à documenter</x:v>
      </x:c>
      <x:c r="I3860" s="115" t="str">
        <x:v>À équilibrer</x:v>
      </x:c>
      <x:c r="J3860" s="115" t="str">
        <x:v>Non</x:v>
      </x:c>
      <x:c r="K3860" s="115" t="str">
        <x:v>Pièces décrites, murs, portes, niveaux et mobilier inspectables à l’échelle. Volumes réservés, raccord au seed, butin, rencontres et services de campagne restent à terminer.</x:v>
      </x:c>
    </x:row>
    <x:row r="3861" ht="96" customHeight="1">
      <x:c r="A3861" s="115" t="str">
        <x:v>EXT-MONDE-T078-V06</x:v>
      </x:c>
      <x:c r="B3861" s="115" t="str">
        <x:v>EXT-MONDE-T078</x:v>
      </x:c>
      <x:c r="C3861" s="115" t="str">
        <x:v>Îles</x:v>
      </x:c>
      <x:c r="D3861" s="115" t="str">
        <x:v>Île agricole habitée</x:v>
      </x:c>
      <x:c r="E3861" s="115" t="n">
        <x:v>6</x:v>
      </x:c>
      <x:c r="F3861" s="115" t="str">
        <x:v>Inspection physique</x:v>
      </x:c>
      <x:c r="G3861" s="115" t="str">
        <x:v>1 niveaux ; 32 pièces ; 248 segments de mur ; 0 transitions. Inspection physique ; architecture complète encore ouverte.</x:v>
      </x:c>
      <x:c r="H3861" s="115" t="str">
        <x:v>L 576 ; l 556 ; hauteur 14 m ; choix de composition auteur ; dimensions réelles à documenter</x:v>
      </x:c>
      <x:c r="I3861" s="115" t="str">
        <x:v>À équilibrer</x:v>
      </x:c>
      <x:c r="J3861" s="115" t="str">
        <x:v>Non</x:v>
      </x:c>
      <x:c r="K3861" s="115" t="str">
        <x:v>Pièces décrites, murs, portes, niveaux et mobilier inspectables à l’échelle. Volumes réservés, raccord au seed, butin, rencontres et services de campagne restent à terminer.</x:v>
      </x:c>
    </x:row>
    <x:row r="3862" ht="96" customHeight="1">
      <x:c r="A3862" s="115" t="str">
        <x:v>EXT-MONDE-T078-V07</x:v>
      </x:c>
      <x:c r="B3862" s="115" t="str">
        <x:v>EXT-MONDE-T078</x:v>
      </x:c>
      <x:c r="C3862" s="115" t="str">
        <x:v>Îles</x:v>
      </x:c>
      <x:c r="D3862" s="115" t="str">
        <x:v>Île agricole habitée</x:v>
      </x:c>
      <x:c r="E3862" s="115" t="n">
        <x:v>7</x:v>
      </x:c>
      <x:c r="F3862" s="115" t="str">
        <x:v>Inspection physique</x:v>
      </x:c>
      <x:c r="G3862" s="115" t="str">
        <x:v>1 niveaux ; 32 pièces ; 248 segments de mur ; 0 transitions. Inspection physique ; architecture complète encore ouverte.</x:v>
      </x:c>
      <x:c r="H3862" s="115" t="str">
        <x:v>L 576 ; l 556 ; hauteur 14 m ; choix de composition auteur ; dimensions réelles à documenter</x:v>
      </x:c>
      <x:c r="I3862" s="115" t="str">
        <x:v>À équilibrer</x:v>
      </x:c>
      <x:c r="J3862" s="115" t="str">
        <x:v>Non</x:v>
      </x:c>
      <x:c r="K3862" s="115" t="str">
        <x:v>Pièces décrites, murs, portes, niveaux et mobilier inspectables à l’échelle. Volumes réservés, raccord au seed, butin, rencontres et services de campagne restent à terminer.</x:v>
      </x:c>
    </x:row>
    <x:row r="3863" ht="96" customHeight="1">
      <x:c r="A3863" s="115" t="str">
        <x:v>EXT-MONDE-T078-V08</x:v>
      </x:c>
      <x:c r="B3863" s="115" t="str">
        <x:v>EXT-MONDE-T078</x:v>
      </x:c>
      <x:c r="C3863" s="115" t="str">
        <x:v>Îles</x:v>
      </x:c>
      <x:c r="D3863" s="115" t="str">
        <x:v>Île agricole habitée</x:v>
      </x:c>
      <x:c r="E3863" s="115" t="n">
        <x:v>8</x:v>
      </x:c>
      <x:c r="F3863" s="115" t="str">
        <x:v>Inspection physique</x:v>
      </x:c>
      <x:c r="G3863" s="115" t="str">
        <x:v>1 niveaux ; 32 pièces ; 248 segments de mur ; 0 transitions. Inspection physique ; architecture complète encore ouverte.</x:v>
      </x:c>
      <x:c r="H3863" s="115" t="str">
        <x:v>L 576 ; l 556 ; hauteur 14 m ; choix de composition auteur ; dimensions réelles à documenter</x:v>
      </x:c>
      <x:c r="I3863" s="115" t="str">
        <x:v>À équilibrer</x:v>
      </x:c>
      <x:c r="J3863" s="115" t="str">
        <x:v>Non</x:v>
      </x:c>
      <x:c r="K3863" s="115" t="str">
        <x:v>Pièces décrites, murs, portes, niveaux et mobilier inspectables à l’échelle. Volumes réservés, raccord au seed, butin, rencontres et services de campagne restent à terminer.</x:v>
      </x:c>
    </x:row>
    <x:row r="3864" ht="96" customHeight="1">
      <x:c r="A3864" s="115" t="str">
        <x:v>EXT-MONDE-T078-V09</x:v>
      </x:c>
      <x:c r="B3864" s="115" t="str">
        <x:v>EXT-MONDE-T078</x:v>
      </x:c>
      <x:c r="C3864" s="115" t="str">
        <x:v>Îles</x:v>
      </x:c>
      <x:c r="D3864" s="115" t="str">
        <x:v>Île agricole habitée</x:v>
      </x:c>
      <x:c r="E3864" s="115" t="n">
        <x:v>9</x:v>
      </x:c>
      <x:c r="F3864" s="115" t="str">
        <x:v>Inspection physique</x:v>
      </x:c>
      <x:c r="G3864" s="115" t="str">
        <x:v>1 niveaux ; 32 pièces ; 248 segments de mur ; 0 transitions. Inspection physique ; architecture complète encore ouverte.</x:v>
      </x:c>
      <x:c r="H3864" s="115" t="str">
        <x:v>L 576 ; l 556 ; hauteur 14 m ; choix de composition auteur ; dimensions réelles à documenter</x:v>
      </x:c>
      <x:c r="I3864" s="115" t="str">
        <x:v>À équilibrer</x:v>
      </x:c>
      <x:c r="J3864" s="115" t="str">
        <x:v>Non</x:v>
      </x:c>
      <x:c r="K3864" s="115" t="str">
        <x:v>Pièces décrites, murs, portes, niveaux et mobilier inspectables à l’échelle. Volumes réservés, raccord au seed, butin, rencontres et services de campagne restent à terminer.</x:v>
      </x:c>
    </x:row>
    <x:row r="3865" ht="96" customHeight="1">
      <x:c r="A3865" s="115" t="str">
        <x:v>EXT-MONDE-T078-V10</x:v>
      </x:c>
      <x:c r="B3865" s="115" t="str">
        <x:v>EXT-MONDE-T078</x:v>
      </x:c>
      <x:c r="C3865" s="115" t="str">
        <x:v>Îles</x:v>
      </x:c>
      <x:c r="D3865" s="115" t="str">
        <x:v>Île agricole habitée</x:v>
      </x:c>
      <x:c r="E3865" s="115" t="n">
        <x:v>10</x:v>
      </x:c>
      <x:c r="F3865" s="115" t="str">
        <x:v>Inspection physique</x:v>
      </x:c>
      <x:c r="G3865" s="115" t="str">
        <x:v>1 niveaux ; 32 pièces ; 248 segments de mur ; 0 transitions. Inspection physique ; architecture complète encore ouverte.</x:v>
      </x:c>
      <x:c r="H3865" s="115" t="str">
        <x:v>L 576 ; l 556 ; hauteur 14 m ; choix de composition auteur ; dimensions réelles à documenter</x:v>
      </x:c>
      <x:c r="I3865" s="115" t="str">
        <x:v>À équilibrer</x:v>
      </x:c>
      <x:c r="J3865" s="115" t="str">
        <x:v>Non</x:v>
      </x:c>
      <x:c r="K3865" s="115" t="str">
        <x:v>Pièces décrites, murs, portes, niveaux et mobilier inspectables à l’échelle. Volumes réservés, raccord au seed, butin, rencontres et services de campagne restent à terminer.</x:v>
      </x:c>
    </x:row>
    <x:row r="3866" ht="96" customHeight="1">
      <x:c r="A3866" s="115" t="str">
        <x:v>EXT-MONDE-T078-V11</x:v>
      </x:c>
      <x:c r="B3866" s="115" t="str">
        <x:v>EXT-MONDE-T078</x:v>
      </x:c>
      <x:c r="C3866" s="115" t="str">
        <x:v>Îles</x:v>
      </x:c>
      <x:c r="D3866" s="115" t="str">
        <x:v>Île agricole habitée</x:v>
      </x:c>
      <x:c r="E3866" s="115" t="n">
        <x:v>11</x:v>
      </x:c>
      <x:c r="F3866" s="115" t="str">
        <x:v>Inspection physique</x:v>
      </x:c>
      <x:c r="G3866" s="115" t="str">
        <x:v>1 niveaux ; 32 pièces ; 248 segments de mur ; 0 transitions. Inspection physique ; architecture complète encore ouverte.</x:v>
      </x:c>
      <x:c r="H3866" s="115" t="str">
        <x:v>L 590 ; l 568 ; hauteur 14 m ; choix de composition auteur ; dimensions réelles à documenter</x:v>
      </x:c>
      <x:c r="I3866" s="115" t="str">
        <x:v>À équilibrer</x:v>
      </x:c>
      <x:c r="J3866" s="115" t="str">
        <x:v>Non</x:v>
      </x:c>
      <x:c r="K3866" s="115" t="str">
        <x:v>Pièces décrites, murs, portes, niveaux et mobilier inspectables à l’échelle. Volumes réservés, raccord au seed, butin, rencontres et services de campagne restent à terminer.</x:v>
      </x:c>
    </x:row>
    <x:row r="3867" ht="96" customHeight="1">
      <x:c r="A3867" s="115" t="str">
        <x:v>EXT-MONDE-T078-V12</x:v>
      </x:c>
      <x:c r="B3867" s="115" t="str">
        <x:v>EXT-MONDE-T078</x:v>
      </x:c>
      <x:c r="C3867" s="115" t="str">
        <x:v>Îles</x:v>
      </x:c>
      <x:c r="D3867" s="115" t="str">
        <x:v>Île agricole habitée</x:v>
      </x:c>
      <x:c r="E3867" s="115" t="n">
        <x:v>12</x:v>
      </x:c>
      <x:c r="F3867" s="115" t="str">
        <x:v>Inspection physique</x:v>
      </x:c>
      <x:c r="G3867" s="115" t="str">
        <x:v>1 niveaux ; 32 pièces ; 248 segments de mur ; 0 transitions. Inspection physique ; architecture complète encore ouverte.</x:v>
      </x:c>
      <x:c r="H3867" s="115" t="str">
        <x:v>L 590 ; l 568 ; hauteur 14 m ; choix de composition auteur ; dimensions réelles à documenter</x:v>
      </x:c>
      <x:c r="I3867" s="115" t="str">
        <x:v>À équilibrer</x:v>
      </x:c>
      <x:c r="J3867" s="115" t="str">
        <x:v>Non</x:v>
      </x:c>
      <x:c r="K3867" s="115" t="str">
        <x:v>Pièces décrites, murs, portes, niveaux et mobilier inspectables à l’échelle. Volumes réservés, raccord au seed, butin, rencontres et services de campagne restent à terminer.</x:v>
      </x:c>
    </x:row>
    <x:row r="3868" ht="96" customHeight="1">
      <x:c r="A3868" s="115" t="str">
        <x:v>EXT-MONDE-T078-V13</x:v>
      </x:c>
      <x:c r="B3868" s="115" t="str">
        <x:v>EXT-MONDE-T078</x:v>
      </x:c>
      <x:c r="C3868" s="115" t="str">
        <x:v>Îles</x:v>
      </x:c>
      <x:c r="D3868" s="115" t="str">
        <x:v>Île agricole habitée</x:v>
      </x:c>
      <x:c r="E3868" s="115" t="n">
        <x:v>13</x:v>
      </x:c>
      <x:c r="F3868" s="115" t="str">
        <x:v>Inspection physique</x:v>
      </x:c>
      <x:c r="G3868" s="115" t="str">
        <x:v>1 niveaux ; 32 pièces ; 248 segments de mur ; 0 transitions. Inspection physique ; architecture complète encore ouverte.</x:v>
      </x:c>
      <x:c r="H3868" s="115" t="str">
        <x:v>L 590 ; l 568 ; hauteur 14 m ; choix de composition auteur ; dimensions réelles à documenter</x:v>
      </x:c>
      <x:c r="I3868" s="115" t="str">
        <x:v>À équilibrer</x:v>
      </x:c>
      <x:c r="J3868" s="115" t="str">
        <x:v>Non</x:v>
      </x:c>
      <x:c r="K3868" s="115" t="str">
        <x:v>Pièces décrites, murs, portes, niveaux et mobilier inspectables à l’échelle. Volumes réservés, raccord au seed, butin, rencontres et services de campagne restent à terminer.</x:v>
      </x:c>
    </x:row>
    <x:row r="3869" ht="96" customHeight="1">
      <x:c r="A3869" s="115" t="str">
        <x:v>EXT-MONDE-T078-V14</x:v>
      </x:c>
      <x:c r="B3869" s="115" t="str">
        <x:v>EXT-MONDE-T078</x:v>
      </x:c>
      <x:c r="C3869" s="115" t="str">
        <x:v>Îles</x:v>
      </x:c>
      <x:c r="D3869" s="115" t="str">
        <x:v>Île agricole habitée</x:v>
      </x:c>
      <x:c r="E3869" s="115" t="n">
        <x:v>14</x:v>
      </x:c>
      <x:c r="F3869" s="115" t="str">
        <x:v>Inspection physique</x:v>
      </x:c>
      <x:c r="G3869" s="115" t="str">
        <x:v>1 niveaux ; 32 pièces ; 248 segments de mur ; 0 transitions. Inspection physique ; architecture complète encore ouverte.</x:v>
      </x:c>
      <x:c r="H3869" s="115" t="str">
        <x:v>L 590 ; l 568 ; hauteur 14 m ; choix de composition auteur ; dimensions réelles à documenter</x:v>
      </x:c>
      <x:c r="I3869" s="115" t="str">
        <x:v>À équilibrer</x:v>
      </x:c>
      <x:c r="J3869" s="115" t="str">
        <x:v>Non</x:v>
      </x:c>
      <x:c r="K3869" s="115" t="str">
        <x:v>Pièces décrites, murs, portes, niveaux et mobilier inspectables à l’échelle. Volumes réservés, raccord au seed, butin, rencontres et services de campagne restent à terminer.</x:v>
      </x:c>
    </x:row>
    <x:row r="3870" ht="96" customHeight="1">
      <x:c r="A3870" s="115" t="str">
        <x:v>EXT-MONDE-T078-V15</x:v>
      </x:c>
      <x:c r="B3870" s="115" t="str">
        <x:v>EXT-MONDE-T078</x:v>
      </x:c>
      <x:c r="C3870" s="115" t="str">
        <x:v>Îles</x:v>
      </x:c>
      <x:c r="D3870" s="115" t="str">
        <x:v>Île agricole habitée</x:v>
      </x:c>
      <x:c r="E3870" s="115" t="n">
        <x:v>15</x:v>
      </x:c>
      <x:c r="F3870" s="115" t="str">
        <x:v>Inspection physique</x:v>
      </x:c>
      <x:c r="G3870" s="115" t="str">
        <x:v>1 niveaux ; 32 pièces ; 248 segments de mur ; 0 transitions. Inspection physique ; architecture complète encore ouverte.</x:v>
      </x:c>
      <x:c r="H3870" s="115" t="str">
        <x:v>L 590 ; l 568 ; hauteur 14 m ; choix de composition auteur ; dimensions réelles à documenter</x:v>
      </x:c>
      <x:c r="I3870" s="115" t="str">
        <x:v>À équilibrer</x:v>
      </x:c>
      <x:c r="J3870" s="115" t="str">
        <x:v>Non</x:v>
      </x:c>
      <x:c r="K3870" s="115" t="str">
        <x:v>Pièces décrites, murs, portes, niveaux et mobilier inspectables à l’échelle. Volumes réservés, raccord au seed, butin, rencontres et services de campagne restent à terminer.</x:v>
      </x:c>
    </x:row>
    <x:row r="3871" ht="96" customHeight="1">
      <x:c r="A3871" s="115" t="str">
        <x:v>EXT-MONDE-T078-V16</x:v>
      </x:c>
      <x:c r="B3871" s="115" t="str">
        <x:v>EXT-MONDE-T078</x:v>
      </x:c>
      <x:c r="C3871" s="115" t="str">
        <x:v>Îles</x:v>
      </x:c>
      <x:c r="D3871" s="115" t="str">
        <x:v>Île agricole habitée</x:v>
      </x:c>
      <x:c r="E3871" s="115" t="n">
        <x:v>16</x:v>
      </x:c>
      <x:c r="F3871" s="115" t="str">
        <x:v>Inspection physique</x:v>
      </x:c>
      <x:c r="G3871" s="115" t="str">
        <x:v>1 niveaux ; 32 pièces ; 248 segments de mur ; 0 transitions. Inspection physique ; architecture complète encore ouverte.</x:v>
      </x:c>
      <x:c r="H3871" s="115" t="str">
        <x:v>L 590 ; l 568 ; hauteur 14 m ; choix de composition auteur ; dimensions réelles à documenter</x:v>
      </x:c>
      <x:c r="I3871" s="115" t="str">
        <x:v>À équilibrer</x:v>
      </x:c>
      <x:c r="J3871" s="115" t="str">
        <x:v>Non</x:v>
      </x:c>
      <x:c r="K3871" s="115" t="str">
        <x:v>Pièces décrites, murs, portes, niveaux et mobilier inspectables à l’échelle. Volumes réservés, raccord au seed, butin, rencontres et services de campagne restent à terminer.</x:v>
      </x:c>
    </x:row>
    <x:row r="3872" ht="96" customHeight="1">
      <x:c r="A3872" s="115" t="str">
        <x:v>EXT-MONDE-T078-V17</x:v>
      </x:c>
      <x:c r="B3872" s="115" t="str">
        <x:v>EXT-MONDE-T078</x:v>
      </x:c>
      <x:c r="C3872" s="115" t="str">
        <x:v>Îles</x:v>
      </x:c>
      <x:c r="D3872" s="115" t="str">
        <x:v>Île agricole habitée</x:v>
      </x:c>
      <x:c r="E3872" s="115" t="n">
        <x:v>17</x:v>
      </x:c>
      <x:c r="F3872" s="115" t="str">
        <x:v>Inspection physique</x:v>
      </x:c>
      <x:c r="G3872" s="115" t="str">
        <x:v>1 niveaux ; 32 pièces ; 248 segments de mur ; 0 transitions. Inspection physique ; architecture complète encore ouverte.</x:v>
      </x:c>
      <x:c r="H3872" s="115" t="str">
        <x:v>L 590 ; l 568 ; hauteur 14 m ; choix de composition auteur ; dimensions réelles à documenter</x:v>
      </x:c>
      <x:c r="I3872" s="115" t="str">
        <x:v>À équilibrer</x:v>
      </x:c>
      <x:c r="J3872" s="115" t="str">
        <x:v>Non</x:v>
      </x:c>
      <x:c r="K3872" s="115" t="str">
        <x:v>Pièces décrites, murs, portes, niveaux et mobilier inspectables à l’échelle. Volumes réservés, raccord au seed, butin, rencontres et services de campagne restent à terminer.</x:v>
      </x:c>
    </x:row>
    <x:row r="3873" ht="96" customHeight="1">
      <x:c r="A3873" s="115" t="str">
        <x:v>EXT-MONDE-T078-V18</x:v>
      </x:c>
      <x:c r="B3873" s="115" t="str">
        <x:v>EXT-MONDE-T078</x:v>
      </x:c>
      <x:c r="C3873" s="115" t="str">
        <x:v>Îles</x:v>
      </x:c>
      <x:c r="D3873" s="115" t="str">
        <x:v>Île agricole habitée</x:v>
      </x:c>
      <x:c r="E3873" s="115" t="n">
        <x:v>18</x:v>
      </x:c>
      <x:c r="F3873" s="115" t="str">
        <x:v>Inspection physique</x:v>
      </x:c>
      <x:c r="G3873" s="115" t="str">
        <x:v>1 niveaux ; 32 pièces ; 248 segments de mur ; 0 transitions. Inspection physique ; architecture complète encore ouverte.</x:v>
      </x:c>
      <x:c r="H3873" s="115" t="str">
        <x:v>L 590 ; l 568 ; hauteur 14 m ; choix de composition auteur ; dimensions réelles à documenter</x:v>
      </x:c>
      <x:c r="I3873" s="115" t="str">
        <x:v>À équilibrer</x:v>
      </x:c>
      <x:c r="J3873" s="115" t="str">
        <x:v>Non</x:v>
      </x:c>
      <x:c r="K3873" s="115" t="str">
        <x:v>Pièces décrites, murs, portes, niveaux et mobilier inspectables à l’échelle. Volumes réservés, raccord au seed, butin, rencontres et services de campagne restent à terminer.</x:v>
      </x:c>
    </x:row>
    <x:row r="3874" ht="96" customHeight="1">
      <x:c r="A3874" s="115" t="str">
        <x:v>EXT-MONDE-T078-V19</x:v>
      </x:c>
      <x:c r="B3874" s="115" t="str">
        <x:v>EXT-MONDE-T078</x:v>
      </x:c>
      <x:c r="C3874" s="115" t="str">
        <x:v>Îles</x:v>
      </x:c>
      <x:c r="D3874" s="115" t="str">
        <x:v>Île agricole habitée</x:v>
      </x:c>
      <x:c r="E3874" s="115" t="n">
        <x:v>19</x:v>
      </x:c>
      <x:c r="F3874" s="115" t="str">
        <x:v>Inspection physique</x:v>
      </x:c>
      <x:c r="G3874" s="115" t="str">
        <x:v>1 niveaux ; 32 pièces ; 248 segments de mur ; 0 transitions. Inspection physique ; architecture complète encore ouverte.</x:v>
      </x:c>
      <x:c r="H3874" s="115" t="str">
        <x:v>L 590 ; l 568 ; hauteur 14 m ; choix de composition auteur ; dimensions réelles à documenter</x:v>
      </x:c>
      <x:c r="I3874" s="115" t="str">
        <x:v>À équilibrer</x:v>
      </x:c>
      <x:c r="J3874" s="115" t="str">
        <x:v>Non</x:v>
      </x:c>
      <x:c r="K3874" s="115" t="str">
        <x:v>Pièces décrites, murs, portes, niveaux et mobilier inspectables à l’échelle. Volumes réservés, raccord au seed, butin, rencontres et services de campagne restent à terminer.</x:v>
      </x:c>
    </x:row>
    <x:row r="3875" ht="96" customHeight="1">
      <x:c r="A3875" s="115" t="str">
        <x:v>EXT-MONDE-T078-V20</x:v>
      </x:c>
      <x:c r="B3875" s="115" t="str">
        <x:v>EXT-MONDE-T078</x:v>
      </x:c>
      <x:c r="C3875" s="115" t="str">
        <x:v>Îles</x:v>
      </x:c>
      <x:c r="D3875" s="115" t="str">
        <x:v>Île agricole habitée</x:v>
      </x:c>
      <x:c r="E3875" s="115" t="n">
        <x:v>20</x:v>
      </x:c>
      <x:c r="F3875" s="115" t="str">
        <x:v>Inspection physique</x:v>
      </x:c>
      <x:c r="G3875" s="115" t="str">
        <x:v>1 niveaux ; 32 pièces ; 248 segments de mur ; 0 transitions. Inspection physique ; architecture complète encore ouverte.</x:v>
      </x:c>
      <x:c r="H3875" s="115" t="str">
        <x:v>L 590 ; l 568 ; hauteur 14 m ; choix de composition auteur ; dimensions réelles à documenter</x:v>
      </x:c>
      <x:c r="I3875" s="115" t="str">
        <x:v>À équilibrer</x:v>
      </x:c>
      <x:c r="J3875" s="115" t="str">
        <x:v>Non</x:v>
      </x:c>
      <x:c r="K3875" s="115" t="str">
        <x:v>Pièces décrites, murs, portes, niveaux et mobilier inspectables à l’échelle. Volumes réservés, raccord au seed, butin, rencontres et services de campagne restent à terminer.</x:v>
      </x:c>
    </x:row>
    <x:row r="3876" ht="96" customHeight="1">
      <x:c r="A3876" s="115" t="str">
        <x:v>EXT-MONDE-T078-V21</x:v>
      </x:c>
      <x:c r="B3876" s="115" t="str">
        <x:v>EXT-MONDE-T078</x:v>
      </x:c>
      <x:c r="C3876" s="115" t="str">
        <x:v>Îles</x:v>
      </x:c>
      <x:c r="D3876" s="115" t="str">
        <x:v>Île agricole habitée</x:v>
      </x:c>
      <x:c r="E3876" s="115" t="n">
        <x:v>21</x:v>
      </x:c>
      <x:c r="F3876" s="115" t="str">
        <x:v>Inspection physique</x:v>
      </x:c>
      <x:c r="G3876" s="115" t="str">
        <x:v>1 niveaux ; 32 pièces ; 248 segments de mur ; 0 transitions. Inspection physique ; architecture complète encore ouverte.</x:v>
      </x:c>
      <x:c r="H3876" s="115" t="str">
        <x:v>L 604 ; l 580 ; hauteur 14 m ; choix de composition auteur ; dimensions réelles à documenter</x:v>
      </x:c>
      <x:c r="I3876" s="115" t="str">
        <x:v>À équilibrer</x:v>
      </x:c>
      <x:c r="J3876" s="115" t="str">
        <x:v>Non</x:v>
      </x:c>
      <x:c r="K3876" s="115" t="str">
        <x:v>Pièces décrites, murs, portes, niveaux et mobilier inspectables à l’échelle. Volumes réservés, raccord au seed, butin, rencontres et services de campagne restent à terminer.</x:v>
      </x:c>
    </x:row>
    <x:row r="3877" ht="96" customHeight="1">
      <x:c r="A3877" s="115" t="str">
        <x:v>EXT-MONDE-T078-V22</x:v>
      </x:c>
      <x:c r="B3877" s="115" t="str">
        <x:v>EXT-MONDE-T078</x:v>
      </x:c>
      <x:c r="C3877" s="115" t="str">
        <x:v>Îles</x:v>
      </x:c>
      <x:c r="D3877" s="115" t="str">
        <x:v>Île agricole habitée</x:v>
      </x:c>
      <x:c r="E3877" s="115" t="n">
        <x:v>22</x:v>
      </x:c>
      <x:c r="F3877" s="115" t="str">
        <x:v>Inspection physique</x:v>
      </x:c>
      <x:c r="G3877" s="115" t="str">
        <x:v>1 niveaux ; 32 pièces ; 248 segments de mur ; 0 transitions. Inspection physique ; architecture complète encore ouverte.</x:v>
      </x:c>
      <x:c r="H3877" s="115" t="str">
        <x:v>L 604 ; l 580 ; hauteur 14 m ; choix de composition auteur ; dimensions réelles à documenter</x:v>
      </x:c>
      <x:c r="I3877" s="115" t="str">
        <x:v>À équilibrer</x:v>
      </x:c>
      <x:c r="J3877" s="115" t="str">
        <x:v>Non</x:v>
      </x:c>
      <x:c r="K3877" s="115" t="str">
        <x:v>Pièces décrites, murs, portes, niveaux et mobilier inspectables à l’échelle. Volumes réservés, raccord au seed, butin, rencontres et services de campagne restent à terminer.</x:v>
      </x:c>
    </x:row>
    <x:row r="3878" ht="96" customHeight="1">
      <x:c r="A3878" s="115" t="str">
        <x:v>EXT-MONDE-T078-V23</x:v>
      </x:c>
      <x:c r="B3878" s="115" t="str">
        <x:v>EXT-MONDE-T078</x:v>
      </x:c>
      <x:c r="C3878" s="115" t="str">
        <x:v>Îles</x:v>
      </x:c>
      <x:c r="D3878" s="115" t="str">
        <x:v>Île agricole habitée</x:v>
      </x:c>
      <x:c r="E3878" s="115" t="n">
        <x:v>23</x:v>
      </x:c>
      <x:c r="F3878" s="115" t="str">
        <x:v>Inspection physique</x:v>
      </x:c>
      <x:c r="G3878" s="115" t="str">
        <x:v>1 niveaux ; 32 pièces ; 248 segments de mur ; 0 transitions. Inspection physique ; architecture complète encore ouverte.</x:v>
      </x:c>
      <x:c r="H3878" s="115" t="str">
        <x:v>L 604 ; l 580 ; hauteur 14 m ; choix de composition auteur ; dimensions réelles à documenter</x:v>
      </x:c>
      <x:c r="I3878" s="115" t="str">
        <x:v>À équilibrer</x:v>
      </x:c>
      <x:c r="J3878" s="115" t="str">
        <x:v>Non</x:v>
      </x:c>
      <x:c r="K3878" s="115" t="str">
        <x:v>Pièces décrites, murs, portes, niveaux et mobilier inspectables à l’échelle. Volumes réservés, raccord au seed, butin, rencontres et services de campagne restent à terminer.</x:v>
      </x:c>
    </x:row>
    <x:row r="3879" ht="96" customHeight="1">
      <x:c r="A3879" s="115" t="str">
        <x:v>EXT-MONDE-T078-V24</x:v>
      </x:c>
      <x:c r="B3879" s="115" t="str">
        <x:v>EXT-MONDE-T078</x:v>
      </x:c>
      <x:c r="C3879" s="115" t="str">
        <x:v>Îles</x:v>
      </x:c>
      <x:c r="D3879" s="115" t="str">
        <x:v>Île agricole habitée</x:v>
      </x:c>
      <x:c r="E3879" s="115" t="n">
        <x:v>24</x:v>
      </x:c>
      <x:c r="F3879" s="115" t="str">
        <x:v>Inspection physique</x:v>
      </x:c>
      <x:c r="G3879" s="115" t="str">
        <x:v>1 niveaux ; 32 pièces ; 248 segments de mur ; 0 transitions. Inspection physique ; architecture complète encore ouverte.</x:v>
      </x:c>
      <x:c r="H3879" s="115" t="str">
        <x:v>L 604 ; l 580 ; hauteur 14 m ; choix de composition auteur ; dimensions réelles à documenter</x:v>
      </x:c>
      <x:c r="I3879" s="115" t="str">
        <x:v>À équilibrer</x:v>
      </x:c>
      <x:c r="J3879" s="115" t="str">
        <x:v>Non</x:v>
      </x:c>
      <x:c r="K3879" s="115" t="str">
        <x:v>Pièces décrites, murs, portes, niveaux et mobilier inspectables à l’échelle. Volumes réservés, raccord au seed, butin, rencontres et services de campagne restent à terminer.</x:v>
      </x:c>
    </x:row>
    <x:row r="3880" ht="96" customHeight="1">
      <x:c r="A3880" s="115" t="str">
        <x:v>EXT-MONDE-T078-V25</x:v>
      </x:c>
      <x:c r="B3880" s="115" t="str">
        <x:v>EXT-MONDE-T078</x:v>
      </x:c>
      <x:c r="C3880" s="115" t="str">
        <x:v>Îles</x:v>
      </x:c>
      <x:c r="D3880" s="115" t="str">
        <x:v>Île agricole habitée</x:v>
      </x:c>
      <x:c r="E3880" s="115" t="n">
        <x:v>25</x:v>
      </x:c>
      <x:c r="F3880" s="115" t="str">
        <x:v>Inspection physique</x:v>
      </x:c>
      <x:c r="G3880" s="115" t="str">
        <x:v>1 niveaux ; 32 pièces ; 248 segments de mur ; 0 transitions. Inspection physique ; architecture complète encore ouverte.</x:v>
      </x:c>
      <x:c r="H3880" s="115" t="str">
        <x:v>L 604 ; l 580 ; hauteur 14 m ; choix de composition auteur ; dimensions réelles à documenter</x:v>
      </x:c>
      <x:c r="I3880" s="115" t="str">
        <x:v>À équilibrer</x:v>
      </x:c>
      <x:c r="J3880" s="115" t="str">
        <x:v>Non</x:v>
      </x:c>
      <x:c r="K3880" s="115" t="str">
        <x:v>Pièces décrites, murs, portes, niveaux et mobilier inspectables à l’échelle. Volumes réservés, raccord au seed, butin, rencontres et services de campagne restent à terminer.</x:v>
      </x:c>
    </x:row>
    <x:row r="3881" ht="96" customHeight="1">
      <x:c r="A3881" s="115" t="str">
        <x:v>EXT-MONDE-T078-V26</x:v>
      </x:c>
      <x:c r="B3881" s="115" t="str">
        <x:v>EXT-MONDE-T078</x:v>
      </x:c>
      <x:c r="C3881" s="115" t="str">
        <x:v>Îles</x:v>
      </x:c>
      <x:c r="D3881" s="115" t="str">
        <x:v>Île agricole habitée</x:v>
      </x:c>
      <x:c r="E3881" s="115" t="n">
        <x:v>26</x:v>
      </x:c>
      <x:c r="F3881" s="115" t="str">
        <x:v>Inspection physique</x:v>
      </x:c>
      <x:c r="G3881" s="115" t="str">
        <x:v>1 niveaux ; 32 pièces ; 248 segments de mur ; 0 transitions. Inspection physique ; architecture complète encore ouverte.</x:v>
      </x:c>
      <x:c r="H3881" s="115" t="str">
        <x:v>L 604 ; l 580 ; hauteur 14 m ; choix de composition auteur ; dimensions réelles à documenter</x:v>
      </x:c>
      <x:c r="I3881" s="115" t="str">
        <x:v>À équilibrer</x:v>
      </x:c>
      <x:c r="J3881" s="115" t="str">
        <x:v>Non</x:v>
      </x:c>
      <x:c r="K3881" s="115" t="str">
        <x:v>Pièces décrites, murs, portes, niveaux et mobilier inspectables à l’échelle. Volumes réservés, raccord au seed, butin, rencontres et services de campagne restent à terminer.</x:v>
      </x:c>
    </x:row>
    <x:row r="3882" ht="96" customHeight="1">
      <x:c r="A3882" s="115" t="str">
        <x:v>EXT-MONDE-T078-V27</x:v>
      </x:c>
      <x:c r="B3882" s="115" t="str">
        <x:v>EXT-MONDE-T078</x:v>
      </x:c>
      <x:c r="C3882" s="115" t="str">
        <x:v>Îles</x:v>
      </x:c>
      <x:c r="D3882" s="115" t="str">
        <x:v>Île agricole habitée</x:v>
      </x:c>
      <x:c r="E3882" s="115" t="n">
        <x:v>27</x:v>
      </x:c>
      <x:c r="F3882" s="115" t="str">
        <x:v>Inspection physique</x:v>
      </x:c>
      <x:c r="G3882" s="115" t="str">
        <x:v>1 niveaux ; 32 pièces ; 248 segments de mur ; 0 transitions. Inspection physique ; architecture complète encore ouverte.</x:v>
      </x:c>
      <x:c r="H3882" s="115" t="str">
        <x:v>L 604 ; l 580 ; hauteur 14 m ; choix de composition auteur ; dimensions réelles à documenter</x:v>
      </x:c>
      <x:c r="I3882" s="115" t="str">
        <x:v>À équilibrer</x:v>
      </x:c>
      <x:c r="J3882" s="115" t="str">
        <x:v>Non</x:v>
      </x:c>
      <x:c r="K3882" s="115" t="str">
        <x:v>Pièces décrites, murs, portes, niveaux et mobilier inspectables à l’échelle. Volumes réservés, raccord au seed, butin, rencontres et services de campagne restent à terminer.</x:v>
      </x:c>
    </x:row>
    <x:row r="3883" ht="96" customHeight="1">
      <x:c r="A3883" s="115" t="str">
        <x:v>EXT-MONDE-T078-V28</x:v>
      </x:c>
      <x:c r="B3883" s="115" t="str">
        <x:v>EXT-MONDE-T078</x:v>
      </x:c>
      <x:c r="C3883" s="115" t="str">
        <x:v>Îles</x:v>
      </x:c>
      <x:c r="D3883" s="115" t="str">
        <x:v>Île agricole habitée</x:v>
      </x:c>
      <x:c r="E3883" s="115" t="n">
        <x:v>28</x:v>
      </x:c>
      <x:c r="F3883" s="115" t="str">
        <x:v>Inspection physique</x:v>
      </x:c>
      <x:c r="G3883" s="115" t="str">
        <x:v>1 niveaux ; 32 pièces ; 248 segments de mur ; 0 transitions. Inspection physique ; architecture complète encore ouverte.</x:v>
      </x:c>
      <x:c r="H3883" s="115" t="str">
        <x:v>L 604 ; l 580 ; hauteur 14 m ; choix de composition auteur ; dimensions réelles à documenter</x:v>
      </x:c>
      <x:c r="I3883" s="115" t="str">
        <x:v>À équilibrer</x:v>
      </x:c>
      <x:c r="J3883" s="115" t="str">
        <x:v>Non</x:v>
      </x:c>
      <x:c r="K3883" s="115" t="str">
        <x:v>Pièces décrites, murs, portes, niveaux et mobilier inspectables à l’échelle. Volumes réservés, raccord au seed, butin, rencontres et services de campagne restent à terminer.</x:v>
      </x:c>
    </x:row>
    <x:row r="3884" ht="96" customHeight="1">
      <x:c r="A3884" s="115" t="str">
        <x:v>EXT-MONDE-T078-V29</x:v>
      </x:c>
      <x:c r="B3884" s="115" t="str">
        <x:v>EXT-MONDE-T078</x:v>
      </x:c>
      <x:c r="C3884" s="115" t="str">
        <x:v>Îles</x:v>
      </x:c>
      <x:c r="D3884" s="115" t="str">
        <x:v>Île agricole habitée</x:v>
      </x:c>
      <x:c r="E3884" s="115" t="n">
        <x:v>29</x:v>
      </x:c>
      <x:c r="F3884" s="115" t="str">
        <x:v>Inspection physique</x:v>
      </x:c>
      <x:c r="G3884" s="115" t="str">
        <x:v>1 niveaux ; 32 pièces ; 248 segments de mur ; 0 transitions. Inspection physique ; architecture complète encore ouverte.</x:v>
      </x:c>
      <x:c r="H3884" s="115" t="str">
        <x:v>L 604 ; l 580 ; hauteur 14 m ; choix de composition auteur ; dimensions réelles à documenter</x:v>
      </x:c>
      <x:c r="I3884" s="115" t="str">
        <x:v>À équilibrer</x:v>
      </x:c>
      <x:c r="J3884" s="115" t="str">
        <x:v>Non</x:v>
      </x:c>
      <x:c r="K3884" s="115" t="str">
        <x:v>Pièces décrites, murs, portes, niveaux et mobilier inspectables à l’échelle. Volumes réservés, raccord au seed, butin, rencontres et services de campagne restent à terminer.</x:v>
      </x:c>
    </x:row>
    <x:row r="3885" ht="96" customHeight="1">
      <x:c r="A3885" s="115" t="str">
        <x:v>EXT-MONDE-T078-V30</x:v>
      </x:c>
      <x:c r="B3885" s="115" t="str">
        <x:v>EXT-MONDE-T078</x:v>
      </x:c>
      <x:c r="C3885" s="115" t="str">
        <x:v>Îles</x:v>
      </x:c>
      <x:c r="D3885" s="115" t="str">
        <x:v>Île agricole habitée</x:v>
      </x:c>
      <x:c r="E3885" s="115" t="n">
        <x:v>30</x:v>
      </x:c>
      <x:c r="F3885" s="115" t="str">
        <x:v>Inspection physique</x:v>
      </x:c>
      <x:c r="G3885" s="115" t="str">
        <x:v>1 niveaux ; 32 pièces ; 248 segments de mur ; 0 transitions. Inspection physique ; architecture complète encore ouverte.</x:v>
      </x:c>
      <x:c r="H3885" s="115" t="str">
        <x:v>L 604 ; l 580 ; hauteur 14 m ; choix de composition auteur ; dimensions réelles à documenter</x:v>
      </x:c>
      <x:c r="I3885" s="115" t="str">
        <x:v>À équilibrer</x:v>
      </x:c>
      <x:c r="J3885" s="115" t="str">
        <x:v>Non</x:v>
      </x:c>
      <x:c r="K3885" s="115" t="str">
        <x:v>Pièces décrites, murs, portes, niveaux et mobilier inspectables à l’échelle. Volumes réservés, raccord au seed, butin, rencontres et services de campagne restent à terminer.</x:v>
      </x:c>
    </x:row>
    <x:row r="3886" ht="96" customHeight="1">
      <x:c r="A3886" s="115" t="str">
        <x:v>EXT-MONDE-T078-V31</x:v>
      </x:c>
      <x:c r="B3886" s="115" t="str">
        <x:v>EXT-MONDE-T078</x:v>
      </x:c>
      <x:c r="C3886" s="115" t="str">
        <x:v>Îles</x:v>
      </x:c>
      <x:c r="D3886" s="115" t="str">
        <x:v>Île agricole habitée</x:v>
      </x:c>
      <x:c r="E3886" s="115" t="n">
        <x:v>31</x:v>
      </x:c>
      <x:c r="F3886" s="115" t="str">
        <x:v>Inspection physique</x:v>
      </x:c>
      <x:c r="G3886" s="115" t="str">
        <x:v>1 niveaux ; 32 pièces ; 248 segments de mur ; 0 transitions. Inspection physique ; architecture complète encore ouverte.</x:v>
      </x:c>
      <x:c r="H3886" s="115" t="str">
        <x:v>L 618 ; l 592 ; hauteur 14 m ; choix de composition auteur ; dimensions réelles à documenter</x:v>
      </x:c>
      <x:c r="I3886" s="115" t="str">
        <x:v>À équilibrer</x:v>
      </x:c>
      <x:c r="J3886" s="115" t="str">
        <x:v>Non</x:v>
      </x:c>
      <x:c r="K3886" s="115" t="str">
        <x:v>Pièces décrites, murs, portes, niveaux et mobilier inspectables à l’échelle. Volumes réservés, raccord au seed, butin, rencontres et services de campagne restent à terminer.</x:v>
      </x:c>
    </x:row>
    <x:row r="3887" ht="96" customHeight="1">
      <x:c r="A3887" s="115" t="str">
        <x:v>EXT-MONDE-T078-V32</x:v>
      </x:c>
      <x:c r="B3887" s="115" t="str">
        <x:v>EXT-MONDE-T078</x:v>
      </x:c>
      <x:c r="C3887" s="115" t="str">
        <x:v>Îles</x:v>
      </x:c>
      <x:c r="D3887" s="115" t="str">
        <x:v>Île agricole habitée</x:v>
      </x:c>
      <x:c r="E3887" s="115" t="n">
        <x:v>32</x:v>
      </x:c>
      <x:c r="F3887" s="115" t="str">
        <x:v>Inspection physique</x:v>
      </x:c>
      <x:c r="G3887" s="115" t="str">
        <x:v>1 niveaux ; 32 pièces ; 248 segments de mur ; 0 transitions. Inspection physique ; architecture complète encore ouverte.</x:v>
      </x:c>
      <x:c r="H3887" s="115" t="str">
        <x:v>L 618 ; l 592 ; hauteur 14 m ; choix de composition auteur ; dimensions réelles à documenter</x:v>
      </x:c>
      <x:c r="I3887" s="115" t="str">
        <x:v>À équilibrer</x:v>
      </x:c>
      <x:c r="J3887" s="115" t="str">
        <x:v>Non</x:v>
      </x:c>
      <x:c r="K3887" s="115" t="str">
        <x:v>Pièces décrites, murs, portes, niveaux et mobilier inspectables à l’échelle. Volumes réservés, raccord au seed, butin, rencontres et services de campagne restent à terminer.</x:v>
      </x:c>
    </x:row>
    <x:row r="3888" ht="96" customHeight="1">
      <x:c r="A3888" s="115" t="str">
        <x:v>EXT-MONDE-T078-V33</x:v>
      </x:c>
      <x:c r="B3888" s="115" t="str">
        <x:v>EXT-MONDE-T078</x:v>
      </x:c>
      <x:c r="C3888" s="115" t="str">
        <x:v>Îles</x:v>
      </x:c>
      <x:c r="D3888" s="115" t="str">
        <x:v>Île agricole habitée</x:v>
      </x:c>
      <x:c r="E3888" s="115" t="n">
        <x:v>33</x:v>
      </x:c>
      <x:c r="F3888" s="115" t="str">
        <x:v>Inspection physique</x:v>
      </x:c>
      <x:c r="G3888" s="115" t="str">
        <x:v>1 niveaux ; 32 pièces ; 248 segments de mur ; 0 transitions. Inspection physique ; architecture complète encore ouverte.</x:v>
      </x:c>
      <x:c r="H3888" s="115" t="str">
        <x:v>L 618 ; l 592 ; hauteur 14 m ; choix de composition auteur ; dimensions réelles à documenter</x:v>
      </x:c>
      <x:c r="I3888" s="115" t="str">
        <x:v>À équilibrer</x:v>
      </x:c>
      <x:c r="J3888" s="115" t="str">
        <x:v>Non</x:v>
      </x:c>
      <x:c r="K3888" s="115" t="str">
        <x:v>Pièces décrites, murs, portes, niveaux et mobilier inspectables à l’échelle. Volumes réservés, raccord au seed, butin, rencontres et services de campagne restent à terminer.</x:v>
      </x:c>
    </x:row>
    <x:row r="3889" ht="96" customHeight="1">
      <x:c r="A3889" s="115" t="str">
        <x:v>EXT-MONDE-T078-V34</x:v>
      </x:c>
      <x:c r="B3889" s="115" t="str">
        <x:v>EXT-MONDE-T078</x:v>
      </x:c>
      <x:c r="C3889" s="115" t="str">
        <x:v>Îles</x:v>
      </x:c>
      <x:c r="D3889" s="115" t="str">
        <x:v>Île agricole habitée</x:v>
      </x:c>
      <x:c r="E3889" s="115" t="n">
        <x:v>34</x:v>
      </x:c>
      <x:c r="F3889" s="115" t="str">
        <x:v>Inspection physique</x:v>
      </x:c>
      <x:c r="G3889" s="115" t="str">
        <x:v>1 niveaux ; 32 pièces ; 248 segments de mur ; 0 transitions. Inspection physique ; architecture complète encore ouverte.</x:v>
      </x:c>
      <x:c r="H3889" s="115" t="str">
        <x:v>L 618 ; l 592 ; hauteur 14 m ; choix de composition auteur ; dimensions réelles à documenter</x:v>
      </x:c>
      <x:c r="I3889" s="115" t="str">
        <x:v>À équilibrer</x:v>
      </x:c>
      <x:c r="J3889" s="115" t="str">
        <x:v>Non</x:v>
      </x:c>
      <x:c r="K3889" s="115" t="str">
        <x:v>Pièces décrites, murs, portes, niveaux et mobilier inspectables à l’échelle. Volumes réservés, raccord au seed, butin, rencontres et services de campagne restent à terminer.</x:v>
      </x:c>
    </x:row>
    <x:row r="3890" ht="96" customHeight="1">
      <x:c r="A3890" s="115" t="str">
        <x:v>EXT-MONDE-T078-V35</x:v>
      </x:c>
      <x:c r="B3890" s="115" t="str">
        <x:v>EXT-MONDE-T078</x:v>
      </x:c>
      <x:c r="C3890" s="115" t="str">
        <x:v>Îles</x:v>
      </x:c>
      <x:c r="D3890" s="115" t="str">
        <x:v>Île agricole habitée</x:v>
      </x:c>
      <x:c r="E3890" s="115" t="n">
        <x:v>35</x:v>
      </x:c>
      <x:c r="F3890" s="115" t="str">
        <x:v>Inspection physique</x:v>
      </x:c>
      <x:c r="G3890" s="115" t="str">
        <x:v>1 niveaux ; 32 pièces ; 248 segments de mur ; 0 transitions. Inspection physique ; architecture complète encore ouverte.</x:v>
      </x:c>
      <x:c r="H3890" s="115" t="str">
        <x:v>L 618 ; l 592 ; hauteur 14 m ; choix de composition auteur ; dimensions réelles à documenter</x:v>
      </x:c>
      <x:c r="I3890" s="115" t="str">
        <x:v>À équilibrer</x:v>
      </x:c>
      <x:c r="J3890" s="115" t="str">
        <x:v>Non</x:v>
      </x:c>
      <x:c r="K3890" s="115" t="str">
        <x:v>Pièces décrites, murs, portes, niveaux et mobilier inspectables à l’échelle. Volumes réservés, raccord au seed, butin, rencontres et services de campagne restent à terminer.</x:v>
      </x:c>
    </x:row>
    <x:row r="3891" ht="96" customHeight="1">
      <x:c r="A3891" s="115" t="str">
        <x:v>EXT-MONDE-T078-V36</x:v>
      </x:c>
      <x:c r="B3891" s="115" t="str">
        <x:v>EXT-MONDE-T078</x:v>
      </x:c>
      <x:c r="C3891" s="115" t="str">
        <x:v>Îles</x:v>
      </x:c>
      <x:c r="D3891" s="115" t="str">
        <x:v>Île agricole habitée</x:v>
      </x:c>
      <x:c r="E3891" s="115" t="n">
        <x:v>36</x:v>
      </x:c>
      <x:c r="F3891" s="115" t="str">
        <x:v>Inspection physique</x:v>
      </x:c>
      <x:c r="G3891" s="115" t="str">
        <x:v>1 niveaux ; 32 pièces ; 248 segments de mur ; 0 transitions. Inspection physique ; architecture complète encore ouverte.</x:v>
      </x:c>
      <x:c r="H3891" s="115" t="str">
        <x:v>L 618 ; l 592 ; hauteur 14 m ; choix de composition auteur ; dimensions réelles à documenter</x:v>
      </x:c>
      <x:c r="I3891" s="115" t="str">
        <x:v>À équilibrer</x:v>
      </x:c>
      <x:c r="J3891" s="115" t="str">
        <x:v>Non</x:v>
      </x:c>
      <x:c r="K3891" s="115" t="str">
        <x:v>Pièces décrites, murs, portes, niveaux et mobilier inspectables à l’échelle. Volumes réservés, raccord au seed, butin, rencontres et services de campagne restent à terminer.</x:v>
      </x:c>
    </x:row>
    <x:row r="3892" ht="96" customHeight="1">
      <x:c r="A3892" s="115" t="str">
        <x:v>EXT-MONDE-T078-V37</x:v>
      </x:c>
      <x:c r="B3892" s="115" t="str">
        <x:v>EXT-MONDE-T078</x:v>
      </x:c>
      <x:c r="C3892" s="115" t="str">
        <x:v>Îles</x:v>
      </x:c>
      <x:c r="D3892" s="115" t="str">
        <x:v>Île agricole habitée</x:v>
      </x:c>
      <x:c r="E3892" s="115" t="n">
        <x:v>37</x:v>
      </x:c>
      <x:c r="F3892" s="115" t="str">
        <x:v>Inspection physique</x:v>
      </x:c>
      <x:c r="G3892" s="115" t="str">
        <x:v>1 niveaux ; 32 pièces ; 248 segments de mur ; 0 transitions. Inspection physique ; architecture complète encore ouverte.</x:v>
      </x:c>
      <x:c r="H3892" s="115" t="str">
        <x:v>L 618 ; l 592 ; hauteur 14 m ; choix de composition auteur ; dimensions réelles à documenter</x:v>
      </x:c>
      <x:c r="I3892" s="115" t="str">
        <x:v>À équilibrer</x:v>
      </x:c>
      <x:c r="J3892" s="115" t="str">
        <x:v>Non</x:v>
      </x:c>
      <x:c r="K3892" s="115" t="str">
        <x:v>Pièces décrites, murs, portes, niveaux et mobilier inspectables à l’échelle. Volumes réservés, raccord au seed, butin, rencontres et services de campagne restent à terminer.</x:v>
      </x:c>
    </x:row>
    <x:row r="3893" ht="96" customHeight="1">
      <x:c r="A3893" s="115" t="str">
        <x:v>EXT-MONDE-T078-V38</x:v>
      </x:c>
      <x:c r="B3893" s="115" t="str">
        <x:v>EXT-MONDE-T078</x:v>
      </x:c>
      <x:c r="C3893" s="115" t="str">
        <x:v>Îles</x:v>
      </x:c>
      <x:c r="D3893" s="115" t="str">
        <x:v>Île agricole habitée</x:v>
      </x:c>
      <x:c r="E3893" s="115" t="n">
        <x:v>38</x:v>
      </x:c>
      <x:c r="F3893" s="115" t="str">
        <x:v>Inspection physique</x:v>
      </x:c>
      <x:c r="G3893" s="115" t="str">
        <x:v>1 niveaux ; 32 pièces ; 248 segments de mur ; 0 transitions. Inspection physique ; architecture complète encore ouverte.</x:v>
      </x:c>
      <x:c r="H3893" s="115" t="str">
        <x:v>L 618 ; l 592 ; hauteur 14 m ; choix de composition auteur ; dimensions réelles à documenter</x:v>
      </x:c>
      <x:c r="I3893" s="115" t="str">
        <x:v>À équilibrer</x:v>
      </x:c>
      <x:c r="J3893" s="115" t="str">
        <x:v>Non</x:v>
      </x:c>
      <x:c r="K3893" s="115" t="str">
        <x:v>Pièces décrites, murs, portes, niveaux et mobilier inspectables à l’échelle. Volumes réservés, raccord au seed, butin, rencontres et services de campagne restent à terminer.</x:v>
      </x:c>
    </x:row>
    <x:row r="3894" ht="96" customHeight="1">
      <x:c r="A3894" s="115" t="str">
        <x:v>EXT-MONDE-T078-V39</x:v>
      </x:c>
      <x:c r="B3894" s="115" t="str">
        <x:v>EXT-MONDE-T078</x:v>
      </x:c>
      <x:c r="C3894" s="115" t="str">
        <x:v>Îles</x:v>
      </x:c>
      <x:c r="D3894" s="115" t="str">
        <x:v>Île agricole habitée</x:v>
      </x:c>
      <x:c r="E3894" s="115" t="n">
        <x:v>39</x:v>
      </x:c>
      <x:c r="F3894" s="115" t="str">
        <x:v>Inspection physique</x:v>
      </x:c>
      <x:c r="G3894" s="115" t="str">
        <x:v>1 niveaux ; 32 pièces ; 248 segments de mur ; 0 transitions. Inspection physique ; architecture complète encore ouverte.</x:v>
      </x:c>
      <x:c r="H3894" s="115" t="str">
        <x:v>L 618 ; l 592 ; hauteur 14 m ; choix de composition auteur ; dimensions réelles à documenter</x:v>
      </x:c>
      <x:c r="I3894" s="115" t="str">
        <x:v>À équilibrer</x:v>
      </x:c>
      <x:c r="J3894" s="115" t="str">
        <x:v>Non</x:v>
      </x:c>
      <x:c r="K3894" s="115" t="str">
        <x:v>Pièces décrites, murs, portes, niveaux et mobilier inspectables à l’échelle. Volumes réservés, raccord au seed, butin, rencontres et services de campagne restent à terminer.</x:v>
      </x:c>
    </x:row>
    <x:row r="3895" ht="96" customHeight="1">
      <x:c r="A3895" s="115" t="str">
        <x:v>EXT-MONDE-T078-V40</x:v>
      </x:c>
      <x:c r="B3895" s="115" t="str">
        <x:v>EXT-MONDE-T078</x:v>
      </x:c>
      <x:c r="C3895" s="115" t="str">
        <x:v>Îles</x:v>
      </x:c>
      <x:c r="D3895" s="115" t="str">
        <x:v>Île agricole habitée</x:v>
      </x:c>
      <x:c r="E3895" s="115" t="n">
        <x:v>40</x:v>
      </x:c>
      <x:c r="F3895" s="115" t="str">
        <x:v>Inspection physique</x:v>
      </x:c>
      <x:c r="G3895" s="115" t="str">
        <x:v>1 niveaux ; 32 pièces ; 248 segments de mur ; 0 transitions. Inspection physique ; architecture complète encore ouverte.</x:v>
      </x:c>
      <x:c r="H3895" s="115" t="str">
        <x:v>L 618 ; l 592 ; hauteur 14 m ; choix de composition auteur ; dimensions réelles à documenter</x:v>
      </x:c>
      <x:c r="I3895" s="115" t="str">
        <x:v>À équilibrer</x:v>
      </x:c>
      <x:c r="J3895" s="115" t="str">
        <x:v>Non</x:v>
      </x:c>
      <x:c r="K3895" s="115" t="str">
        <x:v>Pièces décrites, murs, portes, niveaux et mobilier inspectables à l’échelle. Volumes réservés, raccord au seed, butin, rencontres et services de campagne restent à terminer.</x:v>
      </x:c>
    </x:row>
    <x:row r="3896" ht="96" customHeight="1">
      <x:c r="A3896" s="115" t="str">
        <x:v>EXT-MONDE-T078-V41</x:v>
      </x:c>
      <x:c r="B3896" s="115" t="str">
        <x:v>EXT-MONDE-T078</x:v>
      </x:c>
      <x:c r="C3896" s="115" t="str">
        <x:v>Îles</x:v>
      </x:c>
      <x:c r="D3896" s="115" t="str">
        <x:v>Île agricole habitée</x:v>
      </x:c>
      <x:c r="E3896" s="115" t="n">
        <x:v>41</x:v>
      </x:c>
      <x:c r="F3896" s="115" t="str">
        <x:v>Inspection physique</x:v>
      </x:c>
      <x:c r="G3896" s="115" t="str">
        <x:v>1 niveaux ; 32 pièces ; 248 segments de mur ; 0 transitions. Inspection physique ; architecture complète encore ouverte.</x:v>
      </x:c>
      <x:c r="H3896" s="115" t="str">
        <x:v>L 632 ; l 604 ; hauteur 14 m ; choix de composition auteur ; dimensions réelles à documenter</x:v>
      </x:c>
      <x:c r="I3896" s="115" t="str">
        <x:v>À équilibrer</x:v>
      </x:c>
      <x:c r="J3896" s="115" t="str">
        <x:v>Non</x:v>
      </x:c>
      <x:c r="K3896" s="115" t="str">
        <x:v>Pièces décrites, murs, portes, niveaux et mobilier inspectables à l’échelle. Volumes réservés, raccord au seed, butin, rencontres et services de campagne restent à terminer.</x:v>
      </x:c>
    </x:row>
    <x:row r="3897" ht="96" customHeight="1">
      <x:c r="A3897" s="115" t="str">
        <x:v>EXT-MONDE-T078-V42</x:v>
      </x:c>
      <x:c r="B3897" s="115" t="str">
        <x:v>EXT-MONDE-T078</x:v>
      </x:c>
      <x:c r="C3897" s="115" t="str">
        <x:v>Îles</x:v>
      </x:c>
      <x:c r="D3897" s="115" t="str">
        <x:v>Île agricole habitée</x:v>
      </x:c>
      <x:c r="E3897" s="115" t="n">
        <x:v>42</x:v>
      </x:c>
      <x:c r="F3897" s="115" t="str">
        <x:v>Inspection physique</x:v>
      </x:c>
      <x:c r="G3897" s="115" t="str">
        <x:v>1 niveaux ; 32 pièces ; 248 segments de mur ; 0 transitions. Inspection physique ; architecture complète encore ouverte.</x:v>
      </x:c>
      <x:c r="H3897" s="115" t="str">
        <x:v>L 632 ; l 604 ; hauteur 14 m ; choix de composition auteur ; dimensions réelles à documenter</x:v>
      </x:c>
      <x:c r="I3897" s="115" t="str">
        <x:v>À équilibrer</x:v>
      </x:c>
      <x:c r="J3897" s="115" t="str">
        <x:v>Non</x:v>
      </x:c>
      <x:c r="K3897" s="115" t="str">
        <x:v>Pièces décrites, murs, portes, niveaux et mobilier inspectables à l’échelle. Volumes réservés, raccord au seed, butin, rencontres et services de campagne restent à terminer.</x:v>
      </x:c>
    </x:row>
    <x:row r="3898" ht="96" customHeight="1">
      <x:c r="A3898" s="115" t="str">
        <x:v>EXT-MONDE-T078-V43</x:v>
      </x:c>
      <x:c r="B3898" s="115" t="str">
        <x:v>EXT-MONDE-T078</x:v>
      </x:c>
      <x:c r="C3898" s="115" t="str">
        <x:v>Îles</x:v>
      </x:c>
      <x:c r="D3898" s="115" t="str">
        <x:v>Île agricole habitée</x:v>
      </x:c>
      <x:c r="E3898" s="115" t="n">
        <x:v>43</x:v>
      </x:c>
      <x:c r="F3898" s="115" t="str">
        <x:v>Inspection physique</x:v>
      </x:c>
      <x:c r="G3898" s="115" t="str">
        <x:v>1 niveaux ; 32 pièces ; 248 segments de mur ; 0 transitions. Inspection physique ; architecture complète encore ouverte.</x:v>
      </x:c>
      <x:c r="H3898" s="115" t="str">
        <x:v>L 632 ; l 604 ; hauteur 14 m ; choix de composition auteur ; dimensions réelles à documenter</x:v>
      </x:c>
      <x:c r="I3898" s="115" t="str">
        <x:v>À équilibrer</x:v>
      </x:c>
      <x:c r="J3898" s="115" t="str">
        <x:v>Non</x:v>
      </x:c>
      <x:c r="K3898" s="115" t="str">
        <x:v>Pièces décrites, murs, portes, niveaux et mobilier inspectables à l’échelle. Volumes réservés, raccord au seed, butin, rencontres et services de campagne restent à terminer.</x:v>
      </x:c>
    </x:row>
    <x:row r="3899" ht="96" customHeight="1">
      <x:c r="A3899" s="115" t="str">
        <x:v>EXT-MONDE-T078-V44</x:v>
      </x:c>
      <x:c r="B3899" s="115" t="str">
        <x:v>EXT-MONDE-T078</x:v>
      </x:c>
      <x:c r="C3899" s="115" t="str">
        <x:v>Îles</x:v>
      </x:c>
      <x:c r="D3899" s="115" t="str">
        <x:v>Île agricole habitée</x:v>
      </x:c>
      <x:c r="E3899" s="115" t="n">
        <x:v>44</x:v>
      </x:c>
      <x:c r="F3899" s="115" t="str">
        <x:v>Inspection physique</x:v>
      </x:c>
      <x:c r="G3899" s="115" t="str">
        <x:v>1 niveaux ; 32 pièces ; 248 segments de mur ; 0 transitions. Inspection physique ; architecture complète encore ouverte.</x:v>
      </x:c>
      <x:c r="H3899" s="115" t="str">
        <x:v>L 632 ; l 604 ; hauteur 14 m ; choix de composition auteur ; dimensions réelles à documenter</x:v>
      </x:c>
      <x:c r="I3899" s="115" t="str">
        <x:v>À équilibrer</x:v>
      </x:c>
      <x:c r="J3899" s="115" t="str">
        <x:v>Non</x:v>
      </x:c>
      <x:c r="K3899" s="115" t="str">
        <x:v>Pièces décrites, murs, portes, niveaux et mobilier inspectables à l’échelle. Volumes réservés, raccord au seed, butin, rencontres et services de campagne restent à terminer.</x:v>
      </x:c>
    </x:row>
    <x:row r="3900" ht="96" customHeight="1">
      <x:c r="A3900" s="115" t="str">
        <x:v>EXT-MONDE-T078-V45</x:v>
      </x:c>
      <x:c r="B3900" s="115" t="str">
        <x:v>EXT-MONDE-T078</x:v>
      </x:c>
      <x:c r="C3900" s="115" t="str">
        <x:v>Îles</x:v>
      </x:c>
      <x:c r="D3900" s="115" t="str">
        <x:v>Île agricole habitée</x:v>
      </x:c>
      <x:c r="E3900" s="115" t="n">
        <x:v>45</x:v>
      </x:c>
      <x:c r="F3900" s="115" t="str">
        <x:v>Inspection physique</x:v>
      </x:c>
      <x:c r="G3900" s="115" t="str">
        <x:v>1 niveaux ; 32 pièces ; 248 segments de mur ; 0 transitions. Inspection physique ; architecture complète encore ouverte.</x:v>
      </x:c>
      <x:c r="H3900" s="115" t="str">
        <x:v>L 632 ; l 604 ; hauteur 14 m ; choix de composition auteur ; dimensions réelles à documenter</x:v>
      </x:c>
      <x:c r="I3900" s="115" t="str">
        <x:v>À équilibrer</x:v>
      </x:c>
      <x:c r="J3900" s="115" t="str">
        <x:v>Non</x:v>
      </x:c>
      <x:c r="K3900" s="115" t="str">
        <x:v>Pièces décrites, murs, portes, niveaux et mobilier inspectables à l’échelle. Volumes réservés, raccord au seed, butin, rencontres et services de campagne restent à terminer.</x:v>
      </x:c>
    </x:row>
    <x:row r="3901" ht="96" customHeight="1">
      <x:c r="A3901" s="115" t="str">
        <x:v>EXT-MONDE-T078-V46</x:v>
      </x:c>
      <x:c r="B3901" s="115" t="str">
        <x:v>EXT-MONDE-T078</x:v>
      </x:c>
      <x:c r="C3901" s="115" t="str">
        <x:v>Îles</x:v>
      </x:c>
      <x:c r="D3901" s="115" t="str">
        <x:v>Île agricole habitée</x:v>
      </x:c>
      <x:c r="E3901" s="115" t="n">
        <x:v>46</x:v>
      </x:c>
      <x:c r="F3901" s="115" t="str">
        <x:v>Inspection physique</x:v>
      </x:c>
      <x:c r="G3901" s="115" t="str">
        <x:v>1 niveaux ; 32 pièces ; 248 segments de mur ; 0 transitions. Inspection physique ; architecture complète encore ouverte.</x:v>
      </x:c>
      <x:c r="H3901" s="115" t="str">
        <x:v>L 632 ; l 604 ; hauteur 14 m ; choix de composition auteur ; dimensions réelles à documenter</x:v>
      </x:c>
      <x:c r="I3901" s="115" t="str">
        <x:v>À équilibrer</x:v>
      </x:c>
      <x:c r="J3901" s="115" t="str">
        <x:v>Non</x:v>
      </x:c>
      <x:c r="K3901" s="115" t="str">
        <x:v>Pièces décrites, murs, portes, niveaux et mobilier inspectables à l’échelle. Volumes réservés, raccord au seed, butin, rencontres et services de campagne restent à terminer.</x:v>
      </x:c>
    </x:row>
    <x:row r="3902" ht="96" customHeight="1">
      <x:c r="A3902" s="115" t="str">
        <x:v>EXT-MONDE-T078-V47</x:v>
      </x:c>
      <x:c r="B3902" s="115" t="str">
        <x:v>EXT-MONDE-T078</x:v>
      </x:c>
      <x:c r="C3902" s="115" t="str">
        <x:v>Îles</x:v>
      </x:c>
      <x:c r="D3902" s="115" t="str">
        <x:v>Île agricole habitée</x:v>
      </x:c>
      <x:c r="E3902" s="115" t="n">
        <x:v>47</x:v>
      </x:c>
      <x:c r="F3902" s="115" t="str">
        <x:v>Inspection physique</x:v>
      </x:c>
      <x:c r="G3902" s="115" t="str">
        <x:v>1 niveaux ; 32 pièces ; 248 segments de mur ; 0 transitions. Inspection physique ; architecture complète encore ouverte.</x:v>
      </x:c>
      <x:c r="H3902" s="115" t="str">
        <x:v>L 632 ; l 604 ; hauteur 14 m ; choix de composition auteur ; dimensions réelles à documenter</x:v>
      </x:c>
      <x:c r="I3902" s="115" t="str">
        <x:v>À équilibrer</x:v>
      </x:c>
      <x:c r="J3902" s="115" t="str">
        <x:v>Non</x:v>
      </x:c>
      <x:c r="K3902" s="115" t="str">
        <x:v>Pièces décrites, murs, portes, niveaux et mobilier inspectables à l’échelle. Volumes réservés, raccord au seed, butin, rencontres et services de campagne restent à terminer.</x:v>
      </x:c>
    </x:row>
    <x:row r="3903" ht="96" customHeight="1">
      <x:c r="A3903" s="115" t="str">
        <x:v>EXT-MONDE-T078-V48</x:v>
      </x:c>
      <x:c r="B3903" s="115" t="str">
        <x:v>EXT-MONDE-T078</x:v>
      </x:c>
      <x:c r="C3903" s="115" t="str">
        <x:v>Îles</x:v>
      </x:c>
      <x:c r="D3903" s="115" t="str">
        <x:v>Île agricole habitée</x:v>
      </x:c>
      <x:c r="E3903" s="115" t="n">
        <x:v>48</x:v>
      </x:c>
      <x:c r="F3903" s="115" t="str">
        <x:v>Inspection physique</x:v>
      </x:c>
      <x:c r="G3903" s="115" t="str">
        <x:v>1 niveaux ; 32 pièces ; 248 segments de mur ; 0 transitions. Inspection physique ; architecture complète encore ouverte.</x:v>
      </x:c>
      <x:c r="H3903" s="115" t="str">
        <x:v>L 632 ; l 604 ; hauteur 14 m ; choix de composition auteur ; dimensions réelles à documenter</x:v>
      </x:c>
      <x:c r="I3903" s="115" t="str">
        <x:v>À équilibrer</x:v>
      </x:c>
      <x:c r="J3903" s="115" t="str">
        <x:v>Non</x:v>
      </x:c>
      <x:c r="K3903" s="115" t="str">
        <x:v>Pièces décrites, murs, portes, niveaux et mobilier inspectables à l’échelle. Volumes réservés, raccord au seed, butin, rencontres et services de campagne restent à terminer.</x:v>
      </x:c>
    </x:row>
    <x:row r="3904" ht="96" customHeight="1">
      <x:c r="A3904" s="115" t="str">
        <x:v>EXT-MONDE-T078-V49</x:v>
      </x:c>
      <x:c r="B3904" s="115" t="str">
        <x:v>EXT-MONDE-T078</x:v>
      </x:c>
      <x:c r="C3904" s="115" t="str">
        <x:v>Îles</x:v>
      </x:c>
      <x:c r="D3904" s="115" t="str">
        <x:v>Île agricole habitée</x:v>
      </x:c>
      <x:c r="E3904" s="115" t="n">
        <x:v>49</x:v>
      </x:c>
      <x:c r="F3904" s="115" t="str">
        <x:v>Inspection physique</x:v>
      </x:c>
      <x:c r="G3904" s="115" t="str">
        <x:v>1 niveaux ; 32 pièces ; 248 segments de mur ; 0 transitions. Inspection physique ; architecture complète encore ouverte.</x:v>
      </x:c>
      <x:c r="H3904" s="115" t="str">
        <x:v>L 632 ; l 604 ; hauteur 14 m ; choix de composition auteur ; dimensions réelles à documenter</x:v>
      </x:c>
      <x:c r="I3904" s="115" t="str">
        <x:v>À équilibrer</x:v>
      </x:c>
      <x:c r="J3904" s="115" t="str">
        <x:v>Non</x:v>
      </x:c>
      <x:c r="K3904" s="115" t="str">
        <x:v>Pièces décrites, murs, portes, niveaux et mobilier inspectables à l’échelle. Volumes réservés, raccord au seed, butin, rencontres et services de campagne restent à terminer.</x:v>
      </x:c>
    </x:row>
    <x:row r="3905" ht="96" customHeight="1">
      <x:c r="A3905" s="115" t="str">
        <x:v>EXT-MONDE-T078-V50</x:v>
      </x:c>
      <x:c r="B3905" s="115" t="str">
        <x:v>EXT-MONDE-T078</x:v>
      </x:c>
      <x:c r="C3905" s="115" t="str">
        <x:v>Îles</x:v>
      </x:c>
      <x:c r="D3905" s="115" t="str">
        <x:v>Île agricole habitée</x:v>
      </x:c>
      <x:c r="E3905" s="115" t="n">
        <x:v>50</x:v>
      </x:c>
      <x:c r="F3905" s="115" t="str">
        <x:v>Inspection physique</x:v>
      </x:c>
      <x:c r="G3905" s="115" t="str">
        <x:v>1 niveaux ; 32 pièces ; 248 segments de mur ; 0 transitions. Inspection physique ; architecture complète encore ouverte.</x:v>
      </x:c>
      <x:c r="H3905" s="115" t="str">
        <x:v>L 632 ; l 604 ; hauteur 14 m ; choix de composition auteur ; dimensions réelles à documenter</x:v>
      </x:c>
      <x:c r="I3905" s="115" t="str">
        <x:v>À équilibrer</x:v>
      </x:c>
      <x:c r="J3905" s="115" t="str">
        <x:v>Non</x:v>
      </x:c>
      <x:c r="K3905" s="115" t="str">
        <x:v>Pièces décrites, murs, portes, niveaux et mobilier inspectables à l’échelle. Volumes réservés, raccord au seed, butin, rencontres et services de campagne restent à terminer.</x:v>
      </x:c>
    </x:row>
    <x:row r="3906" ht="96" customHeight="1">
      <x:c r="A3906" s="115" t="str">
        <x:v>EXT-MONDE-T079-V01</x:v>
      </x:c>
      <x:c r="B3906" s="115" t="str">
        <x:v>EXT-MONDE-T079</x:v>
      </x:c>
      <x:c r="C3906" s="115" t="str">
        <x:v>Îles</x:v>
      </x:c>
      <x:c r="D3906" s="115" t="str">
        <x:v>Île portuaire industrielle</x:v>
      </x:c>
      <x:c r="E3906" s="115" t="n">
        <x:v>1</x:v>
      </x:c>
      <x:c r="F3906" s="115" t="str">
        <x:v>Inspection physique</x:v>
      </x:c>
      <x:c r="G3906" s="115" t="str">
        <x:v>1 niveaux ; 34 pièces ; 260 segments de mur ; 0 transitions. Inspection physique ; architecture complète encore ouverte.</x:v>
      </x:c>
      <x:c r="H3906" s="115" t="str">
        <x:v>L 696 ; l 716 ; hauteur 30 m ; choix de composition auteur ; dimensions réelles à documenter</x:v>
      </x:c>
      <x:c r="I3906" s="115" t="str">
        <x:v>À équilibrer</x:v>
      </x:c>
      <x:c r="J3906" s="115" t="str">
        <x:v>Non</x:v>
      </x:c>
      <x:c r="K3906" s="115" t="str">
        <x:v>Pièces décrites, murs, portes, niveaux et mobilier inspectables à l’échelle. Volumes réservés, raccord au seed, butin, rencontres et services de campagne restent à terminer.</x:v>
      </x:c>
    </x:row>
    <x:row r="3907" ht="96" customHeight="1">
      <x:c r="A3907" s="115" t="str">
        <x:v>EXT-MONDE-T079-V02</x:v>
      </x:c>
      <x:c r="B3907" s="115" t="str">
        <x:v>EXT-MONDE-T079</x:v>
      </x:c>
      <x:c r="C3907" s="115" t="str">
        <x:v>Îles</x:v>
      </x:c>
      <x:c r="D3907" s="115" t="str">
        <x:v>Île portuaire industrielle</x:v>
      </x:c>
      <x:c r="E3907" s="115" t="n">
        <x:v>2</x:v>
      </x:c>
      <x:c r="F3907" s="115" t="str">
        <x:v>Inspection physique</x:v>
      </x:c>
      <x:c r="G3907" s="115" t="str">
        <x:v>1 niveaux ; 34 pièces ; 260 segments de mur ; 0 transitions. Inspection physique ; architecture complète encore ouverte.</x:v>
      </x:c>
      <x:c r="H3907" s="115" t="str">
        <x:v>L 696 ; l 716 ; hauteur 30 m ; choix de composition auteur ; dimensions réelles à documenter</x:v>
      </x:c>
      <x:c r="I3907" s="115" t="str">
        <x:v>À équilibrer</x:v>
      </x:c>
      <x:c r="J3907" s="115" t="str">
        <x:v>Non</x:v>
      </x:c>
      <x:c r="K3907" s="115" t="str">
        <x:v>Pièces décrites, murs, portes, niveaux et mobilier inspectables à l’échelle. Volumes réservés, raccord au seed, butin, rencontres et services de campagne restent à terminer.</x:v>
      </x:c>
    </x:row>
    <x:row r="3908" ht="96" customHeight="1">
      <x:c r="A3908" s="115" t="str">
        <x:v>EXT-MONDE-T079-V03</x:v>
      </x:c>
      <x:c r="B3908" s="115" t="str">
        <x:v>EXT-MONDE-T079</x:v>
      </x:c>
      <x:c r="C3908" s="115" t="str">
        <x:v>Îles</x:v>
      </x:c>
      <x:c r="D3908" s="115" t="str">
        <x:v>Île portuaire industrielle</x:v>
      </x:c>
      <x:c r="E3908" s="115" t="n">
        <x:v>3</x:v>
      </x:c>
      <x:c r="F3908" s="115" t="str">
        <x:v>Inspection physique</x:v>
      </x:c>
      <x:c r="G3908" s="115" t="str">
        <x:v>1 niveaux ; 34 pièces ; 260 segments de mur ; 0 transitions. Inspection physique ; architecture complète encore ouverte.</x:v>
      </x:c>
      <x:c r="H3908" s="115" t="str">
        <x:v>L 696 ; l 716 ; hauteur 30 m ; choix de composition auteur ; dimensions réelles à documenter</x:v>
      </x:c>
      <x:c r="I3908" s="115" t="str">
        <x:v>À équilibrer</x:v>
      </x:c>
      <x:c r="J3908" s="115" t="str">
        <x:v>Non</x:v>
      </x:c>
      <x:c r="K3908" s="115" t="str">
        <x:v>Pièces décrites, murs, portes, niveaux et mobilier inspectables à l’échelle. Volumes réservés, raccord au seed, butin, rencontres et services de campagne restent à terminer.</x:v>
      </x:c>
    </x:row>
    <x:row r="3909" ht="96" customHeight="1">
      <x:c r="A3909" s="115" t="str">
        <x:v>EXT-MONDE-T079-V04</x:v>
      </x:c>
      <x:c r="B3909" s="115" t="str">
        <x:v>EXT-MONDE-T079</x:v>
      </x:c>
      <x:c r="C3909" s="115" t="str">
        <x:v>Îles</x:v>
      </x:c>
      <x:c r="D3909" s="115" t="str">
        <x:v>Île portuaire industrielle</x:v>
      </x:c>
      <x:c r="E3909" s="115" t="n">
        <x:v>4</x:v>
      </x:c>
      <x:c r="F3909" s="115" t="str">
        <x:v>Inspection physique</x:v>
      </x:c>
      <x:c r="G3909" s="115" t="str">
        <x:v>1 niveaux ; 34 pièces ; 260 segments de mur ; 0 transitions. Inspection physique ; architecture complète encore ouverte.</x:v>
      </x:c>
      <x:c r="H3909" s="115" t="str">
        <x:v>L 696 ; l 716 ; hauteur 30 m ; choix de composition auteur ; dimensions réelles à documenter</x:v>
      </x:c>
      <x:c r="I3909" s="115" t="str">
        <x:v>À équilibrer</x:v>
      </x:c>
      <x:c r="J3909" s="115" t="str">
        <x:v>Non</x:v>
      </x:c>
      <x:c r="K3909" s="115" t="str">
        <x:v>Pièces décrites, murs, portes, niveaux et mobilier inspectables à l’échelle. Volumes réservés, raccord au seed, butin, rencontres et services de campagne restent à terminer.</x:v>
      </x:c>
    </x:row>
    <x:row r="3910" ht="96" customHeight="1">
      <x:c r="A3910" s="115" t="str">
        <x:v>EXT-MONDE-T079-V05</x:v>
      </x:c>
      <x:c r="B3910" s="115" t="str">
        <x:v>EXT-MONDE-T079</x:v>
      </x:c>
      <x:c r="C3910" s="115" t="str">
        <x:v>Îles</x:v>
      </x:c>
      <x:c r="D3910" s="115" t="str">
        <x:v>Île portuaire industrielle</x:v>
      </x:c>
      <x:c r="E3910" s="115" t="n">
        <x:v>5</x:v>
      </x:c>
      <x:c r="F3910" s="115" t="str">
        <x:v>Inspection physique</x:v>
      </x:c>
      <x:c r="G3910" s="115" t="str">
        <x:v>1 niveaux ; 34 pièces ; 260 segments de mur ; 0 transitions. Inspection physique ; architecture complète encore ouverte.</x:v>
      </x:c>
      <x:c r="H3910" s="115" t="str">
        <x:v>L 696 ; l 716 ; hauteur 30 m ; choix de composition auteur ; dimensions réelles à documenter</x:v>
      </x:c>
      <x:c r="I3910" s="115" t="str">
        <x:v>À équilibrer</x:v>
      </x:c>
      <x:c r="J3910" s="115" t="str">
        <x:v>Non</x:v>
      </x:c>
      <x:c r="K3910" s="115" t="str">
        <x:v>Pièces décrites, murs, portes, niveaux et mobilier inspectables à l’échelle. Volumes réservés, raccord au seed, butin, rencontres et services de campagne restent à terminer.</x:v>
      </x:c>
    </x:row>
    <x:row r="3911" ht="96" customHeight="1">
      <x:c r="A3911" s="115" t="str">
        <x:v>EXT-MONDE-T079-V06</x:v>
      </x:c>
      <x:c r="B3911" s="115" t="str">
        <x:v>EXT-MONDE-T079</x:v>
      </x:c>
      <x:c r="C3911" s="115" t="str">
        <x:v>Îles</x:v>
      </x:c>
      <x:c r="D3911" s="115" t="str">
        <x:v>Île portuaire industrielle</x:v>
      </x:c>
      <x:c r="E3911" s="115" t="n">
        <x:v>6</x:v>
      </x:c>
      <x:c r="F3911" s="115" t="str">
        <x:v>Inspection physique</x:v>
      </x:c>
      <x:c r="G3911" s="115" t="str">
        <x:v>1 niveaux ; 34 pièces ; 260 segments de mur ; 0 transitions. Inspection physique ; architecture complète encore ouverte.</x:v>
      </x:c>
      <x:c r="H3911" s="115" t="str">
        <x:v>L 696 ; l 716 ; hauteur 30 m ; choix de composition auteur ; dimensions réelles à documenter</x:v>
      </x:c>
      <x:c r="I3911" s="115" t="str">
        <x:v>À équilibrer</x:v>
      </x:c>
      <x:c r="J3911" s="115" t="str">
        <x:v>Non</x:v>
      </x:c>
      <x:c r="K3911" s="115" t="str">
        <x:v>Pièces décrites, murs, portes, niveaux et mobilier inspectables à l’échelle. Volumes réservés, raccord au seed, butin, rencontres et services de campagne restent à terminer.</x:v>
      </x:c>
    </x:row>
    <x:row r="3912" ht="96" customHeight="1">
      <x:c r="A3912" s="115" t="str">
        <x:v>EXT-MONDE-T079-V07</x:v>
      </x:c>
      <x:c r="B3912" s="115" t="str">
        <x:v>EXT-MONDE-T079</x:v>
      </x:c>
      <x:c r="C3912" s="115" t="str">
        <x:v>Îles</x:v>
      </x:c>
      <x:c r="D3912" s="115" t="str">
        <x:v>Île portuaire industrielle</x:v>
      </x:c>
      <x:c r="E3912" s="115" t="n">
        <x:v>7</x:v>
      </x:c>
      <x:c r="F3912" s="115" t="str">
        <x:v>Inspection physique</x:v>
      </x:c>
      <x:c r="G3912" s="115" t="str">
        <x:v>1 niveaux ; 34 pièces ; 260 segments de mur ; 0 transitions. Inspection physique ; architecture complète encore ouverte.</x:v>
      </x:c>
      <x:c r="H3912" s="115" t="str">
        <x:v>L 696 ; l 716 ; hauteur 30 m ; choix de composition auteur ; dimensions réelles à documenter</x:v>
      </x:c>
      <x:c r="I3912" s="115" t="str">
        <x:v>À équilibrer</x:v>
      </x:c>
      <x:c r="J3912" s="115" t="str">
        <x:v>Non</x:v>
      </x:c>
      <x:c r="K3912" s="115" t="str">
        <x:v>Pièces décrites, murs, portes, niveaux et mobilier inspectables à l’échelle. Volumes réservés, raccord au seed, butin, rencontres et services de campagne restent à terminer.</x:v>
      </x:c>
    </x:row>
    <x:row r="3913" ht="96" customHeight="1">
      <x:c r="A3913" s="115" t="str">
        <x:v>EXT-MONDE-T079-V08</x:v>
      </x:c>
      <x:c r="B3913" s="115" t="str">
        <x:v>EXT-MONDE-T079</x:v>
      </x:c>
      <x:c r="C3913" s="115" t="str">
        <x:v>Îles</x:v>
      </x:c>
      <x:c r="D3913" s="115" t="str">
        <x:v>Île portuaire industrielle</x:v>
      </x:c>
      <x:c r="E3913" s="115" t="n">
        <x:v>8</x:v>
      </x:c>
      <x:c r="F3913" s="115" t="str">
        <x:v>Inspection physique</x:v>
      </x:c>
      <x:c r="G3913" s="115" t="str">
        <x:v>1 niveaux ; 34 pièces ; 260 segments de mur ; 0 transitions. Inspection physique ; architecture complète encore ouverte.</x:v>
      </x:c>
      <x:c r="H3913" s="115" t="str">
        <x:v>L 696 ; l 716 ; hauteur 30 m ; choix de composition auteur ; dimensions réelles à documenter</x:v>
      </x:c>
      <x:c r="I3913" s="115" t="str">
        <x:v>À équilibrer</x:v>
      </x:c>
      <x:c r="J3913" s="115" t="str">
        <x:v>Non</x:v>
      </x:c>
      <x:c r="K3913" s="115" t="str">
        <x:v>Pièces décrites, murs, portes, niveaux et mobilier inspectables à l’échelle. Volumes réservés, raccord au seed, butin, rencontres et services de campagne restent à terminer.</x:v>
      </x:c>
    </x:row>
    <x:row r="3914" ht="96" customHeight="1">
      <x:c r="A3914" s="115" t="str">
        <x:v>EXT-MONDE-T079-V09</x:v>
      </x:c>
      <x:c r="B3914" s="115" t="str">
        <x:v>EXT-MONDE-T079</x:v>
      </x:c>
      <x:c r="C3914" s="115" t="str">
        <x:v>Îles</x:v>
      </x:c>
      <x:c r="D3914" s="115" t="str">
        <x:v>Île portuaire industrielle</x:v>
      </x:c>
      <x:c r="E3914" s="115" t="n">
        <x:v>9</x:v>
      </x:c>
      <x:c r="F3914" s="115" t="str">
        <x:v>Inspection physique</x:v>
      </x:c>
      <x:c r="G3914" s="115" t="str">
        <x:v>1 niveaux ; 34 pièces ; 260 segments de mur ; 0 transitions. Inspection physique ; architecture complète encore ouverte.</x:v>
      </x:c>
      <x:c r="H3914" s="115" t="str">
        <x:v>L 696 ; l 716 ; hauteur 30 m ; choix de composition auteur ; dimensions réelles à documenter</x:v>
      </x:c>
      <x:c r="I3914" s="115" t="str">
        <x:v>À équilibrer</x:v>
      </x:c>
      <x:c r="J3914" s="115" t="str">
        <x:v>Non</x:v>
      </x:c>
      <x:c r="K3914" s="115" t="str">
        <x:v>Pièces décrites, murs, portes, niveaux et mobilier inspectables à l’échelle. Volumes réservés, raccord au seed, butin, rencontres et services de campagne restent à terminer.</x:v>
      </x:c>
    </x:row>
    <x:row r="3915" ht="96" customHeight="1">
      <x:c r="A3915" s="115" t="str">
        <x:v>EXT-MONDE-T079-V10</x:v>
      </x:c>
      <x:c r="B3915" s="115" t="str">
        <x:v>EXT-MONDE-T079</x:v>
      </x:c>
      <x:c r="C3915" s="115" t="str">
        <x:v>Îles</x:v>
      </x:c>
      <x:c r="D3915" s="115" t="str">
        <x:v>Île portuaire industrielle</x:v>
      </x:c>
      <x:c r="E3915" s="115" t="n">
        <x:v>10</x:v>
      </x:c>
      <x:c r="F3915" s="115" t="str">
        <x:v>Inspection physique</x:v>
      </x:c>
      <x:c r="G3915" s="115" t="str">
        <x:v>1 niveaux ; 34 pièces ; 260 segments de mur ; 0 transitions. Inspection physique ; architecture complète encore ouverte.</x:v>
      </x:c>
      <x:c r="H3915" s="115" t="str">
        <x:v>L 696 ; l 716 ; hauteur 30 m ; choix de composition auteur ; dimensions réelles à documenter</x:v>
      </x:c>
      <x:c r="I3915" s="115" t="str">
        <x:v>À équilibrer</x:v>
      </x:c>
      <x:c r="J3915" s="115" t="str">
        <x:v>Non</x:v>
      </x:c>
      <x:c r="K3915" s="115" t="str">
        <x:v>Pièces décrites, murs, portes, niveaux et mobilier inspectables à l’échelle. Volumes réservés, raccord au seed, butin, rencontres et services de campagne restent à terminer.</x:v>
      </x:c>
    </x:row>
    <x:row r="3916" ht="96" customHeight="1">
      <x:c r="A3916" s="115" t="str">
        <x:v>EXT-MONDE-T079-V11</x:v>
      </x:c>
      <x:c r="B3916" s="115" t="str">
        <x:v>EXT-MONDE-T079</x:v>
      </x:c>
      <x:c r="C3916" s="115" t="str">
        <x:v>Îles</x:v>
      </x:c>
      <x:c r="D3916" s="115" t="str">
        <x:v>Île portuaire industrielle</x:v>
      </x:c>
      <x:c r="E3916" s="115" t="n">
        <x:v>11</x:v>
      </x:c>
      <x:c r="F3916" s="115" t="str">
        <x:v>Inspection physique</x:v>
      </x:c>
      <x:c r="G3916" s="115" t="str">
        <x:v>1 niveaux ; 34 pièces ; 260 segments de mur ; 0 transitions. Inspection physique ; architecture complète encore ouverte.</x:v>
      </x:c>
      <x:c r="H3916" s="115" t="str">
        <x:v>L 710 ; l 728 ; hauteur 30 m ; choix de composition auteur ; dimensions réelles à documenter</x:v>
      </x:c>
      <x:c r="I3916" s="115" t="str">
        <x:v>À équilibrer</x:v>
      </x:c>
      <x:c r="J3916" s="115" t="str">
        <x:v>Non</x:v>
      </x:c>
      <x:c r="K3916" s="115" t="str">
        <x:v>Pièces décrites, murs, portes, niveaux et mobilier inspectables à l’échelle. Volumes réservés, raccord au seed, butin, rencontres et services de campagne restent à terminer.</x:v>
      </x:c>
    </x:row>
    <x:row r="3917" ht="96" customHeight="1">
      <x:c r="A3917" s="115" t="str">
        <x:v>EXT-MONDE-T079-V12</x:v>
      </x:c>
      <x:c r="B3917" s="115" t="str">
        <x:v>EXT-MONDE-T079</x:v>
      </x:c>
      <x:c r="C3917" s="115" t="str">
        <x:v>Îles</x:v>
      </x:c>
      <x:c r="D3917" s="115" t="str">
        <x:v>Île portuaire industrielle</x:v>
      </x:c>
      <x:c r="E3917" s="115" t="n">
        <x:v>12</x:v>
      </x:c>
      <x:c r="F3917" s="115" t="str">
        <x:v>Inspection physique</x:v>
      </x:c>
      <x:c r="G3917" s="115" t="str">
        <x:v>1 niveaux ; 34 pièces ; 260 segments de mur ; 0 transitions. Inspection physique ; architecture complète encore ouverte.</x:v>
      </x:c>
      <x:c r="H3917" s="115" t="str">
        <x:v>L 710 ; l 728 ; hauteur 30 m ; choix de composition auteur ; dimensions réelles à documenter</x:v>
      </x:c>
      <x:c r="I3917" s="115" t="str">
        <x:v>À équilibrer</x:v>
      </x:c>
      <x:c r="J3917" s="115" t="str">
        <x:v>Non</x:v>
      </x:c>
      <x:c r="K3917" s="115" t="str">
        <x:v>Pièces décrites, murs, portes, niveaux et mobilier inspectables à l’échelle. Volumes réservés, raccord au seed, butin, rencontres et services de campagne restent à terminer.</x:v>
      </x:c>
    </x:row>
    <x:row r="3918" ht="96" customHeight="1">
      <x:c r="A3918" s="115" t="str">
        <x:v>EXT-MONDE-T079-V13</x:v>
      </x:c>
      <x:c r="B3918" s="115" t="str">
        <x:v>EXT-MONDE-T079</x:v>
      </x:c>
      <x:c r="C3918" s="115" t="str">
        <x:v>Îles</x:v>
      </x:c>
      <x:c r="D3918" s="115" t="str">
        <x:v>Île portuaire industrielle</x:v>
      </x:c>
      <x:c r="E3918" s="115" t="n">
        <x:v>13</x:v>
      </x:c>
      <x:c r="F3918" s="115" t="str">
        <x:v>Inspection physique</x:v>
      </x:c>
      <x:c r="G3918" s="115" t="str">
        <x:v>1 niveaux ; 34 pièces ; 260 segments de mur ; 0 transitions. Inspection physique ; architecture complète encore ouverte.</x:v>
      </x:c>
      <x:c r="H3918" s="115" t="str">
        <x:v>L 710 ; l 728 ; hauteur 30 m ; choix de composition auteur ; dimensions réelles à documenter</x:v>
      </x:c>
      <x:c r="I3918" s="115" t="str">
        <x:v>À équilibrer</x:v>
      </x:c>
      <x:c r="J3918" s="115" t="str">
        <x:v>Non</x:v>
      </x:c>
      <x:c r="K3918" s="115" t="str">
        <x:v>Pièces décrites, murs, portes, niveaux et mobilier inspectables à l’échelle. Volumes réservés, raccord au seed, butin, rencontres et services de campagne restent à terminer.</x:v>
      </x:c>
    </x:row>
    <x:row r="3919" ht="96" customHeight="1">
      <x:c r="A3919" s="115" t="str">
        <x:v>EXT-MONDE-T079-V14</x:v>
      </x:c>
      <x:c r="B3919" s="115" t="str">
        <x:v>EXT-MONDE-T079</x:v>
      </x:c>
      <x:c r="C3919" s="115" t="str">
        <x:v>Îles</x:v>
      </x:c>
      <x:c r="D3919" s="115" t="str">
        <x:v>Île portuaire industrielle</x:v>
      </x:c>
      <x:c r="E3919" s="115" t="n">
        <x:v>14</x:v>
      </x:c>
      <x:c r="F3919" s="115" t="str">
        <x:v>Inspection physique</x:v>
      </x:c>
      <x:c r="G3919" s="115" t="str">
        <x:v>1 niveaux ; 34 pièces ; 260 segments de mur ; 0 transitions. Inspection physique ; architecture complète encore ouverte.</x:v>
      </x:c>
      <x:c r="H3919" s="115" t="str">
        <x:v>L 710 ; l 728 ; hauteur 30 m ; choix de composition auteur ; dimensions réelles à documenter</x:v>
      </x:c>
      <x:c r="I3919" s="115" t="str">
        <x:v>À équilibrer</x:v>
      </x:c>
      <x:c r="J3919" s="115" t="str">
        <x:v>Non</x:v>
      </x:c>
      <x:c r="K3919" s="115" t="str">
        <x:v>Pièces décrites, murs, portes, niveaux et mobilier inspectables à l’échelle. Volumes réservés, raccord au seed, butin, rencontres et services de campagne restent à terminer.</x:v>
      </x:c>
    </x:row>
    <x:row r="3920" ht="96" customHeight="1">
      <x:c r="A3920" s="115" t="str">
        <x:v>EXT-MONDE-T079-V15</x:v>
      </x:c>
      <x:c r="B3920" s="115" t="str">
        <x:v>EXT-MONDE-T079</x:v>
      </x:c>
      <x:c r="C3920" s="115" t="str">
        <x:v>Îles</x:v>
      </x:c>
      <x:c r="D3920" s="115" t="str">
        <x:v>Île portuaire industrielle</x:v>
      </x:c>
      <x:c r="E3920" s="115" t="n">
        <x:v>15</x:v>
      </x:c>
      <x:c r="F3920" s="115" t="str">
        <x:v>Inspection physique</x:v>
      </x:c>
      <x:c r="G3920" s="115" t="str">
        <x:v>1 niveaux ; 34 pièces ; 260 segments de mur ; 0 transitions. Inspection physique ; architecture complète encore ouverte.</x:v>
      </x:c>
      <x:c r="H3920" s="115" t="str">
        <x:v>L 710 ; l 728 ; hauteur 30 m ; choix de composition auteur ; dimensions réelles à documenter</x:v>
      </x:c>
      <x:c r="I3920" s="115" t="str">
        <x:v>À équilibrer</x:v>
      </x:c>
      <x:c r="J3920" s="115" t="str">
        <x:v>Non</x:v>
      </x:c>
      <x:c r="K3920" s="115" t="str">
        <x:v>Pièces décrites, murs, portes, niveaux et mobilier inspectables à l’échelle. Volumes réservés, raccord au seed, butin, rencontres et services de campagne restent à terminer.</x:v>
      </x:c>
    </x:row>
    <x:row r="3921" ht="96" customHeight="1">
      <x:c r="A3921" s="115" t="str">
        <x:v>EXT-MONDE-T079-V16</x:v>
      </x:c>
      <x:c r="B3921" s="115" t="str">
        <x:v>EXT-MONDE-T079</x:v>
      </x:c>
      <x:c r="C3921" s="115" t="str">
        <x:v>Îles</x:v>
      </x:c>
      <x:c r="D3921" s="115" t="str">
        <x:v>Île portuaire industrielle</x:v>
      </x:c>
      <x:c r="E3921" s="115" t="n">
        <x:v>16</x:v>
      </x:c>
      <x:c r="F3921" s="115" t="str">
        <x:v>Inspection physique</x:v>
      </x:c>
      <x:c r="G3921" s="115" t="str">
        <x:v>1 niveaux ; 34 pièces ; 260 segments de mur ; 0 transitions. Inspection physique ; architecture complète encore ouverte.</x:v>
      </x:c>
      <x:c r="H3921" s="115" t="str">
        <x:v>L 710 ; l 728 ; hauteur 30 m ; choix de composition auteur ; dimensions réelles à documenter</x:v>
      </x:c>
      <x:c r="I3921" s="115" t="str">
        <x:v>À équilibrer</x:v>
      </x:c>
      <x:c r="J3921" s="115" t="str">
        <x:v>Non</x:v>
      </x:c>
      <x:c r="K3921" s="115" t="str">
        <x:v>Pièces décrites, murs, portes, niveaux et mobilier inspectables à l’échelle. Volumes réservés, raccord au seed, butin, rencontres et services de campagne restent à terminer.</x:v>
      </x:c>
    </x:row>
    <x:row r="3922" ht="96" customHeight="1">
      <x:c r="A3922" s="115" t="str">
        <x:v>EXT-MONDE-T079-V17</x:v>
      </x:c>
      <x:c r="B3922" s="115" t="str">
        <x:v>EXT-MONDE-T079</x:v>
      </x:c>
      <x:c r="C3922" s="115" t="str">
        <x:v>Îles</x:v>
      </x:c>
      <x:c r="D3922" s="115" t="str">
        <x:v>Île portuaire industrielle</x:v>
      </x:c>
      <x:c r="E3922" s="115" t="n">
        <x:v>17</x:v>
      </x:c>
      <x:c r="F3922" s="115" t="str">
        <x:v>Inspection physique</x:v>
      </x:c>
      <x:c r="G3922" s="115" t="str">
        <x:v>1 niveaux ; 34 pièces ; 260 segments de mur ; 0 transitions. Inspection physique ; architecture complète encore ouverte.</x:v>
      </x:c>
      <x:c r="H3922" s="115" t="str">
        <x:v>L 710 ; l 728 ; hauteur 30 m ; choix de composition auteur ; dimensions réelles à documenter</x:v>
      </x:c>
      <x:c r="I3922" s="115" t="str">
        <x:v>À équilibrer</x:v>
      </x:c>
      <x:c r="J3922" s="115" t="str">
        <x:v>Non</x:v>
      </x:c>
      <x:c r="K3922" s="115" t="str">
        <x:v>Pièces décrites, murs, portes, niveaux et mobilier inspectables à l’échelle. Volumes réservés, raccord au seed, butin, rencontres et services de campagne restent à terminer.</x:v>
      </x:c>
    </x:row>
    <x:row r="3923" ht="96" customHeight="1">
      <x:c r="A3923" s="115" t="str">
        <x:v>EXT-MONDE-T079-V18</x:v>
      </x:c>
      <x:c r="B3923" s="115" t="str">
        <x:v>EXT-MONDE-T079</x:v>
      </x:c>
      <x:c r="C3923" s="115" t="str">
        <x:v>Îles</x:v>
      </x:c>
      <x:c r="D3923" s="115" t="str">
        <x:v>Île portuaire industrielle</x:v>
      </x:c>
      <x:c r="E3923" s="115" t="n">
        <x:v>18</x:v>
      </x:c>
      <x:c r="F3923" s="115" t="str">
        <x:v>Inspection physique</x:v>
      </x:c>
      <x:c r="G3923" s="115" t="str">
        <x:v>1 niveaux ; 34 pièces ; 260 segments de mur ; 0 transitions. Inspection physique ; architecture complète encore ouverte.</x:v>
      </x:c>
      <x:c r="H3923" s="115" t="str">
        <x:v>L 710 ; l 728 ; hauteur 30 m ; choix de composition auteur ; dimensions réelles à documenter</x:v>
      </x:c>
      <x:c r="I3923" s="115" t="str">
        <x:v>À équilibrer</x:v>
      </x:c>
      <x:c r="J3923" s="115" t="str">
        <x:v>Non</x:v>
      </x:c>
      <x:c r="K3923" s="115" t="str">
        <x:v>Pièces décrites, murs, portes, niveaux et mobilier inspectables à l’échelle. Volumes réservés, raccord au seed, butin, rencontres et services de campagne restent à terminer.</x:v>
      </x:c>
    </x:row>
    <x:row r="3924" ht="96" customHeight="1">
      <x:c r="A3924" s="115" t="str">
        <x:v>EXT-MONDE-T079-V19</x:v>
      </x:c>
      <x:c r="B3924" s="115" t="str">
        <x:v>EXT-MONDE-T079</x:v>
      </x:c>
      <x:c r="C3924" s="115" t="str">
        <x:v>Îles</x:v>
      </x:c>
      <x:c r="D3924" s="115" t="str">
        <x:v>Île portuaire industrielle</x:v>
      </x:c>
      <x:c r="E3924" s="115" t="n">
        <x:v>19</x:v>
      </x:c>
      <x:c r="F3924" s="115" t="str">
        <x:v>Inspection physique</x:v>
      </x:c>
      <x:c r="G3924" s="115" t="str">
        <x:v>1 niveaux ; 34 pièces ; 260 segments de mur ; 0 transitions. Inspection physique ; architecture complète encore ouverte.</x:v>
      </x:c>
      <x:c r="H3924" s="115" t="str">
        <x:v>L 710 ; l 728 ; hauteur 30 m ; choix de composition auteur ; dimensions réelles à documenter</x:v>
      </x:c>
      <x:c r="I3924" s="115" t="str">
        <x:v>À équilibrer</x:v>
      </x:c>
      <x:c r="J3924" s="115" t="str">
        <x:v>Non</x:v>
      </x:c>
      <x:c r="K3924" s="115" t="str">
        <x:v>Pièces décrites, murs, portes, niveaux et mobilier inspectables à l’échelle. Volumes réservés, raccord au seed, butin, rencontres et services de campagne restent à terminer.</x:v>
      </x:c>
    </x:row>
    <x:row r="3925" ht="96" customHeight="1">
      <x:c r="A3925" s="115" t="str">
        <x:v>EXT-MONDE-T079-V20</x:v>
      </x:c>
      <x:c r="B3925" s="115" t="str">
        <x:v>EXT-MONDE-T079</x:v>
      </x:c>
      <x:c r="C3925" s="115" t="str">
        <x:v>Îles</x:v>
      </x:c>
      <x:c r="D3925" s="115" t="str">
        <x:v>Île portuaire industrielle</x:v>
      </x:c>
      <x:c r="E3925" s="115" t="n">
        <x:v>20</x:v>
      </x:c>
      <x:c r="F3925" s="115" t="str">
        <x:v>Inspection physique</x:v>
      </x:c>
      <x:c r="G3925" s="115" t="str">
        <x:v>1 niveaux ; 34 pièces ; 260 segments de mur ; 0 transitions. Inspection physique ; architecture complète encore ouverte.</x:v>
      </x:c>
      <x:c r="H3925" s="115" t="str">
        <x:v>L 710 ; l 728 ; hauteur 30 m ; choix de composition auteur ; dimensions réelles à documenter</x:v>
      </x:c>
      <x:c r="I3925" s="115" t="str">
        <x:v>À équilibrer</x:v>
      </x:c>
      <x:c r="J3925" s="115" t="str">
        <x:v>Non</x:v>
      </x:c>
      <x:c r="K3925" s="115" t="str">
        <x:v>Pièces décrites, murs, portes, niveaux et mobilier inspectables à l’échelle. Volumes réservés, raccord au seed, butin, rencontres et services de campagne restent à terminer.</x:v>
      </x:c>
    </x:row>
    <x:row r="3926" ht="96" customHeight="1">
      <x:c r="A3926" s="115" t="str">
        <x:v>EXT-MONDE-T079-V21</x:v>
      </x:c>
      <x:c r="B3926" s="115" t="str">
        <x:v>EXT-MONDE-T079</x:v>
      </x:c>
      <x:c r="C3926" s="115" t="str">
        <x:v>Îles</x:v>
      </x:c>
      <x:c r="D3926" s="115" t="str">
        <x:v>Île portuaire industrielle</x:v>
      </x:c>
      <x:c r="E3926" s="115" t="n">
        <x:v>21</x:v>
      </x:c>
      <x:c r="F3926" s="115" t="str">
        <x:v>Inspection physique</x:v>
      </x:c>
      <x:c r="G3926" s="115" t="str">
        <x:v>1 niveaux ; 34 pièces ; 260 segments de mur ; 0 transitions. Inspection physique ; architecture complète encore ouverte.</x:v>
      </x:c>
      <x:c r="H3926" s="115" t="str">
        <x:v>L 724 ; l 740 ; hauteur 30 m ; choix de composition auteur ; dimensions réelles à documenter</x:v>
      </x:c>
      <x:c r="I3926" s="115" t="str">
        <x:v>À équilibrer</x:v>
      </x:c>
      <x:c r="J3926" s="115" t="str">
        <x:v>Non</x:v>
      </x:c>
      <x:c r="K3926" s="115" t="str">
        <x:v>Pièces décrites, murs, portes, niveaux et mobilier inspectables à l’échelle. Volumes réservés, raccord au seed, butin, rencontres et services de campagne restent à terminer.</x:v>
      </x:c>
    </x:row>
    <x:row r="3927" ht="96" customHeight="1">
      <x:c r="A3927" s="115" t="str">
        <x:v>EXT-MONDE-T079-V22</x:v>
      </x:c>
      <x:c r="B3927" s="115" t="str">
        <x:v>EXT-MONDE-T079</x:v>
      </x:c>
      <x:c r="C3927" s="115" t="str">
        <x:v>Îles</x:v>
      </x:c>
      <x:c r="D3927" s="115" t="str">
        <x:v>Île portuaire industrielle</x:v>
      </x:c>
      <x:c r="E3927" s="115" t="n">
        <x:v>22</x:v>
      </x:c>
      <x:c r="F3927" s="115" t="str">
        <x:v>Inspection physique</x:v>
      </x:c>
      <x:c r="G3927" s="115" t="str">
        <x:v>1 niveaux ; 34 pièces ; 260 segments de mur ; 0 transitions. Inspection physique ; architecture complète encore ouverte.</x:v>
      </x:c>
      <x:c r="H3927" s="115" t="str">
        <x:v>L 724 ; l 740 ; hauteur 30 m ; choix de composition auteur ; dimensions réelles à documenter</x:v>
      </x:c>
      <x:c r="I3927" s="115" t="str">
        <x:v>À équilibrer</x:v>
      </x:c>
      <x:c r="J3927" s="115" t="str">
        <x:v>Non</x:v>
      </x:c>
      <x:c r="K3927" s="115" t="str">
        <x:v>Pièces décrites, murs, portes, niveaux et mobilier inspectables à l’échelle. Volumes réservés, raccord au seed, butin, rencontres et services de campagne restent à terminer.</x:v>
      </x:c>
    </x:row>
    <x:row r="3928" ht="96" customHeight="1">
      <x:c r="A3928" s="115" t="str">
        <x:v>EXT-MONDE-T079-V23</x:v>
      </x:c>
      <x:c r="B3928" s="115" t="str">
        <x:v>EXT-MONDE-T079</x:v>
      </x:c>
      <x:c r="C3928" s="115" t="str">
        <x:v>Îles</x:v>
      </x:c>
      <x:c r="D3928" s="115" t="str">
        <x:v>Île portuaire industrielle</x:v>
      </x:c>
      <x:c r="E3928" s="115" t="n">
        <x:v>23</x:v>
      </x:c>
      <x:c r="F3928" s="115" t="str">
        <x:v>Inspection physique</x:v>
      </x:c>
      <x:c r="G3928" s="115" t="str">
        <x:v>1 niveaux ; 34 pièces ; 260 segments de mur ; 0 transitions. Inspection physique ; architecture complète encore ouverte.</x:v>
      </x:c>
      <x:c r="H3928" s="115" t="str">
        <x:v>L 724 ; l 740 ; hauteur 30 m ; choix de composition auteur ; dimensions réelles à documenter</x:v>
      </x:c>
      <x:c r="I3928" s="115" t="str">
        <x:v>À équilibrer</x:v>
      </x:c>
      <x:c r="J3928" s="115" t="str">
        <x:v>Non</x:v>
      </x:c>
      <x:c r="K3928" s="115" t="str">
        <x:v>Pièces décrites, murs, portes, niveaux et mobilier inspectables à l’échelle. Volumes réservés, raccord au seed, butin, rencontres et services de campagne restent à terminer.</x:v>
      </x:c>
    </x:row>
    <x:row r="3929" ht="96" customHeight="1">
      <x:c r="A3929" s="115" t="str">
        <x:v>EXT-MONDE-T079-V24</x:v>
      </x:c>
      <x:c r="B3929" s="115" t="str">
        <x:v>EXT-MONDE-T079</x:v>
      </x:c>
      <x:c r="C3929" s="115" t="str">
        <x:v>Îles</x:v>
      </x:c>
      <x:c r="D3929" s="115" t="str">
        <x:v>Île portuaire industrielle</x:v>
      </x:c>
      <x:c r="E3929" s="115" t="n">
        <x:v>24</x:v>
      </x:c>
      <x:c r="F3929" s="115" t="str">
        <x:v>Inspection physique</x:v>
      </x:c>
      <x:c r="G3929" s="115" t="str">
        <x:v>1 niveaux ; 34 pièces ; 260 segments de mur ; 0 transitions. Inspection physique ; architecture complète encore ouverte.</x:v>
      </x:c>
      <x:c r="H3929" s="115" t="str">
        <x:v>L 724 ; l 740 ; hauteur 30 m ; choix de composition auteur ; dimensions réelles à documenter</x:v>
      </x:c>
      <x:c r="I3929" s="115" t="str">
        <x:v>À équilibrer</x:v>
      </x:c>
      <x:c r="J3929" s="115" t="str">
        <x:v>Non</x:v>
      </x:c>
      <x:c r="K3929" s="115" t="str">
        <x:v>Pièces décrites, murs, portes, niveaux et mobilier inspectables à l’échelle. Volumes réservés, raccord au seed, butin, rencontres et services de campagne restent à terminer.</x:v>
      </x:c>
    </x:row>
    <x:row r="3930" ht="96" customHeight="1">
      <x:c r="A3930" s="115" t="str">
        <x:v>EXT-MONDE-T079-V25</x:v>
      </x:c>
      <x:c r="B3930" s="115" t="str">
        <x:v>EXT-MONDE-T079</x:v>
      </x:c>
      <x:c r="C3930" s="115" t="str">
        <x:v>Îles</x:v>
      </x:c>
      <x:c r="D3930" s="115" t="str">
        <x:v>Île portuaire industrielle</x:v>
      </x:c>
      <x:c r="E3930" s="115" t="n">
        <x:v>25</x:v>
      </x:c>
      <x:c r="F3930" s="115" t="str">
        <x:v>Inspection physique</x:v>
      </x:c>
      <x:c r="G3930" s="115" t="str">
        <x:v>1 niveaux ; 34 pièces ; 260 segments de mur ; 0 transitions. Inspection physique ; architecture complète encore ouverte.</x:v>
      </x:c>
      <x:c r="H3930" s="115" t="str">
        <x:v>L 724 ; l 740 ; hauteur 30 m ; choix de composition auteur ; dimensions réelles à documenter</x:v>
      </x:c>
      <x:c r="I3930" s="115" t="str">
        <x:v>À équilibrer</x:v>
      </x:c>
      <x:c r="J3930" s="115" t="str">
        <x:v>Non</x:v>
      </x:c>
      <x:c r="K3930" s="115" t="str">
        <x:v>Pièces décrites, murs, portes, niveaux et mobilier inspectables à l’échelle. Volumes réservés, raccord au seed, butin, rencontres et services de campagne restent à terminer.</x:v>
      </x:c>
    </x:row>
    <x:row r="3931" ht="96" customHeight="1">
      <x:c r="A3931" s="115" t="str">
        <x:v>EXT-MONDE-T079-V26</x:v>
      </x:c>
      <x:c r="B3931" s="115" t="str">
        <x:v>EXT-MONDE-T079</x:v>
      </x:c>
      <x:c r="C3931" s="115" t="str">
        <x:v>Îles</x:v>
      </x:c>
      <x:c r="D3931" s="115" t="str">
        <x:v>Île portuaire industrielle</x:v>
      </x:c>
      <x:c r="E3931" s="115" t="n">
        <x:v>26</x:v>
      </x:c>
      <x:c r="F3931" s="115" t="str">
        <x:v>Inspection physique</x:v>
      </x:c>
      <x:c r="G3931" s="115" t="str">
        <x:v>1 niveaux ; 34 pièces ; 260 segments de mur ; 0 transitions. Inspection physique ; architecture complète encore ouverte.</x:v>
      </x:c>
      <x:c r="H3931" s="115" t="str">
        <x:v>L 724 ; l 740 ; hauteur 30 m ; choix de composition auteur ; dimensions réelles à documenter</x:v>
      </x:c>
      <x:c r="I3931" s="115" t="str">
        <x:v>À équilibrer</x:v>
      </x:c>
      <x:c r="J3931" s="115" t="str">
        <x:v>Non</x:v>
      </x:c>
      <x:c r="K3931" s="115" t="str">
        <x:v>Pièces décrites, murs, portes, niveaux et mobilier inspectables à l’échelle. Volumes réservés, raccord au seed, butin, rencontres et services de campagne restent à terminer.</x:v>
      </x:c>
    </x:row>
    <x:row r="3932" ht="96" customHeight="1">
      <x:c r="A3932" s="115" t="str">
        <x:v>EXT-MONDE-T079-V27</x:v>
      </x:c>
      <x:c r="B3932" s="115" t="str">
        <x:v>EXT-MONDE-T079</x:v>
      </x:c>
      <x:c r="C3932" s="115" t="str">
        <x:v>Îles</x:v>
      </x:c>
      <x:c r="D3932" s="115" t="str">
        <x:v>Île portuaire industrielle</x:v>
      </x:c>
      <x:c r="E3932" s="115" t="n">
        <x:v>27</x:v>
      </x:c>
      <x:c r="F3932" s="115" t="str">
        <x:v>Inspection physique</x:v>
      </x:c>
      <x:c r="G3932" s="115" t="str">
        <x:v>1 niveaux ; 34 pièces ; 260 segments de mur ; 0 transitions. Inspection physique ; architecture complète encore ouverte.</x:v>
      </x:c>
      <x:c r="H3932" s="115" t="str">
        <x:v>L 724 ; l 740 ; hauteur 30 m ; choix de composition auteur ; dimensions réelles à documenter</x:v>
      </x:c>
      <x:c r="I3932" s="115" t="str">
        <x:v>À équilibrer</x:v>
      </x:c>
      <x:c r="J3932" s="115" t="str">
        <x:v>Non</x:v>
      </x:c>
      <x:c r="K3932" s="115" t="str">
        <x:v>Pièces décrites, murs, portes, niveaux et mobilier inspectables à l’échelle. Volumes réservés, raccord au seed, butin, rencontres et services de campagne restent à terminer.</x:v>
      </x:c>
    </x:row>
    <x:row r="3933" ht="96" customHeight="1">
      <x:c r="A3933" s="115" t="str">
        <x:v>EXT-MONDE-T079-V28</x:v>
      </x:c>
      <x:c r="B3933" s="115" t="str">
        <x:v>EXT-MONDE-T079</x:v>
      </x:c>
      <x:c r="C3933" s="115" t="str">
        <x:v>Îles</x:v>
      </x:c>
      <x:c r="D3933" s="115" t="str">
        <x:v>Île portuaire industrielle</x:v>
      </x:c>
      <x:c r="E3933" s="115" t="n">
        <x:v>28</x:v>
      </x:c>
      <x:c r="F3933" s="115" t="str">
        <x:v>Inspection physique</x:v>
      </x:c>
      <x:c r="G3933" s="115" t="str">
        <x:v>1 niveaux ; 34 pièces ; 260 segments de mur ; 0 transitions. Inspection physique ; architecture complète encore ouverte.</x:v>
      </x:c>
      <x:c r="H3933" s="115" t="str">
        <x:v>L 724 ; l 740 ; hauteur 30 m ; choix de composition auteur ; dimensions réelles à documenter</x:v>
      </x:c>
      <x:c r="I3933" s="115" t="str">
        <x:v>À équilibrer</x:v>
      </x:c>
      <x:c r="J3933" s="115" t="str">
        <x:v>Non</x:v>
      </x:c>
      <x:c r="K3933" s="115" t="str">
        <x:v>Pièces décrites, murs, portes, niveaux et mobilier inspectables à l’échelle. Volumes réservés, raccord au seed, butin, rencontres et services de campagne restent à terminer.</x:v>
      </x:c>
    </x:row>
    <x:row r="3934" ht="96" customHeight="1">
      <x:c r="A3934" s="115" t="str">
        <x:v>EXT-MONDE-T079-V29</x:v>
      </x:c>
      <x:c r="B3934" s="115" t="str">
        <x:v>EXT-MONDE-T079</x:v>
      </x:c>
      <x:c r="C3934" s="115" t="str">
        <x:v>Îles</x:v>
      </x:c>
      <x:c r="D3934" s="115" t="str">
        <x:v>Île portuaire industrielle</x:v>
      </x:c>
      <x:c r="E3934" s="115" t="n">
        <x:v>29</x:v>
      </x:c>
      <x:c r="F3934" s="115" t="str">
        <x:v>Inspection physique</x:v>
      </x:c>
      <x:c r="G3934" s="115" t="str">
        <x:v>1 niveaux ; 34 pièces ; 260 segments de mur ; 0 transitions. Inspection physique ; architecture complète encore ouverte.</x:v>
      </x:c>
      <x:c r="H3934" s="115" t="str">
        <x:v>L 724 ; l 740 ; hauteur 30 m ; choix de composition auteur ; dimensions réelles à documenter</x:v>
      </x:c>
      <x:c r="I3934" s="115" t="str">
        <x:v>À équilibrer</x:v>
      </x:c>
      <x:c r="J3934" s="115" t="str">
        <x:v>Non</x:v>
      </x:c>
      <x:c r="K3934" s="115" t="str">
        <x:v>Pièces décrites, murs, portes, niveaux et mobilier inspectables à l’échelle. Volumes réservés, raccord au seed, butin, rencontres et services de campagne restent à terminer.</x:v>
      </x:c>
    </x:row>
    <x:row r="3935" ht="96" customHeight="1">
      <x:c r="A3935" s="115" t="str">
        <x:v>EXT-MONDE-T079-V30</x:v>
      </x:c>
      <x:c r="B3935" s="115" t="str">
        <x:v>EXT-MONDE-T079</x:v>
      </x:c>
      <x:c r="C3935" s="115" t="str">
        <x:v>Îles</x:v>
      </x:c>
      <x:c r="D3935" s="115" t="str">
        <x:v>Île portuaire industrielle</x:v>
      </x:c>
      <x:c r="E3935" s="115" t="n">
        <x:v>30</x:v>
      </x:c>
      <x:c r="F3935" s="115" t="str">
        <x:v>Inspection physique</x:v>
      </x:c>
      <x:c r="G3935" s="115" t="str">
        <x:v>1 niveaux ; 34 pièces ; 260 segments de mur ; 0 transitions. Inspection physique ; architecture complète encore ouverte.</x:v>
      </x:c>
      <x:c r="H3935" s="115" t="str">
        <x:v>L 724 ; l 740 ; hauteur 30 m ; choix de composition auteur ; dimensions réelles à documenter</x:v>
      </x:c>
      <x:c r="I3935" s="115" t="str">
        <x:v>À équilibrer</x:v>
      </x:c>
      <x:c r="J3935" s="115" t="str">
        <x:v>Non</x:v>
      </x:c>
      <x:c r="K3935" s="115" t="str">
        <x:v>Pièces décrites, murs, portes, niveaux et mobilier inspectables à l’échelle. Volumes réservés, raccord au seed, butin, rencontres et services de campagne restent à terminer.</x:v>
      </x:c>
    </x:row>
    <x:row r="3936" ht="96" customHeight="1">
      <x:c r="A3936" s="115" t="str">
        <x:v>EXT-MONDE-T079-V31</x:v>
      </x:c>
      <x:c r="B3936" s="115" t="str">
        <x:v>EXT-MONDE-T079</x:v>
      </x:c>
      <x:c r="C3936" s="115" t="str">
        <x:v>Îles</x:v>
      </x:c>
      <x:c r="D3936" s="115" t="str">
        <x:v>Île portuaire industrielle</x:v>
      </x:c>
      <x:c r="E3936" s="115" t="n">
        <x:v>31</x:v>
      </x:c>
      <x:c r="F3936" s="115" t="str">
        <x:v>Inspection physique</x:v>
      </x:c>
      <x:c r="G3936" s="115" t="str">
        <x:v>1 niveaux ; 34 pièces ; 260 segments de mur ; 0 transitions. Inspection physique ; architecture complète encore ouverte.</x:v>
      </x:c>
      <x:c r="H3936" s="115" t="str">
        <x:v>L 738 ; l 752 ; hauteur 30 m ; choix de composition auteur ; dimensions réelles à documenter</x:v>
      </x:c>
      <x:c r="I3936" s="115" t="str">
        <x:v>À équilibrer</x:v>
      </x:c>
      <x:c r="J3936" s="115" t="str">
        <x:v>Non</x:v>
      </x:c>
      <x:c r="K3936" s="115" t="str">
        <x:v>Pièces décrites, murs, portes, niveaux et mobilier inspectables à l’échelle. Volumes réservés, raccord au seed, butin, rencontres et services de campagne restent à terminer.</x:v>
      </x:c>
    </x:row>
    <x:row r="3937" ht="96" customHeight="1">
      <x:c r="A3937" s="115" t="str">
        <x:v>EXT-MONDE-T079-V32</x:v>
      </x:c>
      <x:c r="B3937" s="115" t="str">
        <x:v>EXT-MONDE-T079</x:v>
      </x:c>
      <x:c r="C3937" s="115" t="str">
        <x:v>Îles</x:v>
      </x:c>
      <x:c r="D3937" s="115" t="str">
        <x:v>Île portuaire industrielle</x:v>
      </x:c>
      <x:c r="E3937" s="115" t="n">
        <x:v>32</x:v>
      </x:c>
      <x:c r="F3937" s="115" t="str">
        <x:v>Inspection physique</x:v>
      </x:c>
      <x:c r="G3937" s="115" t="str">
        <x:v>1 niveaux ; 34 pièces ; 260 segments de mur ; 0 transitions. Inspection physique ; architecture complète encore ouverte.</x:v>
      </x:c>
      <x:c r="H3937" s="115" t="str">
        <x:v>L 738 ; l 752 ; hauteur 30 m ; choix de composition auteur ; dimensions réelles à documenter</x:v>
      </x:c>
      <x:c r="I3937" s="115" t="str">
        <x:v>À équilibrer</x:v>
      </x:c>
      <x:c r="J3937" s="115" t="str">
        <x:v>Non</x:v>
      </x:c>
      <x:c r="K3937" s="115" t="str">
        <x:v>Pièces décrites, murs, portes, niveaux et mobilier inspectables à l’échelle. Volumes réservés, raccord au seed, butin, rencontres et services de campagne restent à terminer.</x:v>
      </x:c>
    </x:row>
    <x:row r="3938" ht="96" customHeight="1">
      <x:c r="A3938" s="115" t="str">
        <x:v>EXT-MONDE-T079-V33</x:v>
      </x:c>
      <x:c r="B3938" s="115" t="str">
        <x:v>EXT-MONDE-T079</x:v>
      </x:c>
      <x:c r="C3938" s="115" t="str">
        <x:v>Îles</x:v>
      </x:c>
      <x:c r="D3938" s="115" t="str">
        <x:v>Île portuaire industrielle</x:v>
      </x:c>
      <x:c r="E3938" s="115" t="n">
        <x:v>33</x:v>
      </x:c>
      <x:c r="F3938" s="115" t="str">
        <x:v>Inspection physique</x:v>
      </x:c>
      <x:c r="G3938" s="115" t="str">
        <x:v>1 niveaux ; 34 pièces ; 260 segments de mur ; 0 transitions. Inspection physique ; architecture complète encore ouverte.</x:v>
      </x:c>
      <x:c r="H3938" s="115" t="str">
        <x:v>L 738 ; l 752 ; hauteur 30 m ; choix de composition auteur ; dimensions réelles à documenter</x:v>
      </x:c>
      <x:c r="I3938" s="115" t="str">
        <x:v>À équilibrer</x:v>
      </x:c>
      <x:c r="J3938" s="115" t="str">
        <x:v>Non</x:v>
      </x:c>
      <x:c r="K3938" s="115" t="str">
        <x:v>Pièces décrites, murs, portes, niveaux et mobilier inspectables à l’échelle. Volumes réservés, raccord au seed, butin, rencontres et services de campagne restent à terminer.</x:v>
      </x:c>
    </x:row>
    <x:row r="3939" ht="96" customHeight="1">
      <x:c r="A3939" s="115" t="str">
        <x:v>EXT-MONDE-T079-V34</x:v>
      </x:c>
      <x:c r="B3939" s="115" t="str">
        <x:v>EXT-MONDE-T079</x:v>
      </x:c>
      <x:c r="C3939" s="115" t="str">
        <x:v>Îles</x:v>
      </x:c>
      <x:c r="D3939" s="115" t="str">
        <x:v>Île portuaire industrielle</x:v>
      </x:c>
      <x:c r="E3939" s="115" t="n">
        <x:v>34</x:v>
      </x:c>
      <x:c r="F3939" s="115" t="str">
        <x:v>Inspection physique</x:v>
      </x:c>
      <x:c r="G3939" s="115" t="str">
        <x:v>1 niveaux ; 34 pièces ; 260 segments de mur ; 0 transitions. Inspection physique ; architecture complète encore ouverte.</x:v>
      </x:c>
      <x:c r="H3939" s="115" t="str">
        <x:v>L 738 ; l 752 ; hauteur 30 m ; choix de composition auteur ; dimensions réelles à documenter</x:v>
      </x:c>
      <x:c r="I3939" s="115" t="str">
        <x:v>À équilibrer</x:v>
      </x:c>
      <x:c r="J3939" s="115" t="str">
        <x:v>Non</x:v>
      </x:c>
      <x:c r="K3939" s="115" t="str">
        <x:v>Pièces décrites, murs, portes, niveaux et mobilier inspectables à l’échelle. Volumes réservés, raccord au seed, butin, rencontres et services de campagne restent à terminer.</x:v>
      </x:c>
    </x:row>
    <x:row r="3940" ht="96" customHeight="1">
      <x:c r="A3940" s="115" t="str">
        <x:v>EXT-MONDE-T079-V35</x:v>
      </x:c>
      <x:c r="B3940" s="115" t="str">
        <x:v>EXT-MONDE-T079</x:v>
      </x:c>
      <x:c r="C3940" s="115" t="str">
        <x:v>Îles</x:v>
      </x:c>
      <x:c r="D3940" s="115" t="str">
        <x:v>Île portuaire industrielle</x:v>
      </x:c>
      <x:c r="E3940" s="115" t="n">
        <x:v>35</x:v>
      </x:c>
      <x:c r="F3940" s="115" t="str">
        <x:v>Inspection physique</x:v>
      </x:c>
      <x:c r="G3940" s="115" t="str">
        <x:v>1 niveaux ; 34 pièces ; 260 segments de mur ; 0 transitions. Inspection physique ; architecture complète encore ouverte.</x:v>
      </x:c>
      <x:c r="H3940" s="115" t="str">
        <x:v>L 738 ; l 752 ; hauteur 30 m ; choix de composition auteur ; dimensions réelles à documenter</x:v>
      </x:c>
      <x:c r="I3940" s="115" t="str">
        <x:v>À équilibrer</x:v>
      </x:c>
      <x:c r="J3940" s="115" t="str">
        <x:v>Non</x:v>
      </x:c>
      <x:c r="K3940" s="115" t="str">
        <x:v>Pièces décrites, murs, portes, niveaux et mobilier inspectables à l’échelle. Volumes réservés, raccord au seed, butin, rencontres et services de campagne restent à terminer.</x:v>
      </x:c>
    </x:row>
    <x:row r="3941" ht="96" customHeight="1">
      <x:c r="A3941" s="115" t="str">
        <x:v>EXT-MONDE-T079-V36</x:v>
      </x:c>
      <x:c r="B3941" s="115" t="str">
        <x:v>EXT-MONDE-T079</x:v>
      </x:c>
      <x:c r="C3941" s="115" t="str">
        <x:v>Îles</x:v>
      </x:c>
      <x:c r="D3941" s="115" t="str">
        <x:v>Île portuaire industrielle</x:v>
      </x:c>
      <x:c r="E3941" s="115" t="n">
        <x:v>36</x:v>
      </x:c>
      <x:c r="F3941" s="115" t="str">
        <x:v>Inspection physique</x:v>
      </x:c>
      <x:c r="G3941" s="115" t="str">
        <x:v>1 niveaux ; 34 pièces ; 260 segments de mur ; 0 transitions. Inspection physique ; architecture complète encore ouverte.</x:v>
      </x:c>
      <x:c r="H3941" s="115" t="str">
        <x:v>L 738 ; l 752 ; hauteur 30 m ; choix de composition auteur ; dimensions réelles à documenter</x:v>
      </x:c>
      <x:c r="I3941" s="115" t="str">
        <x:v>À équilibrer</x:v>
      </x:c>
      <x:c r="J3941" s="115" t="str">
        <x:v>Non</x:v>
      </x:c>
      <x:c r="K3941" s="115" t="str">
        <x:v>Pièces décrites, murs, portes, niveaux et mobilier inspectables à l’échelle. Volumes réservés, raccord au seed, butin, rencontres et services de campagne restent à terminer.</x:v>
      </x:c>
    </x:row>
    <x:row r="3942" ht="96" customHeight="1">
      <x:c r="A3942" s="115" t="str">
        <x:v>EXT-MONDE-T079-V37</x:v>
      </x:c>
      <x:c r="B3942" s="115" t="str">
        <x:v>EXT-MONDE-T079</x:v>
      </x:c>
      <x:c r="C3942" s="115" t="str">
        <x:v>Îles</x:v>
      </x:c>
      <x:c r="D3942" s="115" t="str">
        <x:v>Île portuaire industrielle</x:v>
      </x:c>
      <x:c r="E3942" s="115" t="n">
        <x:v>37</x:v>
      </x:c>
      <x:c r="F3942" s="115" t="str">
        <x:v>Inspection physique</x:v>
      </x:c>
      <x:c r="G3942" s="115" t="str">
        <x:v>1 niveaux ; 34 pièces ; 260 segments de mur ; 0 transitions. Inspection physique ; architecture complète encore ouverte.</x:v>
      </x:c>
      <x:c r="H3942" s="115" t="str">
        <x:v>L 738 ; l 752 ; hauteur 30 m ; choix de composition auteur ; dimensions réelles à documenter</x:v>
      </x:c>
      <x:c r="I3942" s="115" t="str">
        <x:v>À équilibrer</x:v>
      </x:c>
      <x:c r="J3942" s="115" t="str">
        <x:v>Non</x:v>
      </x:c>
      <x:c r="K3942" s="115" t="str">
        <x:v>Pièces décrites, murs, portes, niveaux et mobilier inspectables à l’échelle. Volumes réservés, raccord au seed, butin, rencontres et services de campagne restent à terminer.</x:v>
      </x:c>
    </x:row>
    <x:row r="3943" ht="96" customHeight="1">
      <x:c r="A3943" s="115" t="str">
        <x:v>EXT-MONDE-T079-V38</x:v>
      </x:c>
      <x:c r="B3943" s="115" t="str">
        <x:v>EXT-MONDE-T079</x:v>
      </x:c>
      <x:c r="C3943" s="115" t="str">
        <x:v>Îles</x:v>
      </x:c>
      <x:c r="D3943" s="115" t="str">
        <x:v>Île portuaire industrielle</x:v>
      </x:c>
      <x:c r="E3943" s="115" t="n">
        <x:v>38</x:v>
      </x:c>
      <x:c r="F3943" s="115" t="str">
        <x:v>Inspection physique</x:v>
      </x:c>
      <x:c r="G3943" s="115" t="str">
        <x:v>1 niveaux ; 34 pièces ; 260 segments de mur ; 0 transitions. Inspection physique ; architecture complète encore ouverte.</x:v>
      </x:c>
      <x:c r="H3943" s="115" t="str">
        <x:v>L 738 ; l 752 ; hauteur 30 m ; choix de composition auteur ; dimensions réelles à documenter</x:v>
      </x:c>
      <x:c r="I3943" s="115" t="str">
        <x:v>À équilibrer</x:v>
      </x:c>
      <x:c r="J3943" s="115" t="str">
        <x:v>Non</x:v>
      </x:c>
      <x:c r="K3943" s="115" t="str">
        <x:v>Pièces décrites, murs, portes, niveaux et mobilier inspectables à l’échelle. Volumes réservés, raccord au seed, butin, rencontres et services de campagne restent à terminer.</x:v>
      </x:c>
    </x:row>
    <x:row r="3944" ht="96" customHeight="1">
      <x:c r="A3944" s="115" t="str">
        <x:v>EXT-MONDE-T079-V39</x:v>
      </x:c>
      <x:c r="B3944" s="115" t="str">
        <x:v>EXT-MONDE-T079</x:v>
      </x:c>
      <x:c r="C3944" s="115" t="str">
        <x:v>Îles</x:v>
      </x:c>
      <x:c r="D3944" s="115" t="str">
        <x:v>Île portuaire industrielle</x:v>
      </x:c>
      <x:c r="E3944" s="115" t="n">
        <x:v>39</x:v>
      </x:c>
      <x:c r="F3944" s="115" t="str">
        <x:v>Inspection physique</x:v>
      </x:c>
      <x:c r="G3944" s="115" t="str">
        <x:v>1 niveaux ; 34 pièces ; 260 segments de mur ; 0 transitions. Inspection physique ; architecture complète encore ouverte.</x:v>
      </x:c>
      <x:c r="H3944" s="115" t="str">
        <x:v>L 738 ; l 752 ; hauteur 30 m ; choix de composition auteur ; dimensions réelles à documenter</x:v>
      </x:c>
      <x:c r="I3944" s="115" t="str">
        <x:v>À équilibrer</x:v>
      </x:c>
      <x:c r="J3944" s="115" t="str">
        <x:v>Non</x:v>
      </x:c>
      <x:c r="K3944" s="115" t="str">
        <x:v>Pièces décrites, murs, portes, niveaux et mobilier inspectables à l’échelle. Volumes réservés, raccord au seed, butin, rencontres et services de campagne restent à terminer.</x:v>
      </x:c>
    </x:row>
    <x:row r="3945" ht="96" customHeight="1">
      <x:c r="A3945" s="115" t="str">
        <x:v>EXT-MONDE-T079-V40</x:v>
      </x:c>
      <x:c r="B3945" s="115" t="str">
        <x:v>EXT-MONDE-T079</x:v>
      </x:c>
      <x:c r="C3945" s="115" t="str">
        <x:v>Îles</x:v>
      </x:c>
      <x:c r="D3945" s="115" t="str">
        <x:v>Île portuaire industrielle</x:v>
      </x:c>
      <x:c r="E3945" s="115" t="n">
        <x:v>40</x:v>
      </x:c>
      <x:c r="F3945" s="115" t="str">
        <x:v>Inspection physique</x:v>
      </x:c>
      <x:c r="G3945" s="115" t="str">
        <x:v>1 niveaux ; 34 pièces ; 260 segments de mur ; 0 transitions. Inspection physique ; architecture complète encore ouverte.</x:v>
      </x:c>
      <x:c r="H3945" s="115" t="str">
        <x:v>L 738 ; l 752 ; hauteur 30 m ; choix de composition auteur ; dimensions réelles à documenter</x:v>
      </x:c>
      <x:c r="I3945" s="115" t="str">
        <x:v>À équilibrer</x:v>
      </x:c>
      <x:c r="J3945" s="115" t="str">
        <x:v>Non</x:v>
      </x:c>
      <x:c r="K3945" s="115" t="str">
        <x:v>Pièces décrites, murs, portes, niveaux et mobilier inspectables à l’échelle. Volumes réservés, raccord au seed, butin, rencontres et services de campagne restent à terminer.</x:v>
      </x:c>
    </x:row>
    <x:row r="3946" ht="96" customHeight="1">
      <x:c r="A3946" s="115" t="str">
        <x:v>EXT-MONDE-T079-V41</x:v>
      </x:c>
      <x:c r="B3946" s="115" t="str">
        <x:v>EXT-MONDE-T079</x:v>
      </x:c>
      <x:c r="C3946" s="115" t="str">
        <x:v>Îles</x:v>
      </x:c>
      <x:c r="D3946" s="115" t="str">
        <x:v>Île portuaire industrielle</x:v>
      </x:c>
      <x:c r="E3946" s="115" t="n">
        <x:v>41</x:v>
      </x:c>
      <x:c r="F3946" s="115" t="str">
        <x:v>Inspection physique</x:v>
      </x:c>
      <x:c r="G3946" s="115" t="str">
        <x:v>1 niveaux ; 34 pièces ; 260 segments de mur ; 0 transitions. Inspection physique ; architecture complète encore ouverte.</x:v>
      </x:c>
      <x:c r="H3946" s="115" t="str">
        <x:v>L 752 ; l 764 ; hauteur 30 m ; choix de composition auteur ; dimensions réelles à documenter</x:v>
      </x:c>
      <x:c r="I3946" s="115" t="str">
        <x:v>À équilibrer</x:v>
      </x:c>
      <x:c r="J3946" s="115" t="str">
        <x:v>Non</x:v>
      </x:c>
      <x:c r="K3946" s="115" t="str">
        <x:v>Pièces décrites, murs, portes, niveaux et mobilier inspectables à l’échelle. Volumes réservés, raccord au seed, butin, rencontres et services de campagne restent à terminer.</x:v>
      </x:c>
    </x:row>
    <x:row r="3947" ht="96" customHeight="1">
      <x:c r="A3947" s="115" t="str">
        <x:v>EXT-MONDE-T079-V42</x:v>
      </x:c>
      <x:c r="B3947" s="115" t="str">
        <x:v>EXT-MONDE-T079</x:v>
      </x:c>
      <x:c r="C3947" s="115" t="str">
        <x:v>Îles</x:v>
      </x:c>
      <x:c r="D3947" s="115" t="str">
        <x:v>Île portuaire industrielle</x:v>
      </x:c>
      <x:c r="E3947" s="115" t="n">
        <x:v>42</x:v>
      </x:c>
      <x:c r="F3947" s="115" t="str">
        <x:v>Inspection physique</x:v>
      </x:c>
      <x:c r="G3947" s="115" t="str">
        <x:v>1 niveaux ; 34 pièces ; 260 segments de mur ; 0 transitions. Inspection physique ; architecture complète encore ouverte.</x:v>
      </x:c>
      <x:c r="H3947" s="115" t="str">
        <x:v>L 752 ; l 764 ; hauteur 30 m ; choix de composition auteur ; dimensions réelles à documenter</x:v>
      </x:c>
      <x:c r="I3947" s="115" t="str">
        <x:v>À équilibrer</x:v>
      </x:c>
      <x:c r="J3947" s="115" t="str">
        <x:v>Non</x:v>
      </x:c>
      <x:c r="K3947" s="115" t="str">
        <x:v>Pièces décrites, murs, portes, niveaux et mobilier inspectables à l’échelle. Volumes réservés, raccord au seed, butin, rencontres et services de campagne restent à terminer.</x:v>
      </x:c>
    </x:row>
    <x:row r="3948" ht="96" customHeight="1">
      <x:c r="A3948" s="115" t="str">
        <x:v>EXT-MONDE-T079-V43</x:v>
      </x:c>
      <x:c r="B3948" s="115" t="str">
        <x:v>EXT-MONDE-T079</x:v>
      </x:c>
      <x:c r="C3948" s="115" t="str">
        <x:v>Îles</x:v>
      </x:c>
      <x:c r="D3948" s="115" t="str">
        <x:v>Île portuaire industrielle</x:v>
      </x:c>
      <x:c r="E3948" s="115" t="n">
        <x:v>43</x:v>
      </x:c>
      <x:c r="F3948" s="115" t="str">
        <x:v>Inspection physique</x:v>
      </x:c>
      <x:c r="G3948" s="115" t="str">
        <x:v>1 niveaux ; 34 pièces ; 260 segments de mur ; 0 transitions. Inspection physique ; architecture complète encore ouverte.</x:v>
      </x:c>
      <x:c r="H3948" s="115" t="str">
        <x:v>L 752 ; l 764 ; hauteur 30 m ; choix de composition auteur ; dimensions réelles à documenter</x:v>
      </x:c>
      <x:c r="I3948" s="115" t="str">
        <x:v>À équilibrer</x:v>
      </x:c>
      <x:c r="J3948" s="115" t="str">
        <x:v>Non</x:v>
      </x:c>
      <x:c r="K3948" s="115" t="str">
        <x:v>Pièces décrites, murs, portes, niveaux et mobilier inspectables à l’échelle. Volumes réservés, raccord au seed, butin, rencontres et services de campagne restent à terminer.</x:v>
      </x:c>
    </x:row>
    <x:row r="3949" ht="96" customHeight="1">
      <x:c r="A3949" s="115" t="str">
        <x:v>EXT-MONDE-T079-V44</x:v>
      </x:c>
      <x:c r="B3949" s="115" t="str">
        <x:v>EXT-MONDE-T079</x:v>
      </x:c>
      <x:c r="C3949" s="115" t="str">
        <x:v>Îles</x:v>
      </x:c>
      <x:c r="D3949" s="115" t="str">
        <x:v>Île portuaire industrielle</x:v>
      </x:c>
      <x:c r="E3949" s="115" t="n">
        <x:v>44</x:v>
      </x:c>
      <x:c r="F3949" s="115" t="str">
        <x:v>Inspection physique</x:v>
      </x:c>
      <x:c r="G3949" s="115" t="str">
        <x:v>1 niveaux ; 34 pièces ; 260 segments de mur ; 0 transitions. Inspection physique ; architecture complète encore ouverte.</x:v>
      </x:c>
      <x:c r="H3949" s="115" t="str">
        <x:v>L 752 ; l 764 ; hauteur 30 m ; choix de composition auteur ; dimensions réelles à documenter</x:v>
      </x:c>
      <x:c r="I3949" s="115" t="str">
        <x:v>À équilibrer</x:v>
      </x:c>
      <x:c r="J3949" s="115" t="str">
        <x:v>Non</x:v>
      </x:c>
      <x:c r="K3949" s="115" t="str">
        <x:v>Pièces décrites, murs, portes, niveaux et mobilier inspectables à l’échelle. Volumes réservés, raccord au seed, butin, rencontres et services de campagne restent à terminer.</x:v>
      </x:c>
    </x:row>
    <x:row r="3950" ht="96" customHeight="1">
      <x:c r="A3950" s="115" t="str">
        <x:v>EXT-MONDE-T079-V45</x:v>
      </x:c>
      <x:c r="B3950" s="115" t="str">
        <x:v>EXT-MONDE-T079</x:v>
      </x:c>
      <x:c r="C3950" s="115" t="str">
        <x:v>Îles</x:v>
      </x:c>
      <x:c r="D3950" s="115" t="str">
        <x:v>Île portuaire industrielle</x:v>
      </x:c>
      <x:c r="E3950" s="115" t="n">
        <x:v>45</x:v>
      </x:c>
      <x:c r="F3950" s="115" t="str">
        <x:v>Inspection physique</x:v>
      </x:c>
      <x:c r="G3950" s="115" t="str">
        <x:v>1 niveaux ; 34 pièces ; 260 segments de mur ; 0 transitions. Inspection physique ; architecture complète encore ouverte.</x:v>
      </x:c>
      <x:c r="H3950" s="115" t="str">
        <x:v>L 752 ; l 764 ; hauteur 30 m ; choix de composition auteur ; dimensions réelles à documenter</x:v>
      </x:c>
      <x:c r="I3950" s="115" t="str">
        <x:v>À équilibrer</x:v>
      </x:c>
      <x:c r="J3950" s="115" t="str">
        <x:v>Non</x:v>
      </x:c>
      <x:c r="K3950" s="115" t="str">
        <x:v>Pièces décrites, murs, portes, niveaux et mobilier inspectables à l’échelle. Volumes réservés, raccord au seed, butin, rencontres et services de campagne restent à terminer.</x:v>
      </x:c>
    </x:row>
    <x:row r="3951" ht="96" customHeight="1">
      <x:c r="A3951" s="115" t="str">
        <x:v>EXT-MONDE-T079-V46</x:v>
      </x:c>
      <x:c r="B3951" s="115" t="str">
        <x:v>EXT-MONDE-T079</x:v>
      </x:c>
      <x:c r="C3951" s="115" t="str">
        <x:v>Îles</x:v>
      </x:c>
      <x:c r="D3951" s="115" t="str">
        <x:v>Île portuaire industrielle</x:v>
      </x:c>
      <x:c r="E3951" s="115" t="n">
        <x:v>46</x:v>
      </x:c>
      <x:c r="F3951" s="115" t="str">
        <x:v>Inspection physique</x:v>
      </x:c>
      <x:c r="G3951" s="115" t="str">
        <x:v>1 niveaux ; 34 pièces ; 260 segments de mur ; 0 transitions. Inspection physique ; architecture complète encore ouverte.</x:v>
      </x:c>
      <x:c r="H3951" s="115" t="str">
        <x:v>L 752 ; l 764 ; hauteur 30 m ; choix de composition auteur ; dimensions réelles à documenter</x:v>
      </x:c>
      <x:c r="I3951" s="115" t="str">
        <x:v>À équilibrer</x:v>
      </x:c>
      <x:c r="J3951" s="115" t="str">
        <x:v>Non</x:v>
      </x:c>
      <x:c r="K3951" s="115" t="str">
        <x:v>Pièces décrites, murs, portes, niveaux et mobilier inspectables à l’échelle. Volumes réservés, raccord au seed, butin, rencontres et services de campagne restent à terminer.</x:v>
      </x:c>
    </x:row>
    <x:row r="3952" ht="96" customHeight="1">
      <x:c r="A3952" s="115" t="str">
        <x:v>EXT-MONDE-T079-V47</x:v>
      </x:c>
      <x:c r="B3952" s="115" t="str">
        <x:v>EXT-MONDE-T079</x:v>
      </x:c>
      <x:c r="C3952" s="115" t="str">
        <x:v>Îles</x:v>
      </x:c>
      <x:c r="D3952" s="115" t="str">
        <x:v>Île portuaire industrielle</x:v>
      </x:c>
      <x:c r="E3952" s="115" t="n">
        <x:v>47</x:v>
      </x:c>
      <x:c r="F3952" s="115" t="str">
        <x:v>Inspection physique</x:v>
      </x:c>
      <x:c r="G3952" s="115" t="str">
        <x:v>1 niveaux ; 34 pièces ; 260 segments de mur ; 0 transitions. Inspection physique ; architecture complète encore ouverte.</x:v>
      </x:c>
      <x:c r="H3952" s="115" t="str">
        <x:v>L 752 ; l 764 ; hauteur 30 m ; choix de composition auteur ; dimensions réelles à documenter</x:v>
      </x:c>
      <x:c r="I3952" s="115" t="str">
        <x:v>À équilibrer</x:v>
      </x:c>
      <x:c r="J3952" s="115" t="str">
        <x:v>Non</x:v>
      </x:c>
      <x:c r="K3952" s="115" t="str">
        <x:v>Pièces décrites, murs, portes, niveaux et mobilier inspectables à l’échelle. Volumes réservés, raccord au seed, butin, rencontres et services de campagne restent à terminer.</x:v>
      </x:c>
    </x:row>
    <x:row r="3953" ht="96" customHeight="1">
      <x:c r="A3953" s="115" t="str">
        <x:v>EXT-MONDE-T079-V48</x:v>
      </x:c>
      <x:c r="B3953" s="115" t="str">
        <x:v>EXT-MONDE-T079</x:v>
      </x:c>
      <x:c r="C3953" s="115" t="str">
        <x:v>Îles</x:v>
      </x:c>
      <x:c r="D3953" s="115" t="str">
        <x:v>Île portuaire industrielle</x:v>
      </x:c>
      <x:c r="E3953" s="115" t="n">
        <x:v>48</x:v>
      </x:c>
      <x:c r="F3953" s="115" t="str">
        <x:v>Inspection physique</x:v>
      </x:c>
      <x:c r="G3953" s="115" t="str">
        <x:v>1 niveaux ; 34 pièces ; 260 segments de mur ; 0 transitions. Inspection physique ; architecture complète encore ouverte.</x:v>
      </x:c>
      <x:c r="H3953" s="115" t="str">
        <x:v>L 752 ; l 764 ; hauteur 30 m ; choix de composition auteur ; dimensions réelles à documenter</x:v>
      </x:c>
      <x:c r="I3953" s="115" t="str">
        <x:v>À équilibrer</x:v>
      </x:c>
      <x:c r="J3953" s="115" t="str">
        <x:v>Non</x:v>
      </x:c>
      <x:c r="K3953" s="115" t="str">
        <x:v>Pièces décrites, murs, portes, niveaux et mobilier inspectables à l’échelle. Volumes réservés, raccord au seed, butin, rencontres et services de campagne restent à terminer.</x:v>
      </x:c>
    </x:row>
    <x:row r="3954" ht="96" customHeight="1">
      <x:c r="A3954" s="115" t="str">
        <x:v>EXT-MONDE-T079-V49</x:v>
      </x:c>
      <x:c r="B3954" s="115" t="str">
        <x:v>EXT-MONDE-T079</x:v>
      </x:c>
      <x:c r="C3954" s="115" t="str">
        <x:v>Îles</x:v>
      </x:c>
      <x:c r="D3954" s="115" t="str">
        <x:v>Île portuaire industrielle</x:v>
      </x:c>
      <x:c r="E3954" s="115" t="n">
        <x:v>49</x:v>
      </x:c>
      <x:c r="F3954" s="115" t="str">
        <x:v>Inspection physique</x:v>
      </x:c>
      <x:c r="G3954" s="115" t="str">
        <x:v>1 niveaux ; 34 pièces ; 260 segments de mur ; 0 transitions. Inspection physique ; architecture complète encore ouverte.</x:v>
      </x:c>
      <x:c r="H3954" s="115" t="str">
        <x:v>L 752 ; l 764 ; hauteur 30 m ; choix de composition auteur ; dimensions réelles à documenter</x:v>
      </x:c>
      <x:c r="I3954" s="115" t="str">
        <x:v>À équilibrer</x:v>
      </x:c>
      <x:c r="J3954" s="115" t="str">
        <x:v>Non</x:v>
      </x:c>
      <x:c r="K3954" s="115" t="str">
        <x:v>Pièces décrites, murs, portes, niveaux et mobilier inspectables à l’échelle. Volumes réservés, raccord au seed, butin, rencontres et services de campagne restent à terminer.</x:v>
      </x:c>
    </x:row>
    <x:row r="3955" ht="96" customHeight="1">
      <x:c r="A3955" s="115" t="str">
        <x:v>EXT-MONDE-T079-V50</x:v>
      </x:c>
      <x:c r="B3955" s="115" t="str">
        <x:v>EXT-MONDE-T079</x:v>
      </x:c>
      <x:c r="C3955" s="115" t="str">
        <x:v>Îles</x:v>
      </x:c>
      <x:c r="D3955" s="115" t="str">
        <x:v>Île portuaire industrielle</x:v>
      </x:c>
      <x:c r="E3955" s="115" t="n">
        <x:v>50</x:v>
      </x:c>
      <x:c r="F3955" s="115" t="str">
        <x:v>Inspection physique</x:v>
      </x:c>
      <x:c r="G3955" s="115" t="str">
        <x:v>1 niveaux ; 34 pièces ; 260 segments de mur ; 0 transitions. Inspection physique ; architecture complète encore ouverte.</x:v>
      </x:c>
      <x:c r="H3955" s="115" t="str">
        <x:v>L 752 ; l 764 ; hauteur 30 m ; choix de composition auteur ; dimensions réelles à documenter</x:v>
      </x:c>
      <x:c r="I3955" s="115" t="str">
        <x:v>À équilibrer</x:v>
      </x:c>
      <x:c r="J3955" s="115" t="str">
        <x:v>Non</x:v>
      </x:c>
      <x:c r="K3955" s="115" t="str">
        <x:v>Pièces décrites, murs, portes, niveaux et mobilier inspectables à l’échelle. Volumes réservés, raccord au seed, butin, rencontres et services de campagne restent à terminer.</x:v>
      </x:c>
    </x:row>
    <x:row r="3956" ht="96" customHeight="1">
      <x:c r="A3956" s="115" t="str">
        <x:v>EXT-MONDE-T080-V01</x:v>
      </x:c>
      <x:c r="B3956" s="115" t="str">
        <x:v>EXT-MONDE-T080</x:v>
      </x:c>
      <x:c r="C3956" s="115" t="str">
        <x:v>Îles</x:v>
      </x:c>
      <x:c r="D3956" s="115" t="str">
        <x:v>Grande île mixte</x:v>
      </x:c>
      <x:c r="E3956" s="115" t="n">
        <x:v>1</x:v>
      </x:c>
      <x:c r="F3956" s="115" t="str">
        <x:v>Inspection physique</x:v>
      </x:c>
      <x:c r="G3956" s="115" t="str">
        <x:v>1 niveaux ; 32 pièces ; 248 segments de mur ; 0 transitions. Inspection physique ; architecture complète encore ouverte.</x:v>
      </x:c>
      <x:c r="H3956" s="115" t="str">
        <x:v>L 856 ; l 896 ; hauteur 8 m ; choix de composition auteur ; dimensions réelles à documenter</x:v>
      </x:c>
      <x:c r="I3956" s="115" t="str">
        <x:v>À équilibrer</x:v>
      </x:c>
      <x:c r="J3956" s="115" t="str">
        <x:v>Non</x:v>
      </x:c>
      <x:c r="K3956" s="115" t="str">
        <x:v>Pièces décrites, murs, portes, niveaux et mobilier inspectables à l’échelle. Volumes réservés, raccord au seed, butin, rencontres et services de campagne restent à terminer.</x:v>
      </x:c>
    </x:row>
    <x:row r="3957" ht="96" customHeight="1">
      <x:c r="A3957" s="115" t="str">
        <x:v>EXT-MONDE-T080-V02</x:v>
      </x:c>
      <x:c r="B3957" s="115" t="str">
        <x:v>EXT-MONDE-T080</x:v>
      </x:c>
      <x:c r="C3957" s="115" t="str">
        <x:v>Îles</x:v>
      </x:c>
      <x:c r="D3957" s="115" t="str">
        <x:v>Grande île mixte</x:v>
      </x:c>
      <x:c r="E3957" s="115" t="n">
        <x:v>2</x:v>
      </x:c>
      <x:c r="F3957" s="115" t="str">
        <x:v>Inspection physique</x:v>
      </x:c>
      <x:c r="G3957" s="115" t="str">
        <x:v>1 niveaux ; 32 pièces ; 248 segments de mur ; 0 transitions. Inspection physique ; architecture complète encore ouverte.</x:v>
      </x:c>
      <x:c r="H3957" s="115" t="str">
        <x:v>L 856 ; l 896 ; hauteur 8 m ; choix de composition auteur ; dimensions réelles à documenter</x:v>
      </x:c>
      <x:c r="I3957" s="115" t="str">
        <x:v>À équilibrer</x:v>
      </x:c>
      <x:c r="J3957" s="115" t="str">
        <x:v>Non</x:v>
      </x:c>
      <x:c r="K3957" s="115" t="str">
        <x:v>Pièces décrites, murs, portes, niveaux et mobilier inspectables à l’échelle. Volumes réservés, raccord au seed, butin, rencontres et services de campagne restent à terminer.</x:v>
      </x:c>
    </x:row>
    <x:row r="3958" ht="96" customHeight="1">
      <x:c r="A3958" s="115" t="str">
        <x:v>EXT-MONDE-T080-V03</x:v>
      </x:c>
      <x:c r="B3958" s="115" t="str">
        <x:v>EXT-MONDE-T080</x:v>
      </x:c>
      <x:c r="C3958" s="115" t="str">
        <x:v>Îles</x:v>
      </x:c>
      <x:c r="D3958" s="115" t="str">
        <x:v>Grande île mixte</x:v>
      </x:c>
      <x:c r="E3958" s="115" t="n">
        <x:v>3</x:v>
      </x:c>
      <x:c r="F3958" s="115" t="str">
        <x:v>Inspection physique</x:v>
      </x:c>
      <x:c r="G3958" s="115" t="str">
        <x:v>1 niveaux ; 32 pièces ; 248 segments de mur ; 0 transitions. Inspection physique ; architecture complète encore ouverte.</x:v>
      </x:c>
      <x:c r="H3958" s="115" t="str">
        <x:v>L 856 ; l 896 ; hauteur 8 m ; choix de composition auteur ; dimensions réelles à documenter</x:v>
      </x:c>
      <x:c r="I3958" s="115" t="str">
        <x:v>À équilibrer</x:v>
      </x:c>
      <x:c r="J3958" s="115" t="str">
        <x:v>Non</x:v>
      </x:c>
      <x:c r="K3958" s="115" t="str">
        <x:v>Pièces décrites, murs, portes, niveaux et mobilier inspectables à l’échelle. Volumes réservés, raccord au seed, butin, rencontres et services de campagne restent à terminer.</x:v>
      </x:c>
    </x:row>
    <x:row r="3959" ht="96" customHeight="1">
      <x:c r="A3959" s="115" t="str">
        <x:v>EXT-MONDE-T080-V04</x:v>
      </x:c>
      <x:c r="B3959" s="115" t="str">
        <x:v>EXT-MONDE-T080</x:v>
      </x:c>
      <x:c r="C3959" s="115" t="str">
        <x:v>Îles</x:v>
      </x:c>
      <x:c r="D3959" s="115" t="str">
        <x:v>Grande île mixte</x:v>
      </x:c>
      <x:c r="E3959" s="115" t="n">
        <x:v>4</x:v>
      </x:c>
      <x:c r="F3959" s="115" t="str">
        <x:v>Inspection physique</x:v>
      </x:c>
      <x:c r="G3959" s="115" t="str">
        <x:v>1 niveaux ; 32 pièces ; 248 segments de mur ; 0 transitions. Inspection physique ; architecture complète encore ouverte.</x:v>
      </x:c>
      <x:c r="H3959" s="115" t="str">
        <x:v>L 856 ; l 896 ; hauteur 8 m ; choix de composition auteur ; dimensions réelles à documenter</x:v>
      </x:c>
      <x:c r="I3959" s="115" t="str">
        <x:v>À équilibrer</x:v>
      </x:c>
      <x:c r="J3959" s="115" t="str">
        <x:v>Non</x:v>
      </x:c>
      <x:c r="K3959" s="115" t="str">
        <x:v>Pièces décrites, murs, portes, niveaux et mobilier inspectables à l’échelle. Volumes réservés, raccord au seed, butin, rencontres et services de campagne restent à terminer.</x:v>
      </x:c>
    </x:row>
    <x:row r="3960" ht="96" customHeight="1">
      <x:c r="A3960" s="115" t="str">
        <x:v>EXT-MONDE-T080-V05</x:v>
      </x:c>
      <x:c r="B3960" s="115" t="str">
        <x:v>EXT-MONDE-T080</x:v>
      </x:c>
      <x:c r="C3960" s="115" t="str">
        <x:v>Îles</x:v>
      </x:c>
      <x:c r="D3960" s="115" t="str">
        <x:v>Grande île mixte</x:v>
      </x:c>
      <x:c r="E3960" s="115" t="n">
        <x:v>5</x:v>
      </x:c>
      <x:c r="F3960" s="115" t="str">
        <x:v>Inspection physique</x:v>
      </x:c>
      <x:c r="G3960" s="115" t="str">
        <x:v>1 niveaux ; 32 pièces ; 248 segments de mur ; 0 transitions. Inspection physique ; architecture complète encore ouverte.</x:v>
      </x:c>
      <x:c r="H3960" s="115" t="str">
        <x:v>L 856 ; l 896 ; hauteur 8 m ; choix de composition auteur ; dimensions réelles à documenter</x:v>
      </x:c>
      <x:c r="I3960" s="115" t="str">
        <x:v>À équilibrer</x:v>
      </x:c>
      <x:c r="J3960" s="115" t="str">
        <x:v>Non</x:v>
      </x:c>
      <x:c r="K3960" s="115" t="str">
        <x:v>Pièces décrites, murs, portes, niveaux et mobilier inspectables à l’échelle. Volumes réservés, raccord au seed, butin, rencontres et services de campagne restent à terminer.</x:v>
      </x:c>
    </x:row>
    <x:row r="3961" ht="96" customHeight="1">
      <x:c r="A3961" s="115" t="str">
        <x:v>EXT-MONDE-T080-V06</x:v>
      </x:c>
      <x:c r="B3961" s="115" t="str">
        <x:v>EXT-MONDE-T080</x:v>
      </x:c>
      <x:c r="C3961" s="115" t="str">
        <x:v>Îles</x:v>
      </x:c>
      <x:c r="D3961" s="115" t="str">
        <x:v>Grande île mixte</x:v>
      </x:c>
      <x:c r="E3961" s="115" t="n">
        <x:v>6</x:v>
      </x:c>
      <x:c r="F3961" s="115" t="str">
        <x:v>Inspection physique</x:v>
      </x:c>
      <x:c r="G3961" s="115" t="str">
        <x:v>1 niveaux ; 32 pièces ; 248 segments de mur ; 0 transitions. Inspection physique ; architecture complète encore ouverte.</x:v>
      </x:c>
      <x:c r="H3961" s="115" t="str">
        <x:v>L 856 ; l 896 ; hauteur 8 m ; choix de composition auteur ; dimensions réelles à documenter</x:v>
      </x:c>
      <x:c r="I3961" s="115" t="str">
        <x:v>À équilibrer</x:v>
      </x:c>
      <x:c r="J3961" s="115" t="str">
        <x:v>Non</x:v>
      </x:c>
      <x:c r="K3961" s="115" t="str">
        <x:v>Pièces décrites, murs, portes, niveaux et mobilier inspectables à l’échelle. Volumes réservés, raccord au seed, butin, rencontres et services de campagne restent à terminer.</x:v>
      </x:c>
    </x:row>
    <x:row r="3962" ht="96" customHeight="1">
      <x:c r="A3962" s="115" t="str">
        <x:v>EXT-MONDE-T080-V07</x:v>
      </x:c>
      <x:c r="B3962" s="115" t="str">
        <x:v>EXT-MONDE-T080</x:v>
      </x:c>
      <x:c r="C3962" s="115" t="str">
        <x:v>Îles</x:v>
      </x:c>
      <x:c r="D3962" s="115" t="str">
        <x:v>Grande île mixte</x:v>
      </x:c>
      <x:c r="E3962" s="115" t="n">
        <x:v>7</x:v>
      </x:c>
      <x:c r="F3962" s="115" t="str">
        <x:v>Inspection physique</x:v>
      </x:c>
      <x:c r="G3962" s="115" t="str">
        <x:v>1 niveaux ; 32 pièces ; 248 segments de mur ; 0 transitions. Inspection physique ; architecture complète encore ouverte.</x:v>
      </x:c>
      <x:c r="H3962" s="115" t="str">
        <x:v>L 856 ; l 896 ; hauteur 8 m ; choix de composition auteur ; dimensions réelles à documenter</x:v>
      </x:c>
      <x:c r="I3962" s="115" t="str">
        <x:v>À équilibrer</x:v>
      </x:c>
      <x:c r="J3962" s="115" t="str">
        <x:v>Non</x:v>
      </x:c>
      <x:c r="K3962" s="115" t="str">
        <x:v>Pièces décrites, murs, portes, niveaux et mobilier inspectables à l’échelle. Volumes réservés, raccord au seed, butin, rencontres et services de campagne restent à terminer.</x:v>
      </x:c>
    </x:row>
    <x:row r="3963" ht="96" customHeight="1">
      <x:c r="A3963" s="115" t="str">
        <x:v>EXT-MONDE-T080-V08</x:v>
      </x:c>
      <x:c r="B3963" s="115" t="str">
        <x:v>EXT-MONDE-T080</x:v>
      </x:c>
      <x:c r="C3963" s="115" t="str">
        <x:v>Îles</x:v>
      </x:c>
      <x:c r="D3963" s="115" t="str">
        <x:v>Grande île mixte</x:v>
      </x:c>
      <x:c r="E3963" s="115" t="n">
        <x:v>8</x:v>
      </x:c>
      <x:c r="F3963" s="115" t="str">
        <x:v>Inspection physique</x:v>
      </x:c>
      <x:c r="G3963" s="115" t="str">
        <x:v>1 niveaux ; 32 pièces ; 248 segments de mur ; 0 transitions. Inspection physique ; architecture complète encore ouverte.</x:v>
      </x:c>
      <x:c r="H3963" s="115" t="str">
        <x:v>L 856 ; l 896 ; hauteur 8 m ; choix de composition auteur ; dimensions réelles à documenter</x:v>
      </x:c>
      <x:c r="I3963" s="115" t="str">
        <x:v>À équilibrer</x:v>
      </x:c>
      <x:c r="J3963" s="115" t="str">
        <x:v>Non</x:v>
      </x:c>
      <x:c r="K3963" s="115" t="str">
        <x:v>Pièces décrites, murs, portes, niveaux et mobilier inspectables à l’échelle. Volumes réservés, raccord au seed, butin, rencontres et services de campagne restent à terminer.</x:v>
      </x:c>
    </x:row>
    <x:row r="3964" ht="96" customHeight="1">
      <x:c r="A3964" s="115" t="str">
        <x:v>EXT-MONDE-T080-V09</x:v>
      </x:c>
      <x:c r="B3964" s="115" t="str">
        <x:v>EXT-MONDE-T080</x:v>
      </x:c>
      <x:c r="C3964" s="115" t="str">
        <x:v>Îles</x:v>
      </x:c>
      <x:c r="D3964" s="115" t="str">
        <x:v>Grande île mixte</x:v>
      </x:c>
      <x:c r="E3964" s="115" t="n">
        <x:v>9</x:v>
      </x:c>
      <x:c r="F3964" s="115" t="str">
        <x:v>Inspection physique</x:v>
      </x:c>
      <x:c r="G3964" s="115" t="str">
        <x:v>1 niveaux ; 32 pièces ; 248 segments de mur ; 0 transitions. Inspection physique ; architecture complète encore ouverte.</x:v>
      </x:c>
      <x:c r="H3964" s="115" t="str">
        <x:v>L 856 ; l 896 ; hauteur 8 m ; choix de composition auteur ; dimensions réelles à documenter</x:v>
      </x:c>
      <x:c r="I3964" s="115" t="str">
        <x:v>À équilibrer</x:v>
      </x:c>
      <x:c r="J3964" s="115" t="str">
        <x:v>Non</x:v>
      </x:c>
      <x:c r="K3964" s="115" t="str">
        <x:v>Pièces décrites, murs, portes, niveaux et mobilier inspectables à l’échelle. Volumes réservés, raccord au seed, butin, rencontres et services de campagne restent à terminer.</x:v>
      </x:c>
    </x:row>
    <x:row r="3965" ht="96" customHeight="1">
      <x:c r="A3965" s="115" t="str">
        <x:v>EXT-MONDE-T080-V10</x:v>
      </x:c>
      <x:c r="B3965" s="115" t="str">
        <x:v>EXT-MONDE-T080</x:v>
      </x:c>
      <x:c r="C3965" s="115" t="str">
        <x:v>Îles</x:v>
      </x:c>
      <x:c r="D3965" s="115" t="str">
        <x:v>Grande île mixte</x:v>
      </x:c>
      <x:c r="E3965" s="115" t="n">
        <x:v>10</x:v>
      </x:c>
      <x:c r="F3965" s="115" t="str">
        <x:v>Inspection physique</x:v>
      </x:c>
      <x:c r="G3965" s="115" t="str">
        <x:v>1 niveaux ; 32 pièces ; 248 segments de mur ; 0 transitions. Inspection physique ; architecture complète encore ouverte.</x:v>
      </x:c>
      <x:c r="H3965" s="115" t="str">
        <x:v>L 856 ; l 896 ; hauteur 8 m ; choix de composition auteur ; dimensions réelles à documenter</x:v>
      </x:c>
      <x:c r="I3965" s="115" t="str">
        <x:v>À équilibrer</x:v>
      </x:c>
      <x:c r="J3965" s="115" t="str">
        <x:v>Non</x:v>
      </x:c>
      <x:c r="K3965" s="115" t="str">
        <x:v>Pièces décrites, murs, portes, niveaux et mobilier inspectables à l’échelle. Volumes réservés, raccord au seed, butin, rencontres et services de campagne restent à terminer.</x:v>
      </x:c>
    </x:row>
    <x:row r="3966" ht="96" customHeight="1">
      <x:c r="A3966" s="115" t="str">
        <x:v>EXT-MONDE-T080-V11</x:v>
      </x:c>
      <x:c r="B3966" s="115" t="str">
        <x:v>EXT-MONDE-T080</x:v>
      </x:c>
      <x:c r="C3966" s="115" t="str">
        <x:v>Îles</x:v>
      </x:c>
      <x:c r="D3966" s="115" t="str">
        <x:v>Grande île mixte</x:v>
      </x:c>
      <x:c r="E3966" s="115" t="n">
        <x:v>11</x:v>
      </x:c>
      <x:c r="F3966" s="115" t="str">
        <x:v>Inspection physique</x:v>
      </x:c>
      <x:c r="G3966" s="115" t="str">
        <x:v>1 niveaux ; 32 pièces ; 248 segments de mur ; 0 transitions. Inspection physique ; architecture complète encore ouverte.</x:v>
      </x:c>
      <x:c r="H3966" s="115" t="str">
        <x:v>L 870 ; l 908 ; hauteur 8 m ; choix de composition auteur ; dimensions réelles à documenter</x:v>
      </x:c>
      <x:c r="I3966" s="115" t="str">
        <x:v>À équilibrer</x:v>
      </x:c>
      <x:c r="J3966" s="115" t="str">
        <x:v>Non</x:v>
      </x:c>
      <x:c r="K3966" s="115" t="str">
        <x:v>Pièces décrites, murs, portes, niveaux et mobilier inspectables à l’échelle. Volumes réservés, raccord au seed, butin, rencontres et services de campagne restent à terminer.</x:v>
      </x:c>
    </x:row>
    <x:row r="3967" ht="96" customHeight="1">
      <x:c r="A3967" s="115" t="str">
        <x:v>EXT-MONDE-T080-V12</x:v>
      </x:c>
      <x:c r="B3967" s="115" t="str">
        <x:v>EXT-MONDE-T080</x:v>
      </x:c>
      <x:c r="C3967" s="115" t="str">
        <x:v>Îles</x:v>
      </x:c>
      <x:c r="D3967" s="115" t="str">
        <x:v>Grande île mixte</x:v>
      </x:c>
      <x:c r="E3967" s="115" t="n">
        <x:v>12</x:v>
      </x:c>
      <x:c r="F3967" s="115" t="str">
        <x:v>Inspection physique</x:v>
      </x:c>
      <x:c r="G3967" s="115" t="str">
        <x:v>1 niveaux ; 32 pièces ; 248 segments de mur ; 0 transitions. Inspection physique ; architecture complète encore ouverte.</x:v>
      </x:c>
      <x:c r="H3967" s="115" t="str">
        <x:v>L 870 ; l 908 ; hauteur 8 m ; choix de composition auteur ; dimensions réelles à documenter</x:v>
      </x:c>
      <x:c r="I3967" s="115" t="str">
        <x:v>À équilibrer</x:v>
      </x:c>
      <x:c r="J3967" s="115" t="str">
        <x:v>Non</x:v>
      </x:c>
      <x:c r="K3967" s="115" t="str">
        <x:v>Pièces décrites, murs, portes, niveaux et mobilier inspectables à l’échelle. Volumes réservés, raccord au seed, butin, rencontres et services de campagne restent à terminer.</x:v>
      </x:c>
    </x:row>
    <x:row r="3968" ht="96" customHeight="1">
      <x:c r="A3968" s="115" t="str">
        <x:v>EXT-MONDE-T080-V13</x:v>
      </x:c>
      <x:c r="B3968" s="115" t="str">
        <x:v>EXT-MONDE-T080</x:v>
      </x:c>
      <x:c r="C3968" s="115" t="str">
        <x:v>Îles</x:v>
      </x:c>
      <x:c r="D3968" s="115" t="str">
        <x:v>Grande île mixte</x:v>
      </x:c>
      <x:c r="E3968" s="115" t="n">
        <x:v>13</x:v>
      </x:c>
      <x:c r="F3968" s="115" t="str">
        <x:v>Inspection physique</x:v>
      </x:c>
      <x:c r="G3968" s="115" t="str">
        <x:v>1 niveaux ; 32 pièces ; 248 segments de mur ; 0 transitions. Inspection physique ; architecture complète encore ouverte.</x:v>
      </x:c>
      <x:c r="H3968" s="115" t="str">
        <x:v>L 870 ; l 908 ; hauteur 8 m ; choix de composition auteur ; dimensions réelles à documenter</x:v>
      </x:c>
      <x:c r="I3968" s="115" t="str">
        <x:v>À équilibrer</x:v>
      </x:c>
      <x:c r="J3968" s="115" t="str">
        <x:v>Non</x:v>
      </x:c>
      <x:c r="K3968" s="115" t="str">
        <x:v>Pièces décrites, murs, portes, niveaux et mobilier inspectables à l’échelle. Volumes réservés, raccord au seed, butin, rencontres et services de campagne restent à terminer.</x:v>
      </x:c>
    </x:row>
    <x:row r="3969" ht="96" customHeight="1">
      <x:c r="A3969" s="115" t="str">
        <x:v>EXT-MONDE-T080-V14</x:v>
      </x:c>
      <x:c r="B3969" s="115" t="str">
        <x:v>EXT-MONDE-T080</x:v>
      </x:c>
      <x:c r="C3969" s="115" t="str">
        <x:v>Îles</x:v>
      </x:c>
      <x:c r="D3969" s="115" t="str">
        <x:v>Grande île mixte</x:v>
      </x:c>
      <x:c r="E3969" s="115" t="n">
        <x:v>14</x:v>
      </x:c>
      <x:c r="F3969" s="115" t="str">
        <x:v>Inspection physique</x:v>
      </x:c>
      <x:c r="G3969" s="115" t="str">
        <x:v>1 niveaux ; 32 pièces ; 248 segments de mur ; 0 transitions. Inspection physique ; architecture complète encore ouverte.</x:v>
      </x:c>
      <x:c r="H3969" s="115" t="str">
        <x:v>L 870 ; l 908 ; hauteur 8 m ; choix de composition auteur ; dimensions réelles à documenter</x:v>
      </x:c>
      <x:c r="I3969" s="115" t="str">
        <x:v>À équilibrer</x:v>
      </x:c>
      <x:c r="J3969" s="115" t="str">
        <x:v>Non</x:v>
      </x:c>
      <x:c r="K3969" s="115" t="str">
        <x:v>Pièces décrites, murs, portes, niveaux et mobilier inspectables à l’échelle. Volumes réservés, raccord au seed, butin, rencontres et services de campagne restent à terminer.</x:v>
      </x:c>
    </x:row>
    <x:row r="3970" ht="96" customHeight="1">
      <x:c r="A3970" s="115" t="str">
        <x:v>EXT-MONDE-T080-V15</x:v>
      </x:c>
      <x:c r="B3970" s="115" t="str">
        <x:v>EXT-MONDE-T080</x:v>
      </x:c>
      <x:c r="C3970" s="115" t="str">
        <x:v>Îles</x:v>
      </x:c>
      <x:c r="D3970" s="115" t="str">
        <x:v>Grande île mixte</x:v>
      </x:c>
      <x:c r="E3970" s="115" t="n">
        <x:v>15</x:v>
      </x:c>
      <x:c r="F3970" s="115" t="str">
        <x:v>Inspection physique</x:v>
      </x:c>
      <x:c r="G3970" s="115" t="str">
        <x:v>1 niveaux ; 32 pièces ; 248 segments de mur ; 0 transitions. Inspection physique ; architecture complète encore ouverte.</x:v>
      </x:c>
      <x:c r="H3970" s="115" t="str">
        <x:v>L 870 ; l 908 ; hauteur 8 m ; choix de composition auteur ; dimensions réelles à documenter</x:v>
      </x:c>
      <x:c r="I3970" s="115" t="str">
        <x:v>À équilibrer</x:v>
      </x:c>
      <x:c r="J3970" s="115" t="str">
        <x:v>Non</x:v>
      </x:c>
      <x:c r="K3970" s="115" t="str">
        <x:v>Pièces décrites, murs, portes, niveaux et mobilier inspectables à l’échelle. Volumes réservés, raccord au seed, butin, rencontres et services de campagne restent à terminer.</x:v>
      </x:c>
    </x:row>
    <x:row r="3971" ht="96" customHeight="1">
      <x:c r="A3971" s="115" t="str">
        <x:v>EXT-MONDE-T080-V16</x:v>
      </x:c>
      <x:c r="B3971" s="115" t="str">
        <x:v>EXT-MONDE-T080</x:v>
      </x:c>
      <x:c r="C3971" s="115" t="str">
        <x:v>Îles</x:v>
      </x:c>
      <x:c r="D3971" s="115" t="str">
        <x:v>Grande île mixte</x:v>
      </x:c>
      <x:c r="E3971" s="115" t="n">
        <x:v>16</x:v>
      </x:c>
      <x:c r="F3971" s="115" t="str">
        <x:v>Inspection physique</x:v>
      </x:c>
      <x:c r="G3971" s="115" t="str">
        <x:v>1 niveaux ; 32 pièces ; 248 segments de mur ; 0 transitions. Inspection physique ; architecture complète encore ouverte.</x:v>
      </x:c>
      <x:c r="H3971" s="115" t="str">
        <x:v>L 870 ; l 908 ; hauteur 8 m ; choix de composition auteur ; dimensions réelles à documenter</x:v>
      </x:c>
      <x:c r="I3971" s="115" t="str">
        <x:v>À équilibrer</x:v>
      </x:c>
      <x:c r="J3971" s="115" t="str">
        <x:v>Non</x:v>
      </x:c>
      <x:c r="K3971" s="115" t="str">
        <x:v>Pièces décrites, murs, portes, niveaux et mobilier inspectables à l’échelle. Volumes réservés, raccord au seed, butin, rencontres et services de campagne restent à terminer.</x:v>
      </x:c>
    </x:row>
    <x:row r="3972" ht="96" customHeight="1">
      <x:c r="A3972" s="115" t="str">
        <x:v>EXT-MONDE-T080-V17</x:v>
      </x:c>
      <x:c r="B3972" s="115" t="str">
        <x:v>EXT-MONDE-T080</x:v>
      </x:c>
      <x:c r="C3972" s="115" t="str">
        <x:v>Îles</x:v>
      </x:c>
      <x:c r="D3972" s="115" t="str">
        <x:v>Grande île mixte</x:v>
      </x:c>
      <x:c r="E3972" s="115" t="n">
        <x:v>17</x:v>
      </x:c>
      <x:c r="F3972" s="115" t="str">
        <x:v>Inspection physique</x:v>
      </x:c>
      <x:c r="G3972" s="115" t="str">
        <x:v>1 niveaux ; 32 pièces ; 248 segments de mur ; 0 transitions. Inspection physique ; architecture complète encore ouverte.</x:v>
      </x:c>
      <x:c r="H3972" s="115" t="str">
        <x:v>L 870 ; l 908 ; hauteur 8 m ; choix de composition auteur ; dimensions réelles à documenter</x:v>
      </x:c>
      <x:c r="I3972" s="115" t="str">
        <x:v>À équilibrer</x:v>
      </x:c>
      <x:c r="J3972" s="115" t="str">
        <x:v>Non</x:v>
      </x:c>
      <x:c r="K3972" s="115" t="str">
        <x:v>Pièces décrites, murs, portes, niveaux et mobilier inspectables à l’échelle. Volumes réservés, raccord au seed, butin, rencontres et services de campagne restent à terminer.</x:v>
      </x:c>
    </x:row>
    <x:row r="3973" ht="96" customHeight="1">
      <x:c r="A3973" s="115" t="str">
        <x:v>EXT-MONDE-T080-V18</x:v>
      </x:c>
      <x:c r="B3973" s="115" t="str">
        <x:v>EXT-MONDE-T080</x:v>
      </x:c>
      <x:c r="C3973" s="115" t="str">
        <x:v>Îles</x:v>
      </x:c>
      <x:c r="D3973" s="115" t="str">
        <x:v>Grande île mixte</x:v>
      </x:c>
      <x:c r="E3973" s="115" t="n">
        <x:v>18</x:v>
      </x:c>
      <x:c r="F3973" s="115" t="str">
        <x:v>Inspection physique</x:v>
      </x:c>
      <x:c r="G3973" s="115" t="str">
        <x:v>1 niveaux ; 32 pièces ; 248 segments de mur ; 0 transitions. Inspection physique ; architecture complète encore ouverte.</x:v>
      </x:c>
      <x:c r="H3973" s="115" t="str">
        <x:v>L 870 ; l 908 ; hauteur 8 m ; choix de composition auteur ; dimensions réelles à documenter</x:v>
      </x:c>
      <x:c r="I3973" s="115" t="str">
        <x:v>À équilibrer</x:v>
      </x:c>
      <x:c r="J3973" s="115" t="str">
        <x:v>Non</x:v>
      </x:c>
      <x:c r="K3973" s="115" t="str">
        <x:v>Pièces décrites, murs, portes, niveaux et mobilier inspectables à l’échelle. Volumes réservés, raccord au seed, butin, rencontres et services de campagne restent à terminer.</x:v>
      </x:c>
    </x:row>
    <x:row r="3974" ht="96" customHeight="1">
      <x:c r="A3974" s="115" t="str">
        <x:v>EXT-MONDE-T080-V19</x:v>
      </x:c>
      <x:c r="B3974" s="115" t="str">
        <x:v>EXT-MONDE-T080</x:v>
      </x:c>
      <x:c r="C3974" s="115" t="str">
        <x:v>Îles</x:v>
      </x:c>
      <x:c r="D3974" s="115" t="str">
        <x:v>Grande île mixte</x:v>
      </x:c>
      <x:c r="E3974" s="115" t="n">
        <x:v>19</x:v>
      </x:c>
      <x:c r="F3974" s="115" t="str">
        <x:v>Inspection physique</x:v>
      </x:c>
      <x:c r="G3974" s="115" t="str">
        <x:v>1 niveaux ; 32 pièces ; 248 segments de mur ; 0 transitions. Inspection physique ; architecture complète encore ouverte.</x:v>
      </x:c>
      <x:c r="H3974" s="115" t="str">
        <x:v>L 870 ; l 908 ; hauteur 8 m ; choix de composition auteur ; dimensions réelles à documenter</x:v>
      </x:c>
      <x:c r="I3974" s="115" t="str">
        <x:v>À équilibrer</x:v>
      </x:c>
      <x:c r="J3974" s="115" t="str">
        <x:v>Non</x:v>
      </x:c>
      <x:c r="K3974" s="115" t="str">
        <x:v>Pièces décrites, murs, portes, niveaux et mobilier inspectables à l’échelle. Volumes réservés, raccord au seed, butin, rencontres et services de campagne restent à terminer.</x:v>
      </x:c>
    </x:row>
    <x:row r="3975" ht="96" customHeight="1">
      <x:c r="A3975" s="115" t="str">
        <x:v>EXT-MONDE-T080-V20</x:v>
      </x:c>
      <x:c r="B3975" s="115" t="str">
        <x:v>EXT-MONDE-T080</x:v>
      </x:c>
      <x:c r="C3975" s="115" t="str">
        <x:v>Îles</x:v>
      </x:c>
      <x:c r="D3975" s="115" t="str">
        <x:v>Grande île mixte</x:v>
      </x:c>
      <x:c r="E3975" s="115" t="n">
        <x:v>20</x:v>
      </x:c>
      <x:c r="F3975" s="115" t="str">
        <x:v>Inspection physique</x:v>
      </x:c>
      <x:c r="G3975" s="115" t="str">
        <x:v>1 niveaux ; 32 pièces ; 248 segments de mur ; 0 transitions. Inspection physique ; architecture complète encore ouverte.</x:v>
      </x:c>
      <x:c r="H3975" s="115" t="str">
        <x:v>L 870 ; l 908 ; hauteur 8 m ; choix de composition auteur ; dimensions réelles à documenter</x:v>
      </x:c>
      <x:c r="I3975" s="115" t="str">
        <x:v>À équilibrer</x:v>
      </x:c>
      <x:c r="J3975" s="115" t="str">
        <x:v>Non</x:v>
      </x:c>
      <x:c r="K3975" s="115" t="str">
        <x:v>Pièces décrites, murs, portes, niveaux et mobilier inspectables à l’échelle. Volumes réservés, raccord au seed, butin, rencontres et services de campagne restent à terminer.</x:v>
      </x:c>
    </x:row>
    <x:row r="3976" ht="96" customHeight="1">
      <x:c r="A3976" s="115" t="str">
        <x:v>EXT-MONDE-T080-V21</x:v>
      </x:c>
      <x:c r="B3976" s="115" t="str">
        <x:v>EXT-MONDE-T080</x:v>
      </x:c>
      <x:c r="C3976" s="115" t="str">
        <x:v>Îles</x:v>
      </x:c>
      <x:c r="D3976" s="115" t="str">
        <x:v>Grande île mixte</x:v>
      </x:c>
      <x:c r="E3976" s="115" t="n">
        <x:v>21</x:v>
      </x:c>
      <x:c r="F3976" s="115" t="str">
        <x:v>Inspection physique</x:v>
      </x:c>
      <x:c r="G3976" s="115" t="str">
        <x:v>1 niveaux ; 32 pièces ; 248 segments de mur ; 0 transitions. Inspection physique ; architecture complète encore ouverte.</x:v>
      </x:c>
      <x:c r="H3976" s="115" t="str">
        <x:v>L 884 ; l 920 ; hauteur 8 m ; choix de composition auteur ; dimensions réelles à documenter</x:v>
      </x:c>
      <x:c r="I3976" s="115" t="str">
        <x:v>À équilibrer</x:v>
      </x:c>
      <x:c r="J3976" s="115" t="str">
        <x:v>Non</x:v>
      </x:c>
      <x:c r="K3976" s="115" t="str">
        <x:v>Pièces décrites, murs, portes, niveaux et mobilier inspectables à l’échelle. Volumes réservés, raccord au seed, butin, rencontres et services de campagne restent à terminer.</x:v>
      </x:c>
    </x:row>
    <x:row r="3977" ht="96" customHeight="1">
      <x:c r="A3977" s="115" t="str">
        <x:v>EXT-MONDE-T080-V22</x:v>
      </x:c>
      <x:c r="B3977" s="115" t="str">
        <x:v>EXT-MONDE-T080</x:v>
      </x:c>
      <x:c r="C3977" s="115" t="str">
        <x:v>Îles</x:v>
      </x:c>
      <x:c r="D3977" s="115" t="str">
        <x:v>Grande île mixte</x:v>
      </x:c>
      <x:c r="E3977" s="115" t="n">
        <x:v>22</x:v>
      </x:c>
      <x:c r="F3977" s="115" t="str">
        <x:v>Inspection physique</x:v>
      </x:c>
      <x:c r="G3977" s="115" t="str">
        <x:v>1 niveaux ; 32 pièces ; 248 segments de mur ; 0 transitions. Inspection physique ; architecture complète encore ouverte.</x:v>
      </x:c>
      <x:c r="H3977" s="115" t="str">
        <x:v>L 884 ; l 920 ; hauteur 8 m ; choix de composition auteur ; dimensions réelles à documenter</x:v>
      </x:c>
      <x:c r="I3977" s="115" t="str">
        <x:v>À équilibrer</x:v>
      </x:c>
      <x:c r="J3977" s="115" t="str">
        <x:v>Non</x:v>
      </x:c>
      <x:c r="K3977" s="115" t="str">
        <x:v>Pièces décrites, murs, portes, niveaux et mobilier inspectables à l’échelle. Volumes réservés, raccord au seed, butin, rencontres et services de campagne restent à terminer.</x:v>
      </x:c>
    </x:row>
    <x:row r="3978" ht="96" customHeight="1">
      <x:c r="A3978" s="115" t="str">
        <x:v>EXT-MONDE-T080-V23</x:v>
      </x:c>
      <x:c r="B3978" s="115" t="str">
        <x:v>EXT-MONDE-T080</x:v>
      </x:c>
      <x:c r="C3978" s="115" t="str">
        <x:v>Îles</x:v>
      </x:c>
      <x:c r="D3978" s="115" t="str">
        <x:v>Grande île mixte</x:v>
      </x:c>
      <x:c r="E3978" s="115" t="n">
        <x:v>23</x:v>
      </x:c>
      <x:c r="F3978" s="115" t="str">
        <x:v>Inspection physique</x:v>
      </x:c>
      <x:c r="G3978" s="115" t="str">
        <x:v>1 niveaux ; 32 pièces ; 248 segments de mur ; 0 transitions. Inspection physique ; architecture complète encore ouverte.</x:v>
      </x:c>
      <x:c r="H3978" s="115" t="str">
        <x:v>L 884 ; l 920 ; hauteur 8 m ; choix de composition auteur ; dimensions réelles à documenter</x:v>
      </x:c>
      <x:c r="I3978" s="115" t="str">
        <x:v>À équilibrer</x:v>
      </x:c>
      <x:c r="J3978" s="115" t="str">
        <x:v>Non</x:v>
      </x:c>
      <x:c r="K3978" s="115" t="str">
        <x:v>Pièces décrites, murs, portes, niveaux et mobilier inspectables à l’échelle. Volumes réservés, raccord au seed, butin, rencontres et services de campagne restent à terminer.</x:v>
      </x:c>
    </x:row>
    <x:row r="3979" ht="96" customHeight="1">
      <x:c r="A3979" s="115" t="str">
        <x:v>EXT-MONDE-T080-V24</x:v>
      </x:c>
      <x:c r="B3979" s="115" t="str">
        <x:v>EXT-MONDE-T080</x:v>
      </x:c>
      <x:c r="C3979" s="115" t="str">
        <x:v>Îles</x:v>
      </x:c>
      <x:c r="D3979" s="115" t="str">
        <x:v>Grande île mixte</x:v>
      </x:c>
      <x:c r="E3979" s="115" t="n">
        <x:v>24</x:v>
      </x:c>
      <x:c r="F3979" s="115" t="str">
        <x:v>Inspection physique</x:v>
      </x:c>
      <x:c r="G3979" s="115" t="str">
        <x:v>1 niveaux ; 32 pièces ; 248 segments de mur ; 0 transitions. Inspection physique ; architecture complète encore ouverte.</x:v>
      </x:c>
      <x:c r="H3979" s="115" t="str">
        <x:v>L 884 ; l 920 ; hauteur 8 m ; choix de composition auteur ; dimensions réelles à documenter</x:v>
      </x:c>
      <x:c r="I3979" s="115" t="str">
        <x:v>À équilibrer</x:v>
      </x:c>
      <x:c r="J3979" s="115" t="str">
        <x:v>Non</x:v>
      </x:c>
      <x:c r="K3979" s="115" t="str">
        <x:v>Pièces décrites, murs, portes, niveaux et mobilier inspectables à l’échelle. Volumes réservés, raccord au seed, butin, rencontres et services de campagne restent à terminer.</x:v>
      </x:c>
    </x:row>
    <x:row r="3980" ht="96" customHeight="1">
      <x:c r="A3980" s="115" t="str">
        <x:v>EXT-MONDE-T080-V25</x:v>
      </x:c>
      <x:c r="B3980" s="115" t="str">
        <x:v>EXT-MONDE-T080</x:v>
      </x:c>
      <x:c r="C3980" s="115" t="str">
        <x:v>Îles</x:v>
      </x:c>
      <x:c r="D3980" s="115" t="str">
        <x:v>Grande île mixte</x:v>
      </x:c>
      <x:c r="E3980" s="115" t="n">
        <x:v>25</x:v>
      </x:c>
      <x:c r="F3980" s="115" t="str">
        <x:v>Inspection physique</x:v>
      </x:c>
      <x:c r="G3980" s="115" t="str">
        <x:v>1 niveaux ; 32 pièces ; 248 segments de mur ; 0 transitions. Inspection physique ; architecture complète encore ouverte.</x:v>
      </x:c>
      <x:c r="H3980" s="115" t="str">
        <x:v>L 884 ; l 920 ; hauteur 8 m ; choix de composition auteur ; dimensions réelles à documenter</x:v>
      </x:c>
      <x:c r="I3980" s="115" t="str">
        <x:v>À équilibrer</x:v>
      </x:c>
      <x:c r="J3980" s="115" t="str">
        <x:v>Non</x:v>
      </x:c>
      <x:c r="K3980" s="115" t="str">
        <x:v>Pièces décrites, murs, portes, niveaux et mobilier inspectables à l’échelle. Volumes réservés, raccord au seed, butin, rencontres et services de campagne restent à terminer.</x:v>
      </x:c>
    </x:row>
    <x:row r="3981" ht="96" customHeight="1">
      <x:c r="A3981" s="115" t="str">
        <x:v>EXT-MONDE-T080-V26</x:v>
      </x:c>
      <x:c r="B3981" s="115" t="str">
        <x:v>EXT-MONDE-T080</x:v>
      </x:c>
      <x:c r="C3981" s="115" t="str">
        <x:v>Îles</x:v>
      </x:c>
      <x:c r="D3981" s="115" t="str">
        <x:v>Grande île mixte</x:v>
      </x:c>
      <x:c r="E3981" s="115" t="n">
        <x:v>26</x:v>
      </x:c>
      <x:c r="F3981" s="115" t="str">
        <x:v>Inspection physique</x:v>
      </x:c>
      <x:c r="G3981" s="115" t="str">
        <x:v>1 niveaux ; 32 pièces ; 248 segments de mur ; 0 transitions. Inspection physique ; architecture complète encore ouverte.</x:v>
      </x:c>
      <x:c r="H3981" s="115" t="str">
        <x:v>L 884 ; l 920 ; hauteur 8 m ; choix de composition auteur ; dimensions réelles à documenter</x:v>
      </x:c>
      <x:c r="I3981" s="115" t="str">
        <x:v>À équilibrer</x:v>
      </x:c>
      <x:c r="J3981" s="115" t="str">
        <x:v>Non</x:v>
      </x:c>
      <x:c r="K3981" s="115" t="str">
        <x:v>Pièces décrites, murs, portes, niveaux et mobilier inspectables à l’échelle. Volumes réservés, raccord au seed, butin, rencontres et services de campagne restent à terminer.</x:v>
      </x:c>
    </x:row>
    <x:row r="3982" ht="96" customHeight="1">
      <x:c r="A3982" s="115" t="str">
        <x:v>EXT-MONDE-T080-V27</x:v>
      </x:c>
      <x:c r="B3982" s="115" t="str">
        <x:v>EXT-MONDE-T080</x:v>
      </x:c>
      <x:c r="C3982" s="115" t="str">
        <x:v>Îles</x:v>
      </x:c>
      <x:c r="D3982" s="115" t="str">
        <x:v>Grande île mixte</x:v>
      </x:c>
      <x:c r="E3982" s="115" t="n">
        <x:v>27</x:v>
      </x:c>
      <x:c r="F3982" s="115" t="str">
        <x:v>Inspection physique</x:v>
      </x:c>
      <x:c r="G3982" s="115" t="str">
        <x:v>1 niveaux ; 32 pièces ; 248 segments de mur ; 0 transitions. Inspection physique ; architecture complète encore ouverte.</x:v>
      </x:c>
      <x:c r="H3982" s="115" t="str">
        <x:v>L 884 ; l 920 ; hauteur 8 m ; choix de composition auteur ; dimensions réelles à documenter</x:v>
      </x:c>
      <x:c r="I3982" s="115" t="str">
        <x:v>À équilibrer</x:v>
      </x:c>
      <x:c r="J3982" s="115" t="str">
        <x:v>Non</x:v>
      </x:c>
      <x:c r="K3982" s="115" t="str">
        <x:v>Pièces décrites, murs, portes, niveaux et mobilier inspectables à l’échelle. Volumes réservés, raccord au seed, butin, rencontres et services de campagne restent à terminer.</x:v>
      </x:c>
    </x:row>
    <x:row r="3983" ht="96" customHeight="1">
      <x:c r="A3983" s="115" t="str">
        <x:v>EXT-MONDE-T080-V28</x:v>
      </x:c>
      <x:c r="B3983" s="115" t="str">
        <x:v>EXT-MONDE-T080</x:v>
      </x:c>
      <x:c r="C3983" s="115" t="str">
        <x:v>Îles</x:v>
      </x:c>
      <x:c r="D3983" s="115" t="str">
        <x:v>Grande île mixte</x:v>
      </x:c>
      <x:c r="E3983" s="115" t="n">
        <x:v>28</x:v>
      </x:c>
      <x:c r="F3983" s="115" t="str">
        <x:v>Inspection physique</x:v>
      </x:c>
      <x:c r="G3983" s="115" t="str">
        <x:v>1 niveaux ; 32 pièces ; 248 segments de mur ; 0 transitions. Inspection physique ; architecture complète encore ouverte.</x:v>
      </x:c>
      <x:c r="H3983" s="115" t="str">
        <x:v>L 884 ; l 920 ; hauteur 8 m ; choix de composition auteur ; dimensions réelles à documenter</x:v>
      </x:c>
      <x:c r="I3983" s="115" t="str">
        <x:v>À équilibrer</x:v>
      </x:c>
      <x:c r="J3983" s="115" t="str">
        <x:v>Non</x:v>
      </x:c>
      <x:c r="K3983" s="115" t="str">
        <x:v>Pièces décrites, murs, portes, niveaux et mobilier inspectables à l’échelle. Volumes réservés, raccord au seed, butin, rencontres et services de campagne restent à terminer.</x:v>
      </x:c>
    </x:row>
    <x:row r="3984" ht="96" customHeight="1">
      <x:c r="A3984" s="115" t="str">
        <x:v>EXT-MONDE-T080-V29</x:v>
      </x:c>
      <x:c r="B3984" s="115" t="str">
        <x:v>EXT-MONDE-T080</x:v>
      </x:c>
      <x:c r="C3984" s="115" t="str">
        <x:v>Îles</x:v>
      </x:c>
      <x:c r="D3984" s="115" t="str">
        <x:v>Grande île mixte</x:v>
      </x:c>
      <x:c r="E3984" s="115" t="n">
        <x:v>29</x:v>
      </x:c>
      <x:c r="F3984" s="115" t="str">
        <x:v>Inspection physique</x:v>
      </x:c>
      <x:c r="G3984" s="115" t="str">
        <x:v>1 niveaux ; 32 pièces ; 248 segments de mur ; 0 transitions. Inspection physique ; architecture complète encore ouverte.</x:v>
      </x:c>
      <x:c r="H3984" s="115" t="str">
        <x:v>L 884 ; l 920 ; hauteur 8 m ; choix de composition auteur ; dimensions réelles à documenter</x:v>
      </x:c>
      <x:c r="I3984" s="115" t="str">
        <x:v>À équilibrer</x:v>
      </x:c>
      <x:c r="J3984" s="115" t="str">
        <x:v>Non</x:v>
      </x:c>
      <x:c r="K3984" s="115" t="str">
        <x:v>Pièces décrites, murs, portes, niveaux et mobilier inspectables à l’échelle. Volumes réservés, raccord au seed, butin, rencontres et services de campagne restent à terminer.</x:v>
      </x:c>
    </x:row>
    <x:row r="3985" ht="96" customHeight="1">
      <x:c r="A3985" s="115" t="str">
        <x:v>EXT-MONDE-T080-V30</x:v>
      </x:c>
      <x:c r="B3985" s="115" t="str">
        <x:v>EXT-MONDE-T080</x:v>
      </x:c>
      <x:c r="C3985" s="115" t="str">
        <x:v>Îles</x:v>
      </x:c>
      <x:c r="D3985" s="115" t="str">
        <x:v>Grande île mixte</x:v>
      </x:c>
      <x:c r="E3985" s="115" t="n">
        <x:v>30</x:v>
      </x:c>
      <x:c r="F3985" s="115" t="str">
        <x:v>Inspection physique</x:v>
      </x:c>
      <x:c r="G3985" s="115" t="str">
        <x:v>1 niveaux ; 32 pièces ; 248 segments de mur ; 0 transitions. Inspection physique ; architecture complète encore ouverte.</x:v>
      </x:c>
      <x:c r="H3985" s="115" t="str">
        <x:v>L 884 ; l 920 ; hauteur 8 m ; choix de composition auteur ; dimensions réelles à documenter</x:v>
      </x:c>
      <x:c r="I3985" s="115" t="str">
        <x:v>À équilibrer</x:v>
      </x:c>
      <x:c r="J3985" s="115" t="str">
        <x:v>Non</x:v>
      </x:c>
      <x:c r="K3985" s="115" t="str">
        <x:v>Pièces décrites, murs, portes, niveaux et mobilier inspectables à l’échelle. Volumes réservés, raccord au seed, butin, rencontres et services de campagne restent à terminer.</x:v>
      </x:c>
    </x:row>
    <x:row r="3986" ht="96" customHeight="1">
      <x:c r="A3986" s="115" t="str">
        <x:v>EXT-MONDE-T080-V31</x:v>
      </x:c>
      <x:c r="B3986" s="115" t="str">
        <x:v>EXT-MONDE-T080</x:v>
      </x:c>
      <x:c r="C3986" s="115" t="str">
        <x:v>Îles</x:v>
      </x:c>
      <x:c r="D3986" s="115" t="str">
        <x:v>Grande île mixte</x:v>
      </x:c>
      <x:c r="E3986" s="115" t="n">
        <x:v>31</x:v>
      </x:c>
      <x:c r="F3986" s="115" t="str">
        <x:v>Inspection physique</x:v>
      </x:c>
      <x:c r="G3986" s="115" t="str">
        <x:v>1 niveaux ; 32 pièces ; 248 segments de mur ; 0 transitions. Inspection physique ; architecture complète encore ouverte.</x:v>
      </x:c>
      <x:c r="H3986" s="115" t="str">
        <x:v>L 898 ; l 932 ; hauteur 8 m ; choix de composition auteur ; dimensions réelles à documenter</x:v>
      </x:c>
      <x:c r="I3986" s="115" t="str">
        <x:v>À équilibrer</x:v>
      </x:c>
      <x:c r="J3986" s="115" t="str">
        <x:v>Non</x:v>
      </x:c>
      <x:c r="K3986" s="115" t="str">
        <x:v>Pièces décrites, murs, portes, niveaux et mobilier inspectables à l’échelle. Volumes réservés, raccord au seed, butin, rencontres et services de campagne restent à terminer.</x:v>
      </x:c>
    </x:row>
    <x:row r="3987" ht="96" customHeight="1">
      <x:c r="A3987" s="115" t="str">
        <x:v>EXT-MONDE-T080-V32</x:v>
      </x:c>
      <x:c r="B3987" s="115" t="str">
        <x:v>EXT-MONDE-T080</x:v>
      </x:c>
      <x:c r="C3987" s="115" t="str">
        <x:v>Îles</x:v>
      </x:c>
      <x:c r="D3987" s="115" t="str">
        <x:v>Grande île mixte</x:v>
      </x:c>
      <x:c r="E3987" s="115" t="n">
        <x:v>32</x:v>
      </x:c>
      <x:c r="F3987" s="115" t="str">
        <x:v>Inspection physique</x:v>
      </x:c>
      <x:c r="G3987" s="115" t="str">
        <x:v>1 niveaux ; 32 pièces ; 248 segments de mur ; 0 transitions. Inspection physique ; architecture complète encore ouverte.</x:v>
      </x:c>
      <x:c r="H3987" s="115" t="str">
        <x:v>L 898 ; l 932 ; hauteur 8 m ; choix de composition auteur ; dimensions réelles à documenter</x:v>
      </x:c>
      <x:c r="I3987" s="115" t="str">
        <x:v>À équilibrer</x:v>
      </x:c>
      <x:c r="J3987" s="115" t="str">
        <x:v>Non</x:v>
      </x:c>
      <x:c r="K3987" s="115" t="str">
        <x:v>Pièces décrites, murs, portes, niveaux et mobilier inspectables à l’échelle. Volumes réservés, raccord au seed, butin, rencontres et services de campagne restent à terminer.</x:v>
      </x:c>
    </x:row>
    <x:row r="3988" ht="96" customHeight="1">
      <x:c r="A3988" s="115" t="str">
        <x:v>EXT-MONDE-T080-V33</x:v>
      </x:c>
      <x:c r="B3988" s="115" t="str">
        <x:v>EXT-MONDE-T080</x:v>
      </x:c>
      <x:c r="C3988" s="115" t="str">
        <x:v>Îles</x:v>
      </x:c>
      <x:c r="D3988" s="115" t="str">
        <x:v>Grande île mixte</x:v>
      </x:c>
      <x:c r="E3988" s="115" t="n">
        <x:v>33</x:v>
      </x:c>
      <x:c r="F3988" s="115" t="str">
        <x:v>Inspection physique</x:v>
      </x:c>
      <x:c r="G3988" s="115" t="str">
        <x:v>1 niveaux ; 32 pièces ; 248 segments de mur ; 0 transitions. Inspection physique ; architecture complète encore ouverte.</x:v>
      </x:c>
      <x:c r="H3988" s="115" t="str">
        <x:v>L 898 ; l 932 ; hauteur 8 m ; choix de composition auteur ; dimensions réelles à documenter</x:v>
      </x:c>
      <x:c r="I3988" s="115" t="str">
        <x:v>À équilibrer</x:v>
      </x:c>
      <x:c r="J3988" s="115" t="str">
        <x:v>Non</x:v>
      </x:c>
      <x:c r="K3988" s="115" t="str">
        <x:v>Pièces décrites, murs, portes, niveaux et mobilier inspectables à l’échelle. Volumes réservés, raccord au seed, butin, rencontres et services de campagne restent à terminer.</x:v>
      </x:c>
    </x:row>
    <x:row r="3989" ht="96" customHeight="1">
      <x:c r="A3989" s="115" t="str">
        <x:v>EXT-MONDE-T080-V34</x:v>
      </x:c>
      <x:c r="B3989" s="115" t="str">
        <x:v>EXT-MONDE-T080</x:v>
      </x:c>
      <x:c r="C3989" s="115" t="str">
        <x:v>Îles</x:v>
      </x:c>
      <x:c r="D3989" s="115" t="str">
        <x:v>Grande île mixte</x:v>
      </x:c>
      <x:c r="E3989" s="115" t="n">
        <x:v>34</x:v>
      </x:c>
      <x:c r="F3989" s="115" t="str">
        <x:v>Inspection physique</x:v>
      </x:c>
      <x:c r="G3989" s="115" t="str">
        <x:v>1 niveaux ; 32 pièces ; 248 segments de mur ; 0 transitions. Inspection physique ; architecture complète encore ouverte.</x:v>
      </x:c>
      <x:c r="H3989" s="115" t="str">
        <x:v>L 898 ; l 932 ; hauteur 8 m ; choix de composition auteur ; dimensions réelles à documenter</x:v>
      </x:c>
      <x:c r="I3989" s="115" t="str">
        <x:v>À équilibrer</x:v>
      </x:c>
      <x:c r="J3989" s="115" t="str">
        <x:v>Non</x:v>
      </x:c>
      <x:c r="K3989" s="115" t="str">
        <x:v>Pièces décrites, murs, portes, niveaux et mobilier inspectables à l’échelle. Volumes réservés, raccord au seed, butin, rencontres et services de campagne restent à terminer.</x:v>
      </x:c>
    </x:row>
    <x:row r="3990" ht="96" customHeight="1">
      <x:c r="A3990" s="115" t="str">
        <x:v>EXT-MONDE-T080-V35</x:v>
      </x:c>
      <x:c r="B3990" s="115" t="str">
        <x:v>EXT-MONDE-T080</x:v>
      </x:c>
      <x:c r="C3990" s="115" t="str">
        <x:v>Îles</x:v>
      </x:c>
      <x:c r="D3990" s="115" t="str">
        <x:v>Grande île mixte</x:v>
      </x:c>
      <x:c r="E3990" s="115" t="n">
        <x:v>35</x:v>
      </x:c>
      <x:c r="F3990" s="115" t="str">
        <x:v>Inspection physique</x:v>
      </x:c>
      <x:c r="G3990" s="115" t="str">
        <x:v>1 niveaux ; 32 pièces ; 248 segments de mur ; 0 transitions. Inspection physique ; architecture complète encore ouverte.</x:v>
      </x:c>
      <x:c r="H3990" s="115" t="str">
        <x:v>L 898 ; l 932 ; hauteur 8 m ; choix de composition auteur ; dimensions réelles à documenter</x:v>
      </x:c>
      <x:c r="I3990" s="115" t="str">
        <x:v>À équilibrer</x:v>
      </x:c>
      <x:c r="J3990" s="115" t="str">
        <x:v>Non</x:v>
      </x:c>
      <x:c r="K3990" s="115" t="str">
        <x:v>Pièces décrites, murs, portes, niveaux et mobilier inspectables à l’échelle. Volumes réservés, raccord au seed, butin, rencontres et services de campagne restent à terminer.</x:v>
      </x:c>
    </x:row>
    <x:row r="3991" ht="96" customHeight="1">
      <x:c r="A3991" s="115" t="str">
        <x:v>EXT-MONDE-T080-V36</x:v>
      </x:c>
      <x:c r="B3991" s="115" t="str">
        <x:v>EXT-MONDE-T080</x:v>
      </x:c>
      <x:c r="C3991" s="115" t="str">
        <x:v>Îles</x:v>
      </x:c>
      <x:c r="D3991" s="115" t="str">
        <x:v>Grande île mixte</x:v>
      </x:c>
      <x:c r="E3991" s="115" t="n">
        <x:v>36</x:v>
      </x:c>
      <x:c r="F3991" s="115" t="str">
        <x:v>Inspection physique</x:v>
      </x:c>
      <x:c r="G3991" s="115" t="str">
        <x:v>1 niveaux ; 32 pièces ; 248 segments de mur ; 0 transitions. Inspection physique ; architecture complète encore ouverte.</x:v>
      </x:c>
      <x:c r="H3991" s="115" t="str">
        <x:v>L 898 ; l 932 ; hauteur 8 m ; choix de composition auteur ; dimensions réelles à documenter</x:v>
      </x:c>
      <x:c r="I3991" s="115" t="str">
        <x:v>À équilibrer</x:v>
      </x:c>
      <x:c r="J3991" s="115" t="str">
        <x:v>Non</x:v>
      </x:c>
      <x:c r="K3991" s="115" t="str">
        <x:v>Pièces décrites, murs, portes, niveaux et mobilier inspectables à l’échelle. Volumes réservés, raccord au seed, butin, rencontres et services de campagne restent à terminer.</x:v>
      </x:c>
    </x:row>
    <x:row r="3992" ht="96" customHeight="1">
      <x:c r="A3992" s="115" t="str">
        <x:v>EXT-MONDE-T080-V37</x:v>
      </x:c>
      <x:c r="B3992" s="115" t="str">
        <x:v>EXT-MONDE-T080</x:v>
      </x:c>
      <x:c r="C3992" s="115" t="str">
        <x:v>Îles</x:v>
      </x:c>
      <x:c r="D3992" s="115" t="str">
        <x:v>Grande île mixte</x:v>
      </x:c>
      <x:c r="E3992" s="115" t="n">
        <x:v>37</x:v>
      </x:c>
      <x:c r="F3992" s="115" t="str">
        <x:v>Inspection physique</x:v>
      </x:c>
      <x:c r="G3992" s="115" t="str">
        <x:v>1 niveaux ; 32 pièces ; 248 segments de mur ; 0 transitions. Inspection physique ; architecture complète encore ouverte.</x:v>
      </x:c>
      <x:c r="H3992" s="115" t="str">
        <x:v>L 898 ; l 932 ; hauteur 8 m ; choix de composition auteur ; dimensions réelles à documenter</x:v>
      </x:c>
      <x:c r="I3992" s="115" t="str">
        <x:v>À équilibrer</x:v>
      </x:c>
      <x:c r="J3992" s="115" t="str">
        <x:v>Non</x:v>
      </x:c>
      <x:c r="K3992" s="115" t="str">
        <x:v>Pièces décrites, murs, portes, niveaux et mobilier inspectables à l’échelle. Volumes réservés, raccord au seed, butin, rencontres et services de campagne restent à terminer.</x:v>
      </x:c>
    </x:row>
    <x:row r="3993" ht="96" customHeight="1">
      <x:c r="A3993" s="115" t="str">
        <x:v>EXT-MONDE-T080-V38</x:v>
      </x:c>
      <x:c r="B3993" s="115" t="str">
        <x:v>EXT-MONDE-T080</x:v>
      </x:c>
      <x:c r="C3993" s="115" t="str">
        <x:v>Îles</x:v>
      </x:c>
      <x:c r="D3993" s="115" t="str">
        <x:v>Grande île mixte</x:v>
      </x:c>
      <x:c r="E3993" s="115" t="n">
        <x:v>38</x:v>
      </x:c>
      <x:c r="F3993" s="115" t="str">
        <x:v>Inspection physique</x:v>
      </x:c>
      <x:c r="G3993" s="115" t="str">
        <x:v>1 niveaux ; 32 pièces ; 248 segments de mur ; 0 transitions. Inspection physique ; architecture complète encore ouverte.</x:v>
      </x:c>
      <x:c r="H3993" s="115" t="str">
        <x:v>L 898 ; l 932 ; hauteur 8 m ; choix de composition auteur ; dimensions réelles à documenter</x:v>
      </x:c>
      <x:c r="I3993" s="115" t="str">
        <x:v>À équilibrer</x:v>
      </x:c>
      <x:c r="J3993" s="115" t="str">
        <x:v>Non</x:v>
      </x:c>
      <x:c r="K3993" s="115" t="str">
        <x:v>Pièces décrites, murs, portes, niveaux et mobilier inspectables à l’échelle. Volumes réservés, raccord au seed, butin, rencontres et services de campagne restent à terminer.</x:v>
      </x:c>
    </x:row>
    <x:row r="3994" ht="96" customHeight="1">
      <x:c r="A3994" s="115" t="str">
        <x:v>EXT-MONDE-T080-V39</x:v>
      </x:c>
      <x:c r="B3994" s="115" t="str">
        <x:v>EXT-MONDE-T080</x:v>
      </x:c>
      <x:c r="C3994" s="115" t="str">
        <x:v>Îles</x:v>
      </x:c>
      <x:c r="D3994" s="115" t="str">
        <x:v>Grande île mixte</x:v>
      </x:c>
      <x:c r="E3994" s="115" t="n">
        <x:v>39</x:v>
      </x:c>
      <x:c r="F3994" s="115" t="str">
        <x:v>Inspection physique</x:v>
      </x:c>
      <x:c r="G3994" s="115" t="str">
        <x:v>1 niveaux ; 32 pièces ; 248 segments de mur ; 0 transitions. Inspection physique ; architecture complète encore ouverte.</x:v>
      </x:c>
      <x:c r="H3994" s="115" t="str">
        <x:v>L 898 ; l 932 ; hauteur 8 m ; choix de composition auteur ; dimensions réelles à documenter</x:v>
      </x:c>
      <x:c r="I3994" s="115" t="str">
        <x:v>À équilibrer</x:v>
      </x:c>
      <x:c r="J3994" s="115" t="str">
        <x:v>Non</x:v>
      </x:c>
      <x:c r="K3994" s="115" t="str">
        <x:v>Pièces décrites, murs, portes, niveaux et mobilier inspectables à l’échelle. Volumes réservés, raccord au seed, butin, rencontres et services de campagne restent à terminer.</x:v>
      </x:c>
    </x:row>
    <x:row r="3995" ht="96" customHeight="1">
      <x:c r="A3995" s="115" t="str">
        <x:v>EXT-MONDE-T080-V40</x:v>
      </x:c>
      <x:c r="B3995" s="115" t="str">
        <x:v>EXT-MONDE-T080</x:v>
      </x:c>
      <x:c r="C3995" s="115" t="str">
        <x:v>Îles</x:v>
      </x:c>
      <x:c r="D3995" s="115" t="str">
        <x:v>Grande île mixte</x:v>
      </x:c>
      <x:c r="E3995" s="115" t="n">
        <x:v>40</x:v>
      </x:c>
      <x:c r="F3995" s="115" t="str">
        <x:v>Inspection physique</x:v>
      </x:c>
      <x:c r="G3995" s="115" t="str">
        <x:v>1 niveaux ; 32 pièces ; 248 segments de mur ; 0 transitions. Inspection physique ; architecture complète encore ouverte.</x:v>
      </x:c>
      <x:c r="H3995" s="115" t="str">
        <x:v>L 898 ; l 932 ; hauteur 8 m ; choix de composition auteur ; dimensions réelles à documenter</x:v>
      </x:c>
      <x:c r="I3995" s="115" t="str">
        <x:v>À équilibrer</x:v>
      </x:c>
      <x:c r="J3995" s="115" t="str">
        <x:v>Non</x:v>
      </x:c>
      <x:c r="K3995" s="115" t="str">
        <x:v>Pièces décrites, murs, portes, niveaux et mobilier inspectables à l’échelle. Volumes réservés, raccord au seed, butin, rencontres et services de campagne restent à terminer.</x:v>
      </x:c>
    </x:row>
    <x:row r="3996" ht="96" customHeight="1">
      <x:c r="A3996" s="115" t="str">
        <x:v>EXT-MONDE-T080-V41</x:v>
      </x:c>
      <x:c r="B3996" s="115" t="str">
        <x:v>EXT-MONDE-T080</x:v>
      </x:c>
      <x:c r="C3996" s="115" t="str">
        <x:v>Îles</x:v>
      </x:c>
      <x:c r="D3996" s="115" t="str">
        <x:v>Grande île mixte</x:v>
      </x:c>
      <x:c r="E3996" s="115" t="n">
        <x:v>41</x:v>
      </x:c>
      <x:c r="F3996" s="115" t="str">
        <x:v>Inspection physique</x:v>
      </x:c>
      <x:c r="G3996" s="115" t="str">
        <x:v>1 niveaux ; 32 pièces ; 248 segments de mur ; 0 transitions. Inspection physique ; architecture complète encore ouverte.</x:v>
      </x:c>
      <x:c r="H3996" s="115" t="str">
        <x:v>L 912 ; l 944 ; hauteur 8 m ; choix de composition auteur ; dimensions réelles à documenter</x:v>
      </x:c>
      <x:c r="I3996" s="115" t="str">
        <x:v>À équilibrer</x:v>
      </x:c>
      <x:c r="J3996" s="115" t="str">
        <x:v>Non</x:v>
      </x:c>
      <x:c r="K3996" s="115" t="str">
        <x:v>Pièces décrites, murs, portes, niveaux et mobilier inspectables à l’échelle. Volumes réservés, raccord au seed, butin, rencontres et services de campagne restent à terminer.</x:v>
      </x:c>
    </x:row>
    <x:row r="3997" ht="96" customHeight="1">
      <x:c r="A3997" s="115" t="str">
        <x:v>EXT-MONDE-T080-V42</x:v>
      </x:c>
      <x:c r="B3997" s="115" t="str">
        <x:v>EXT-MONDE-T080</x:v>
      </x:c>
      <x:c r="C3997" s="115" t="str">
        <x:v>Îles</x:v>
      </x:c>
      <x:c r="D3997" s="115" t="str">
        <x:v>Grande île mixte</x:v>
      </x:c>
      <x:c r="E3997" s="115" t="n">
        <x:v>42</x:v>
      </x:c>
      <x:c r="F3997" s="115" t="str">
        <x:v>Inspection physique</x:v>
      </x:c>
      <x:c r="G3997" s="115" t="str">
        <x:v>1 niveaux ; 32 pièces ; 248 segments de mur ; 0 transitions. Inspection physique ; architecture complète encore ouverte.</x:v>
      </x:c>
      <x:c r="H3997" s="115" t="str">
        <x:v>L 912 ; l 944 ; hauteur 8 m ; choix de composition auteur ; dimensions réelles à documenter</x:v>
      </x:c>
      <x:c r="I3997" s="115" t="str">
        <x:v>À équilibrer</x:v>
      </x:c>
      <x:c r="J3997" s="115" t="str">
        <x:v>Non</x:v>
      </x:c>
      <x:c r="K3997" s="115" t="str">
        <x:v>Pièces décrites, murs, portes, niveaux et mobilier inspectables à l’échelle. Volumes réservés, raccord au seed, butin, rencontres et services de campagne restent à terminer.</x:v>
      </x:c>
    </x:row>
    <x:row r="3998" ht="96" customHeight="1">
      <x:c r="A3998" s="115" t="str">
        <x:v>EXT-MONDE-T080-V43</x:v>
      </x:c>
      <x:c r="B3998" s="115" t="str">
        <x:v>EXT-MONDE-T080</x:v>
      </x:c>
      <x:c r="C3998" s="115" t="str">
        <x:v>Îles</x:v>
      </x:c>
      <x:c r="D3998" s="115" t="str">
        <x:v>Grande île mixte</x:v>
      </x:c>
      <x:c r="E3998" s="115" t="n">
        <x:v>43</x:v>
      </x:c>
      <x:c r="F3998" s="115" t="str">
        <x:v>Inspection physique</x:v>
      </x:c>
      <x:c r="G3998" s="115" t="str">
        <x:v>1 niveaux ; 32 pièces ; 248 segments de mur ; 0 transitions. Inspection physique ; architecture complète encore ouverte.</x:v>
      </x:c>
      <x:c r="H3998" s="115" t="str">
        <x:v>L 912 ; l 944 ; hauteur 8 m ; choix de composition auteur ; dimensions réelles à documenter</x:v>
      </x:c>
      <x:c r="I3998" s="115" t="str">
        <x:v>À équilibrer</x:v>
      </x:c>
      <x:c r="J3998" s="115" t="str">
        <x:v>Non</x:v>
      </x:c>
      <x:c r="K3998" s="115" t="str">
        <x:v>Pièces décrites, murs, portes, niveaux et mobilier inspectables à l’échelle. Volumes réservés, raccord au seed, butin, rencontres et services de campagne restent à terminer.</x:v>
      </x:c>
    </x:row>
    <x:row r="3999" ht="96" customHeight="1">
      <x:c r="A3999" s="115" t="str">
        <x:v>EXT-MONDE-T080-V44</x:v>
      </x:c>
      <x:c r="B3999" s="115" t="str">
        <x:v>EXT-MONDE-T080</x:v>
      </x:c>
      <x:c r="C3999" s="115" t="str">
        <x:v>Îles</x:v>
      </x:c>
      <x:c r="D3999" s="115" t="str">
        <x:v>Grande île mixte</x:v>
      </x:c>
      <x:c r="E3999" s="115" t="n">
        <x:v>44</x:v>
      </x:c>
      <x:c r="F3999" s="115" t="str">
        <x:v>Inspection physique</x:v>
      </x:c>
      <x:c r="G3999" s="115" t="str">
        <x:v>1 niveaux ; 32 pièces ; 248 segments de mur ; 0 transitions. Inspection physique ; architecture complète encore ouverte.</x:v>
      </x:c>
      <x:c r="H3999" s="115" t="str">
        <x:v>L 912 ; l 944 ; hauteur 8 m ; choix de composition auteur ; dimensions réelles à documenter</x:v>
      </x:c>
      <x:c r="I3999" s="115" t="str">
        <x:v>À équilibrer</x:v>
      </x:c>
      <x:c r="J3999" s="115" t="str">
        <x:v>Non</x:v>
      </x:c>
      <x:c r="K3999" s="115" t="str">
        <x:v>Pièces décrites, murs, portes, niveaux et mobilier inspectables à l’échelle. Volumes réservés, raccord au seed, butin, rencontres et services de campagne restent à terminer.</x:v>
      </x:c>
    </x:row>
    <x:row r="4000" ht="96" customHeight="1">
      <x:c r="A4000" s="115" t="str">
        <x:v>EXT-MONDE-T080-V45</x:v>
      </x:c>
      <x:c r="B4000" s="115" t="str">
        <x:v>EXT-MONDE-T080</x:v>
      </x:c>
      <x:c r="C4000" s="115" t="str">
        <x:v>Îles</x:v>
      </x:c>
      <x:c r="D4000" s="115" t="str">
        <x:v>Grande île mixte</x:v>
      </x:c>
      <x:c r="E4000" s="115" t="n">
        <x:v>45</x:v>
      </x:c>
      <x:c r="F4000" s="115" t="str">
        <x:v>Inspection physique</x:v>
      </x:c>
      <x:c r="G4000" s="115" t="str">
        <x:v>1 niveaux ; 32 pièces ; 248 segments de mur ; 0 transitions. Inspection physique ; architecture complète encore ouverte.</x:v>
      </x:c>
      <x:c r="H4000" s="115" t="str">
        <x:v>L 912 ; l 944 ; hauteur 8 m ; choix de composition auteur ; dimensions réelles à documenter</x:v>
      </x:c>
      <x:c r="I4000" s="115" t="str">
        <x:v>À équilibrer</x:v>
      </x:c>
      <x:c r="J4000" s="115" t="str">
        <x:v>Non</x:v>
      </x:c>
      <x:c r="K4000" s="115" t="str">
        <x:v>Pièces décrites, murs, portes, niveaux et mobilier inspectables à l’échelle. Volumes réservés, raccord au seed, butin, rencontres et services de campagne restent à terminer.</x:v>
      </x:c>
    </x:row>
    <x:row r="4001" ht="96" customHeight="1">
      <x:c r="A4001" s="115" t="str">
        <x:v>EXT-MONDE-T080-V46</x:v>
      </x:c>
      <x:c r="B4001" s="115" t="str">
        <x:v>EXT-MONDE-T080</x:v>
      </x:c>
      <x:c r="C4001" s="115" t="str">
        <x:v>Îles</x:v>
      </x:c>
      <x:c r="D4001" s="115" t="str">
        <x:v>Grande île mixte</x:v>
      </x:c>
      <x:c r="E4001" s="115" t="n">
        <x:v>46</x:v>
      </x:c>
      <x:c r="F4001" s="115" t="str">
        <x:v>Inspection physique</x:v>
      </x:c>
      <x:c r="G4001" s="115" t="str">
        <x:v>1 niveaux ; 32 pièces ; 248 segments de mur ; 0 transitions. Inspection physique ; architecture complète encore ouverte.</x:v>
      </x:c>
      <x:c r="H4001" s="115" t="str">
        <x:v>L 912 ; l 944 ; hauteur 8 m ; choix de composition auteur ; dimensions réelles à documenter</x:v>
      </x:c>
      <x:c r="I4001" s="115" t="str">
        <x:v>À équilibrer</x:v>
      </x:c>
      <x:c r="J4001" s="115" t="str">
        <x:v>Non</x:v>
      </x:c>
      <x:c r="K4001" s="115" t="str">
        <x:v>Pièces décrites, murs, portes, niveaux et mobilier inspectables à l’échelle. Volumes réservés, raccord au seed, butin, rencontres et services de campagne restent à terminer.</x:v>
      </x:c>
    </x:row>
    <x:row r="4002" ht="96" customHeight="1">
      <x:c r="A4002" s="115" t="str">
        <x:v>EXT-MONDE-T080-V47</x:v>
      </x:c>
      <x:c r="B4002" s="115" t="str">
        <x:v>EXT-MONDE-T080</x:v>
      </x:c>
      <x:c r="C4002" s="115" t="str">
        <x:v>Îles</x:v>
      </x:c>
      <x:c r="D4002" s="115" t="str">
        <x:v>Grande île mixte</x:v>
      </x:c>
      <x:c r="E4002" s="115" t="n">
        <x:v>47</x:v>
      </x:c>
      <x:c r="F4002" s="115" t="str">
        <x:v>Inspection physique</x:v>
      </x:c>
      <x:c r="G4002" s="115" t="str">
        <x:v>1 niveaux ; 32 pièces ; 248 segments de mur ; 0 transitions. Inspection physique ; architecture complète encore ouverte.</x:v>
      </x:c>
      <x:c r="H4002" s="115" t="str">
        <x:v>L 912 ; l 944 ; hauteur 8 m ; choix de composition auteur ; dimensions réelles à documenter</x:v>
      </x:c>
      <x:c r="I4002" s="115" t="str">
        <x:v>À équilibrer</x:v>
      </x:c>
      <x:c r="J4002" s="115" t="str">
        <x:v>Non</x:v>
      </x:c>
      <x:c r="K4002" s="115" t="str">
        <x:v>Pièces décrites, murs, portes, niveaux et mobilier inspectables à l’échelle. Volumes réservés, raccord au seed, butin, rencontres et services de campagne restent à terminer.</x:v>
      </x:c>
    </x:row>
    <x:row r="4003" ht="96" customHeight="1">
      <x:c r="A4003" s="115" t="str">
        <x:v>EXT-MONDE-T080-V48</x:v>
      </x:c>
      <x:c r="B4003" s="115" t="str">
        <x:v>EXT-MONDE-T080</x:v>
      </x:c>
      <x:c r="C4003" s="115" t="str">
        <x:v>Îles</x:v>
      </x:c>
      <x:c r="D4003" s="115" t="str">
        <x:v>Grande île mixte</x:v>
      </x:c>
      <x:c r="E4003" s="115" t="n">
        <x:v>48</x:v>
      </x:c>
      <x:c r="F4003" s="115" t="str">
        <x:v>Inspection physique</x:v>
      </x:c>
      <x:c r="G4003" s="115" t="str">
        <x:v>1 niveaux ; 32 pièces ; 248 segments de mur ; 0 transitions. Inspection physique ; architecture complète encore ouverte.</x:v>
      </x:c>
      <x:c r="H4003" s="115" t="str">
        <x:v>L 912 ; l 944 ; hauteur 8 m ; choix de composition auteur ; dimensions réelles à documenter</x:v>
      </x:c>
      <x:c r="I4003" s="115" t="str">
        <x:v>À équilibrer</x:v>
      </x:c>
      <x:c r="J4003" s="115" t="str">
        <x:v>Non</x:v>
      </x:c>
      <x:c r="K4003" s="115" t="str">
        <x:v>Pièces décrites, murs, portes, niveaux et mobilier inspectables à l’échelle. Volumes réservés, raccord au seed, butin, rencontres et services de campagne restent à terminer.</x:v>
      </x:c>
    </x:row>
    <x:row r="4004" ht="96" customHeight="1">
      <x:c r="A4004" s="115" t="str">
        <x:v>EXT-MONDE-T080-V49</x:v>
      </x:c>
      <x:c r="B4004" s="115" t="str">
        <x:v>EXT-MONDE-T080</x:v>
      </x:c>
      <x:c r="C4004" s="115" t="str">
        <x:v>Îles</x:v>
      </x:c>
      <x:c r="D4004" s="115" t="str">
        <x:v>Grande île mixte</x:v>
      </x:c>
      <x:c r="E4004" s="115" t="n">
        <x:v>49</x:v>
      </x:c>
      <x:c r="F4004" s="115" t="str">
        <x:v>Inspection physique</x:v>
      </x:c>
      <x:c r="G4004" s="115" t="str">
        <x:v>1 niveaux ; 32 pièces ; 248 segments de mur ; 0 transitions. Inspection physique ; architecture complète encore ouverte.</x:v>
      </x:c>
      <x:c r="H4004" s="115" t="str">
        <x:v>L 912 ; l 944 ; hauteur 8 m ; choix de composition auteur ; dimensions réelles à documenter</x:v>
      </x:c>
      <x:c r="I4004" s="115" t="str">
        <x:v>À équilibrer</x:v>
      </x:c>
      <x:c r="J4004" s="115" t="str">
        <x:v>Non</x:v>
      </x:c>
      <x:c r="K4004" s="115" t="str">
        <x:v>Pièces décrites, murs, portes, niveaux et mobilier inspectables à l’échelle. Volumes réservés, raccord au seed, butin, rencontres et services de campagne restent à terminer.</x:v>
      </x:c>
    </x:row>
    <x:row r="4005" ht="96" customHeight="1">
      <x:c r="A4005" s="115" t="str">
        <x:v>EXT-MONDE-T080-V50</x:v>
      </x:c>
      <x:c r="B4005" s="115" t="str">
        <x:v>EXT-MONDE-T080</x:v>
      </x:c>
      <x:c r="C4005" s="115" t="str">
        <x:v>Îles</x:v>
      </x:c>
      <x:c r="D4005" s="115" t="str">
        <x:v>Grande île mixte</x:v>
      </x:c>
      <x:c r="E4005" s="115" t="n">
        <x:v>50</x:v>
      </x:c>
      <x:c r="F4005" s="115" t="str">
        <x:v>Inspection physique</x:v>
      </x:c>
      <x:c r="G4005" s="115" t="str">
        <x:v>1 niveaux ; 32 pièces ; 248 segments de mur ; 0 transitions. Inspection physique ; architecture complète encore ouverte.</x:v>
      </x:c>
      <x:c r="H4005" s="115" t="str">
        <x:v>L 912 ; l 944 ; hauteur 8 m ; choix de composition auteur ; dimensions réelles à documenter</x:v>
      </x:c>
      <x:c r="I4005" s="115" t="str">
        <x:v>À équilibrer</x:v>
      </x:c>
      <x:c r="J4005" s="115" t="str">
        <x:v>Non</x:v>
      </x:c>
      <x:c r="K4005" s="115" t="str">
        <x:v>Pièces décrites, murs, portes, niveaux et mobilier inspectables à l’échelle. Volumes réservés, raccord au seed, butin, rencontres et services de campagne restent à terminer.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34bb12008421c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En cours</x:v>
      </x:c>
      <x:c r="H6" s="16" t="str">
        <x:v>Production Codex</x:v>
      </x:c>
      <x:c r="I6" s="16" t="str">
        <x:v>Sources publiques identifiées ; unités en mètres ; emprise au sol distincte de la hauteur.</x:v>
      </x:c>
      <x:c r="J6" s="16" t="str">
        <x:v>https://github.com/darknigthmare/deadwall-last-enclosure/blob/f0ef5a2036d4876ae8f4d4477676da968a032d01/docs/codex/suivi-monde2026/LACUSTRE_2026.md</x:v>
      </x:c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En cours</x:v>
      </x:c>
      <x:c r="H7" s="16" t="str">
        <x:v>Production Codex</x:v>
      </x:c>
      <x:c r="I7" s="16" t="str">
        <x:v>Livrable explicite, tests positifs et négatifs ; aucune validation déduite de la seule présence de la fiche.</x:v>
      </x:c>
      <x:c r="J7" s="16" t="str">
        <x:v>https://github.com/darknigthmare/deadwall-last-enclosure/blob/f0ef5a2036d4876ae8f4d4477676da968a032d01/docs/codex/suivi-monde2026/INSPECTION_PHYSIQUE_2026.md</x:v>
      </x:c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En cours</x:v>
      </x:c>
      <x:c r="H9" s="16" t="str">
        <x:v>Production Codex</x:v>
      </x:c>
      <x:c r="I9" s="16" t="str">
        <x:v>Livrable explicite, tests positifs et négatifs ; aucune validation déduite de la seule présence de la fiche.</x:v>
      </x:c>
      <x:c r="J9" s="16" t="str">
        <x:v>https://github.com/darknigthmare/deadwall-last-enclosure/blob/f0ef5a2036d4876ae8f4d4477676da968a032d01/docs/codex/suivi-monde2026/INSPECTION_PHYSIQUE_2026.md</x:v>
      </x:c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En cours</x:v>
      </x:c>
      <x:c r="H14" s="16" t="str">
        <x:v>Production Codex</x:v>
      </x:c>
      <x:c r="I14" s="16" t="str">
        <x:v>Livrable explicite, tests positifs et négatifs ; aucune validation déduite de la seule présence de la fiche.</x:v>
      </x:c>
      <x:c r="J14" s="16" t="str">
        <x:v>https://github.com/darknigthmare/deadwall-last-enclosure/blob/f0ef5a2036d4876ae8f4d4477676da968a032d01/docs/codex/suivi-monde2026/INSPECTION_PHYSIQUE_2026.md</x:v>
      </x:c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En cours</x:v>
      </x:c>
      <x:c r="H15" s="16" t="str">
        <x:v>Production Codex</x:v>
      </x:c>
      <x:c r="I15" s="16" t="str">
        <x:v>Livrable explicite, tests positifs et négatifs ; aucune validation déduite de la seule présence de la fiche.</x:v>
      </x:c>
      <x:c r="J15" s="16" t="str">
        <x:v>https://github.com/darknigthmare/deadwall-last-enclosure/blob/f0ef5a2036d4876ae8f4d4477676da968a032d01/docs/codex/suivi-monde2026/INSPECTION_PHYSIQUE_2026.md</x:v>
      </x:c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En cours</x:v>
      </x:c>
      <x:c r="H16" s="16" t="str">
        <x:v>Production Codex</x:v>
      </x:c>
      <x:c r="I16" s="16" t="str">
        <x:v>Sources publiques identifiées ; unités en mètres ; emprise au sol distincte de la hauteur.</x:v>
      </x:c>
      <x:c r="J16" s="16" t="str">
        <x:v>https://github.com/darknigthmare/deadwall-last-enclosure/blob/f0ef5a2036d4876ae8f4d4477676da968a032d01/docs/codex/suivi-monde2026/LACUSTRE_2026.md</x:v>
      </x:c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En cours</x:v>
      </x:c>
      <x:c r="H17" s="16" t="str">
        <x:v>Production Codex</x:v>
      </x:c>
      <x:c r="I17" s="16" t="str">
        <x:v>Livrable explicite, tests positifs et négatifs ; aucune validation déduite de la seule présence de la fiche.</x:v>
      </x:c>
      <x:c r="J17" s="16" t="str">
        <x:v>https://github.com/darknigthmare/deadwall-last-enclosure/blob/f0ef5a2036d4876ae8f4d4477676da968a032d01/docs/codex/suivi-monde2026/INSPECTION_PHYSIQUE_2026.md</x:v>
      </x:c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En cours</x:v>
      </x:c>
      <x:c r="H19" s="16" t="str">
        <x:v>Production Codex</x:v>
      </x:c>
      <x:c r="I19" s="16" t="str">
        <x:v>Livrable explicite, tests positifs et négatifs ; aucune validation déduite de la seule présence de la fiche.</x:v>
      </x:c>
      <x:c r="J19" s="16" t="str">
        <x:v>https://github.com/darknigthmare/deadwall-last-enclosure/blob/f0ef5a2036d4876ae8f4d4477676da968a032d01/docs/codex/suivi-monde2026/INSPECTION_PHYSIQUE_2026.md</x:v>
      </x:c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En cours</x:v>
      </x:c>
      <x:c r="H24" s="16" t="str">
        <x:v>Production Codex</x:v>
      </x:c>
      <x:c r="I24" s="16" t="str">
        <x:v>Livrable explicite, tests positifs et négatifs ; aucune validation déduite de la seule présence de la fiche.</x:v>
      </x:c>
      <x:c r="J24" s="16" t="str">
        <x:v>https://github.com/darknigthmare/deadwall-last-enclosure/blob/f0ef5a2036d4876ae8f4d4477676da968a032d01/docs/codex/suivi-monde2026/INSPECTION_PHYSIQUE_2026.md</x:v>
      </x:c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En cours</x:v>
      </x:c>
      <x:c r="H25" s="16" t="str">
        <x:v>Production Codex</x:v>
      </x:c>
      <x:c r="I25" s="16" t="str">
        <x:v>Livrable explicite, tests positifs et négatifs ; aucune validation déduite de la seule présence de la fiche.</x:v>
      </x:c>
      <x:c r="J25" s="16" t="str">
        <x:v>https://github.com/darknigthmare/deadwall-last-enclosure/blob/f0ef5a2036d4876ae8f4d4477676da968a032d01/docs/codex/suivi-monde2026/INSPECTION_PHYSIQUE_2026.md</x:v>
      </x:c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En cours</x:v>
      </x:c>
      <x:c r="H26" s="16" t="str">
        <x:v>Production Codex</x:v>
      </x:c>
      <x:c r="I26" s="16" t="str">
        <x:v>Sources publiques identifiées ; unités en mètres ; emprise au sol distincte de la hauteur.</x:v>
      </x:c>
      <x:c r="J26" s="16" t="str">
        <x:v>https://github.com/darknigthmare/deadwall-last-enclosure/blob/f0ef5a2036d4876ae8f4d4477676da968a032d01/docs/codex/suivi-monde2026/LACUSTRE_2026.md</x:v>
      </x:c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En cours</x:v>
      </x:c>
      <x:c r="H27" s="16" t="str">
        <x:v>Production Codex</x:v>
      </x:c>
      <x:c r="I27" s="16" t="str">
        <x:v>Livrable explicite, tests positifs et négatifs ; aucune validation déduite de la seule présence de la fiche.</x:v>
      </x:c>
      <x:c r="J27" s="16" t="str">
        <x:v>https://github.com/darknigthmare/deadwall-last-enclosure/blob/f0ef5a2036d4876ae8f4d4477676da968a032d01/docs/codex/suivi-monde2026/INSPECTION_PHYSIQUE_2026.md</x:v>
      </x:c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En cours</x:v>
      </x:c>
      <x:c r="H29" s="16" t="str">
        <x:v>Production Codex</x:v>
      </x:c>
      <x:c r="I29" s="16" t="str">
        <x:v>Livrable explicite, tests positifs et négatifs ; aucune validation déduite de la seule présence de la fiche.</x:v>
      </x:c>
      <x:c r="J29" s="16" t="str">
        <x:v>https://github.com/darknigthmare/deadwall-last-enclosure/blob/f0ef5a2036d4876ae8f4d4477676da968a032d01/docs/codex/suivi-monde2026/INSPECTION_PHYSIQUE_2026.md</x:v>
      </x:c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En cours</x:v>
      </x:c>
      <x:c r="H34" s="16" t="str">
        <x:v>Production Codex</x:v>
      </x:c>
      <x:c r="I34" s="16" t="str">
        <x:v>Livrable explicite, tests positifs et négatifs ; aucune validation déduite de la seule présence de la fiche.</x:v>
      </x:c>
      <x:c r="J34" s="16" t="str">
        <x:v>https://github.com/darknigthmare/deadwall-last-enclosure/blob/f0ef5a2036d4876ae8f4d4477676da968a032d01/docs/codex/suivi-monde2026/INSPECTION_PHYSIQUE_2026.md</x:v>
      </x:c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En cours</x:v>
      </x:c>
      <x:c r="H35" s="16" t="str">
        <x:v>Production Codex</x:v>
      </x:c>
      <x:c r="I35" s="16" t="str">
        <x:v>Livrable explicite, tests positifs et négatifs ; aucune validation déduite de la seule présence de la fiche.</x:v>
      </x:c>
      <x:c r="J35" s="16" t="str">
        <x:v>https://github.com/darknigthmare/deadwall-last-enclosure/blob/f0ef5a2036d4876ae8f4d4477676da968a032d01/docs/codex/suivi-monde2026/INSPECTION_PHYSIQUE_2026.md</x:v>
      </x:c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En cours</x:v>
      </x:c>
      <x:c r="H36" t="str">
        <x:v>Production Codex</x:v>
      </x:c>
      <x:c r="I36" t="str">
        <x:v>Sources publiques identifiées ; unités en mètres ; emprise au sol distincte de la hauteur.</x:v>
      </x:c>
      <x:c r="J36" t="str">
        <x:v>https://github.com/darknigthmare/deadwall-last-enclosure/blob/f0ef5a2036d4876ae8f4d4477676da968a032d01/docs/codex/suivi-monde2026/LACUSTRE_2026.md</x:v>
      </x:c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En cours</x:v>
      </x:c>
      <x:c r="H37" t="str">
        <x:v>Production Codex</x:v>
      </x:c>
      <x:c r="I37" t="str">
        <x:v>Livrable explicite, tests positifs et négatifs ; aucune validation déduite de la seule présence de la fiche.</x:v>
      </x:c>
      <x:c r="J37" t="str">
        <x:v>https://github.com/darknigthmare/deadwall-last-enclosure/blob/f0ef5a2036d4876ae8f4d4477676da968a032d01/docs/codex/suivi-monde2026/INSPECTION_PHYSIQUE_2026.md</x:v>
      </x:c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En cours</x:v>
      </x:c>
      <x:c r="H39" t="str">
        <x:v>Production Codex</x:v>
      </x:c>
      <x:c r="I39" t="str">
        <x:v>Livrable explicite, tests positifs et négatifs ; aucune validation déduite de la seule présence de la fiche.</x:v>
      </x:c>
      <x:c r="J39" t="str">
        <x:v>https://github.com/darknigthmare/deadwall-last-enclosure/blob/f0ef5a2036d4876ae8f4d4477676da968a032d01/docs/codex/suivi-monde2026/INSPECTION_PHYSIQUE_2026.md</x:v>
      </x:c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En cours</x:v>
      </x:c>
      <x:c r="H44" t="str">
        <x:v>Production Codex</x:v>
      </x:c>
      <x:c r="I44" t="str">
        <x:v>Livrable explicite, tests positifs et négatifs ; aucune validation déduite de la seule présence de la fiche.</x:v>
      </x:c>
      <x:c r="J44" t="str">
        <x:v>https://github.com/darknigthmare/deadwall-last-enclosure/blob/f0ef5a2036d4876ae8f4d4477676da968a032d01/docs/codex/suivi-monde2026/INSPECTION_PHYSIQUE_2026.md</x:v>
      </x:c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En cours</x:v>
      </x:c>
      <x:c r="H45" t="str">
        <x:v>Production Codex</x:v>
      </x:c>
      <x:c r="I45" t="str">
        <x:v>Livrable explicite, tests positifs et négatifs ; aucune validation déduite de la seule présence de la fiche.</x:v>
      </x:c>
      <x:c r="J45" t="str">
        <x:v>https://github.com/darknigthmare/deadwall-last-enclosure/blob/f0ef5a2036d4876ae8f4d4477676da968a032d01/docs/codex/suivi-monde2026/INSPECTION_PHYSIQUE_2026.md</x:v>
      </x:c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https://github.com/darknigthmare/deadwall-last-enclosure/blob/f0ef5a2036d4876ae8f4d4477676da968a032d01/docs/codex/suivi-monde2026/MARITIME_AUTEUR_2026.md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https://github.com/darknigthmare/deadwall-last-enclosure/blob/f0ef5a2036d4876ae8f4d4477676da968a032d01/docs/codex/suivi-monde2026/INSPECTION_PHYSIQUE_2026.md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https://github.com/darknigthmare/deadwall-last-enclosure/blob/f0ef5a2036d4876ae8f4d4477676da968a032d01/docs/codex/suivi-monde2026/INSPECTION_PHYSIQUE_2026.md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https://github.com/darknigthmare/deadwall-last-enclosure/blob/f0ef5a2036d4876ae8f4d4477676da968a032d01/docs/codex/suivi-monde2026/INSPECTION_PHYSIQUE_2026.md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https://github.com/darknigthmare/deadwall-last-enclosure/blob/f0ef5a2036d4876ae8f4d4477676da968a032d01/docs/codex/suivi-monde2026/INSPECTION_PHYSIQUE_2026.md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https://github.com/darknigthmare/deadwall-last-enclosure/blob/f0ef5a2036d4876ae8f4d4477676da968a032d01/docs/codex/suivi-monde2026/MARITIME_AUTEUR_2026.md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https://github.com/darknigthmare/deadwall-last-enclosure/blob/f0ef5a2036d4876ae8f4d4477676da968a032d01/docs/codex/suivi-monde2026/INSPECTION_PHYSIQUE_2026.md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https://github.com/darknigthmare/deadwall-last-enclosure/blob/f0ef5a2036d4876ae8f4d4477676da968a032d01/docs/codex/suivi-monde2026/INSPECTION_PHYSIQUE_2026.md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https://github.com/darknigthmare/deadwall-last-enclosure/blob/f0ef5a2036d4876ae8f4d4477676da968a032d01/docs/codex/suivi-monde2026/INSPECTION_PHYSIQUE_2026.md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https://github.com/darknigthmare/deadwall-last-enclosure/blob/f0ef5a2036d4876ae8f4d4477676da968a032d01/docs/codex/suivi-monde2026/INSPECTION_PHYSIQUE_2026.md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https://github.com/darknigthmare/deadwall-last-enclosure/blob/f0ef5a2036d4876ae8f4d4477676da968a032d01/docs/codex/suivi-monde2026/MARITIME_AUTEUR_2026.md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https://github.com/darknigthmare/deadwall-last-enclosure/blob/f0ef5a2036d4876ae8f4d4477676da968a032d01/docs/codex/suivi-monde2026/INSPECTION_PHYSIQUE_2026.md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https://github.com/darknigthmare/deadwall-last-enclosure/blob/f0ef5a2036d4876ae8f4d4477676da968a032d01/docs/codex/suivi-monde2026/INSPECTION_PHYSIQUE_2026.md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https://github.com/darknigthmare/deadwall-last-enclosure/blob/f0ef5a2036d4876ae8f4d4477676da968a032d01/docs/codex/suivi-monde2026/INSPECTION_PHYSIQUE_2026.md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https://github.com/darknigthmare/deadwall-last-enclosure/blob/f0ef5a2036d4876ae8f4d4477676da968a032d01/docs/codex/suivi-monde2026/INSPECTION_PHYSIQUE_2026.md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https://github.com/darknigthmare/deadwall-last-enclosure/blob/f0ef5a2036d4876ae8f4d4477676da968a032d01/docs/codex/suivi-monde2026/MARITIME_AUTEUR_2026.md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https://github.com/darknigthmare/deadwall-last-enclosure/blob/f0ef5a2036d4876ae8f4d4477676da968a032d01/docs/codex/suivi-monde2026/INSPECTION_PHYSIQUE_2026.md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https://github.com/darknigthmare/deadwall-last-enclosure/blob/f0ef5a2036d4876ae8f4d4477676da968a032d01/docs/codex/suivi-monde2026/INSPECTION_PHYSIQUE_2026.md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https://github.com/darknigthmare/deadwall-last-enclosure/blob/f0ef5a2036d4876ae8f4d4477676da968a032d01/docs/codex/suivi-monde2026/INSPECTION_PHYSIQUE_2026.md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https://github.com/darknigthmare/deadwall-last-enclosure/blob/f0ef5a2036d4876ae8f4d4477676da968a032d01/docs/codex/suivi-monde2026/INSPECTION_PHYSIQUE_2026.md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En cours</x:v>
      </x:c>
      <x:c r="H86" t="str">
        <x:v>Production Codex</x:v>
      </x:c>
      <x:c r="I86" t="str">
        <x:v>Sources publiques identifiées ; unités en mètres ; emprise au sol distincte de la hauteur.</x:v>
      </x:c>
      <x:c r="J86" t="str">
        <x:v>https://github.com/darknigthmare/deadwall-last-enclosure/blob/f0ef5a2036d4876ae8f4d4477676da968a032d01/docs/codex/suivi-monde2026/PORTS_ILES_2026.md</x:v>
      </x:c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En cours</x:v>
      </x:c>
      <x:c r="H87" t="str">
        <x:v>Production Codex</x:v>
      </x:c>
      <x:c r="I87" t="str">
        <x:v>Livrable explicite, tests positifs et négatifs ; aucune validation déduite de la seule présence de la fiche.</x:v>
      </x:c>
      <x:c r="J87" t="str">
        <x:v>https://github.com/darknigthmare/deadwall-last-enclosure/blob/f0ef5a2036d4876ae8f4d4477676da968a032d01/docs/codex/suivi-monde2026/INSPECTION_PHYSIQUE_2026.md</x:v>
      </x:c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En cours</x:v>
      </x:c>
      <x:c r="H89" t="str">
        <x:v>Production Codex</x:v>
      </x:c>
      <x:c r="I89" t="str">
        <x:v>Livrable explicite, tests positifs et négatifs ; aucune validation déduite de la seule présence de la fiche.</x:v>
      </x:c>
      <x:c r="J89" t="str">
        <x:v>https://github.com/darknigthmare/deadwall-last-enclosure/blob/f0ef5a2036d4876ae8f4d4477676da968a032d01/docs/codex/suivi-monde2026/INSPECTION_PHYSIQUE_2026.md</x:v>
      </x:c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En cours</x:v>
      </x:c>
      <x:c r="H94" t="str">
        <x:v>Production Codex</x:v>
      </x:c>
      <x:c r="I94" t="str">
        <x:v>Livrable explicite, tests positifs et négatifs ; aucune validation déduite de la seule présence de la fiche.</x:v>
      </x:c>
      <x:c r="J94" t="str">
        <x:v>https://github.com/darknigthmare/deadwall-last-enclosure/blob/f0ef5a2036d4876ae8f4d4477676da968a032d01/docs/codex/suivi-monde2026/INSPECTION_PHYSIQUE_2026.md</x:v>
      </x:c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En cours</x:v>
      </x:c>
      <x:c r="H95" t="str">
        <x:v>Production Codex</x:v>
      </x:c>
      <x:c r="I95" t="str">
        <x:v>Livrable explicite, tests positifs et négatifs ; aucune validation déduite de la seule présence de la fiche.</x:v>
      </x:c>
      <x:c r="J95" t="str">
        <x:v>https://github.com/darknigthmare/deadwall-last-enclosure/blob/f0ef5a2036d4876ae8f4d4477676da968a032d01/docs/codex/suivi-monde2026/INSPECTION_PHYSIQUE_2026.md</x:v>
      </x:c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En cours</x:v>
      </x:c>
      <x:c r="H96" t="str">
        <x:v>Production Codex</x:v>
      </x:c>
      <x:c r="I96" t="str">
        <x:v>Sources publiques identifiées ; unités en mètres ; emprise au sol distincte de la hauteur.</x:v>
      </x:c>
      <x:c r="J96" t="str">
        <x:v>https://github.com/darknigthmare/deadwall-last-enclosure/blob/f0ef5a2036d4876ae8f4d4477676da968a032d01/docs/codex/suivi-monde2026/PORTS_ILES_2026.md</x:v>
      </x:c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En cours</x:v>
      </x:c>
      <x:c r="H97" t="str">
        <x:v>Production Codex</x:v>
      </x:c>
      <x:c r="I97" t="str">
        <x:v>Livrable explicite, tests positifs et négatifs ; aucune validation déduite de la seule présence de la fiche.</x:v>
      </x:c>
      <x:c r="J97" t="str">
        <x:v>https://github.com/darknigthmare/deadwall-last-enclosure/blob/f0ef5a2036d4876ae8f4d4477676da968a032d01/docs/codex/suivi-monde2026/INSPECTION_PHYSIQUE_2026.md</x:v>
      </x:c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En cours</x:v>
      </x:c>
      <x:c r="H99" t="str">
        <x:v>Production Codex</x:v>
      </x:c>
      <x:c r="I99" t="str">
        <x:v>Livrable explicite, tests positifs et négatifs ; aucune validation déduite de la seule présence de la fiche.</x:v>
      </x:c>
      <x:c r="J99" t="str">
        <x:v>https://github.com/darknigthmare/deadwall-last-enclosure/blob/f0ef5a2036d4876ae8f4d4477676da968a032d01/docs/codex/suivi-monde2026/INSPECTION_PHYSIQUE_2026.md</x:v>
      </x:c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En cours</x:v>
      </x:c>
      <x:c r="H104" t="str">
        <x:v>Production Codex</x:v>
      </x:c>
      <x:c r="I104" t="str">
        <x:v>Livrable explicite, tests positifs et négatifs ; aucune validation déduite de la seule présence de la fiche.</x:v>
      </x:c>
      <x:c r="J104" t="str">
        <x:v>https://github.com/darknigthmare/deadwall-last-enclosure/blob/f0ef5a2036d4876ae8f4d4477676da968a032d01/docs/codex/suivi-monde2026/INSPECTION_PHYSIQUE_2026.md</x:v>
      </x:c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En cours</x:v>
      </x:c>
      <x:c r="H105" t="str">
        <x:v>Production Codex</x:v>
      </x:c>
      <x:c r="I105" t="str">
        <x:v>Livrable explicite, tests positifs et négatifs ; aucune validation déduite de la seule présence de la fiche.</x:v>
      </x:c>
      <x:c r="J105" t="str">
        <x:v>https://github.com/darknigthmare/deadwall-last-enclosure/blob/f0ef5a2036d4876ae8f4d4477676da968a032d01/docs/codex/suivi-monde2026/INSPECTION_PHYSIQUE_2026.md</x:v>
      </x:c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https://github.com/darknigthmare/deadwall-last-enclosure/blob/f0ef5a2036d4876ae8f4d4477676da968a032d01/docs/codex/suivi-monde2026/MARITIME_AUTEUR_2026.md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https://github.com/darknigthmare/deadwall-last-enclosure/blob/f0ef5a2036d4876ae8f4d4477676da968a032d01/docs/codex/suivi-monde2026/INSPECTION_PHYSIQUE_2026.md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https://github.com/darknigthmare/deadwall-last-enclosure/blob/f0ef5a2036d4876ae8f4d4477676da968a032d01/docs/codex/suivi-monde2026/INSPECTION_PHYSIQUE_2026.md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https://github.com/darknigthmare/deadwall-last-enclosure/blob/f0ef5a2036d4876ae8f4d4477676da968a032d01/docs/codex/suivi-monde2026/INSPECTION_PHYSIQUE_2026.md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https://github.com/darknigthmare/deadwall-last-enclosure/blob/f0ef5a2036d4876ae8f4d4477676da968a032d01/docs/codex/suivi-monde2026/INSPECTION_PHYSIQUE_2026.md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En cours</x:v>
      </x:c>
      <x:c r="H116" t="str">
        <x:v>Production Codex</x:v>
      </x:c>
      <x:c r="I116" t="str">
        <x:v>Sources publiques identifiées ; unités en mètres ; emprise au sol distincte de la hauteur.</x:v>
      </x:c>
      <x:c r="J116" t="str">
        <x:v>https://github.com/darknigthmare/deadwall-last-enclosure/blob/f0ef5a2036d4876ae8f4d4477676da968a032d01/docs/codex/suivi-monde2026/PORTS_ILES_2026.md</x:v>
      </x:c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En cours</x:v>
      </x:c>
      <x:c r="H117" t="str">
        <x:v>Production Codex</x:v>
      </x:c>
      <x:c r="I117" t="str">
        <x:v>Livrable explicite, tests positifs et négatifs ; aucune validation déduite de la seule présence de la fiche.</x:v>
      </x:c>
      <x:c r="J117" t="str">
        <x:v>https://github.com/darknigthmare/deadwall-last-enclosure/blob/f0ef5a2036d4876ae8f4d4477676da968a032d01/docs/codex/suivi-monde2026/INSPECTION_PHYSIQUE_2026.md</x:v>
      </x:c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En cours</x:v>
      </x:c>
      <x:c r="H119" t="str">
        <x:v>Production Codex</x:v>
      </x:c>
      <x:c r="I119" t="str">
        <x:v>Livrable explicite, tests positifs et négatifs ; aucune validation déduite de la seule présence de la fiche.</x:v>
      </x:c>
      <x:c r="J119" t="str">
        <x:v>https://github.com/darknigthmare/deadwall-last-enclosure/blob/f0ef5a2036d4876ae8f4d4477676da968a032d01/docs/codex/suivi-monde2026/INSPECTION_PHYSIQUE_2026.md</x:v>
      </x:c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En cours</x:v>
      </x:c>
      <x:c r="H124" t="str">
        <x:v>Production Codex</x:v>
      </x:c>
      <x:c r="I124" t="str">
        <x:v>Livrable explicite, tests positifs et négatifs ; aucune validation déduite de la seule présence de la fiche.</x:v>
      </x:c>
      <x:c r="J124" t="str">
        <x:v>https://github.com/darknigthmare/deadwall-last-enclosure/blob/f0ef5a2036d4876ae8f4d4477676da968a032d01/docs/codex/suivi-monde2026/INSPECTION_PHYSIQUE_2026.md</x:v>
      </x:c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En cours</x:v>
      </x:c>
      <x:c r="H125" t="str">
        <x:v>Production Codex</x:v>
      </x:c>
      <x:c r="I125" t="str">
        <x:v>Livrable explicite, tests positifs et négatifs ; aucune validation déduite de la seule présence de la fiche.</x:v>
      </x:c>
      <x:c r="J125" t="str">
        <x:v>https://github.com/darknigthmare/deadwall-last-enclosure/blob/f0ef5a2036d4876ae8f4d4477676da968a032d01/docs/codex/suivi-monde2026/INSPECTION_PHYSIQUE_2026.md</x:v>
      </x:c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En cours</x:v>
      </x:c>
      <x:c r="H126" t="str">
        <x:v>Production Codex</x:v>
      </x:c>
      <x:c r="I126" t="str">
        <x:v>Sources publiques identifiées ; unités en mètres ; emprise au sol distincte de la hauteur.</x:v>
      </x:c>
      <x:c r="J126" t="str">
        <x:v>https://github.com/darknigthmare/deadwall-last-enclosure/blob/f0ef5a2036d4876ae8f4d4477676da968a032d01/docs/codex/suivi-monde2026/PORTS_ILES_2026.md</x:v>
      </x:c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En cours</x:v>
      </x:c>
      <x:c r="H127" t="str">
        <x:v>Production Codex</x:v>
      </x:c>
      <x:c r="I127" t="str">
        <x:v>Livrable explicite, tests positifs et négatifs ; aucune validation déduite de la seule présence de la fiche.</x:v>
      </x:c>
      <x:c r="J127" t="str">
        <x:v>https://github.com/darknigthmare/deadwall-last-enclosure/blob/f0ef5a2036d4876ae8f4d4477676da968a032d01/docs/codex/suivi-monde2026/INSPECTION_PHYSIQUE_2026.md</x:v>
      </x:c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En cours</x:v>
      </x:c>
      <x:c r="H129" t="str">
        <x:v>Production Codex</x:v>
      </x:c>
      <x:c r="I129" t="str">
        <x:v>Livrable explicite, tests positifs et négatifs ; aucune validation déduite de la seule présence de la fiche.</x:v>
      </x:c>
      <x:c r="J129" t="str">
        <x:v>https://github.com/darknigthmare/deadwall-last-enclosure/blob/f0ef5a2036d4876ae8f4d4477676da968a032d01/docs/codex/suivi-monde2026/INSPECTION_PHYSIQUE_2026.md</x:v>
      </x:c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En cours</x:v>
      </x:c>
      <x:c r="H134" t="str">
        <x:v>Production Codex</x:v>
      </x:c>
      <x:c r="I134" t="str">
        <x:v>Livrable explicite, tests positifs et négatifs ; aucune validation déduite de la seule présence de la fiche.</x:v>
      </x:c>
      <x:c r="J134" t="str">
        <x:v>https://github.com/darknigthmare/deadwall-last-enclosure/blob/f0ef5a2036d4876ae8f4d4477676da968a032d01/docs/codex/suivi-monde2026/INSPECTION_PHYSIQUE_2026.md</x:v>
      </x:c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En cours</x:v>
      </x:c>
      <x:c r="H135" t="str">
        <x:v>Production Codex</x:v>
      </x:c>
      <x:c r="I135" t="str">
        <x:v>Livrable explicite, tests positifs et négatifs ; aucune validation déduite de la seule présence de la fiche.</x:v>
      </x:c>
      <x:c r="J135" t="str">
        <x:v>https://github.com/darknigthmare/deadwall-last-enclosure/blob/f0ef5a2036d4876ae8f4d4477676da968a032d01/docs/codex/suivi-monde2026/INSPECTION_PHYSIQUE_2026.md</x:v>
      </x:c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En cours</x:v>
      </x:c>
      <x:c r="H136" t="str">
        <x:v>Production Codex</x:v>
      </x:c>
      <x:c r="I136" t="str">
        <x:v>Sources publiques identifiées ; unités en mètres ; emprise au sol distincte de la hauteur.</x:v>
      </x:c>
      <x:c r="J136" t="str">
        <x:v>https://github.com/darknigthmare/deadwall-last-enclosure/blob/f0ef5a2036d4876ae8f4d4477676da968a032d01/docs/codex/suivi-monde2026/PORTS_ILES_2026.md</x:v>
      </x:c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En cours</x:v>
      </x:c>
      <x:c r="H137" t="str">
        <x:v>Production Codex</x:v>
      </x:c>
      <x:c r="I137" t="str">
        <x:v>Livrable explicite, tests positifs et négatifs ; aucune validation déduite de la seule présence de la fiche.</x:v>
      </x:c>
      <x:c r="J137" t="str">
        <x:v>https://github.com/darknigthmare/deadwall-last-enclosure/blob/f0ef5a2036d4876ae8f4d4477676da968a032d01/docs/codex/suivi-monde2026/INSPECTION_PHYSIQUE_2026.md</x:v>
      </x:c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En cours</x:v>
      </x:c>
      <x:c r="H139" t="str">
        <x:v>Production Codex</x:v>
      </x:c>
      <x:c r="I139" t="str">
        <x:v>Livrable explicite, tests positifs et négatifs ; aucune validation déduite de la seule présence de la fiche.</x:v>
      </x:c>
      <x:c r="J139" t="str">
        <x:v>https://github.com/darknigthmare/deadwall-last-enclosure/blob/f0ef5a2036d4876ae8f4d4477676da968a032d01/docs/codex/suivi-monde2026/INSPECTION_PHYSIQUE_2026.md</x:v>
      </x:c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En cours</x:v>
      </x:c>
      <x:c r="H144" t="str">
        <x:v>Production Codex</x:v>
      </x:c>
      <x:c r="I144" t="str">
        <x:v>Livrable explicite, tests positifs et négatifs ; aucune validation déduite de la seule présence de la fiche.</x:v>
      </x:c>
      <x:c r="J144" t="str">
        <x:v>https://github.com/darknigthmare/deadwall-last-enclosure/blob/f0ef5a2036d4876ae8f4d4477676da968a032d01/docs/codex/suivi-monde2026/INSPECTION_PHYSIQUE_2026.md</x:v>
      </x:c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En cours</x:v>
      </x:c>
      <x:c r="H145" t="str">
        <x:v>Production Codex</x:v>
      </x:c>
      <x:c r="I145" t="str">
        <x:v>Livrable explicite, tests positifs et négatifs ; aucune validation déduite de la seule présence de la fiche.</x:v>
      </x:c>
      <x:c r="J145" t="str">
        <x:v>https://github.com/darknigthmare/deadwall-last-enclosure/blob/f0ef5a2036d4876ae8f4d4477676da968a032d01/docs/codex/suivi-monde2026/INSPECTION_PHYSIQUE_2026.md</x:v>
      </x:c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En cours</x:v>
      </x:c>
      <x:c r="H146" t="str">
        <x:v>Production Codex</x:v>
      </x:c>
      <x:c r="I146" t="str">
        <x:v>Sources publiques identifiées ; unités en mètres ; emprise au sol distincte de la hauteur.</x:v>
      </x:c>
      <x:c r="J146" t="str">
        <x:v>https://github.com/darknigthmare/deadwall-last-enclosure/blob/f0ef5a2036d4876ae8f4d4477676da968a032d01/docs/codex/suivi-monde2026/PORTS_ILES_2026.md</x:v>
      </x:c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En cours</x:v>
      </x:c>
      <x:c r="H147" t="str">
        <x:v>Production Codex</x:v>
      </x:c>
      <x:c r="I147" t="str">
        <x:v>Livrable explicite, tests positifs et négatifs ; aucune validation déduite de la seule présence de la fiche.</x:v>
      </x:c>
      <x:c r="J147" t="str">
        <x:v>https://github.com/darknigthmare/deadwall-last-enclosure/blob/f0ef5a2036d4876ae8f4d4477676da968a032d01/docs/codex/suivi-monde2026/INSPECTION_PHYSIQUE_2026.md</x:v>
      </x:c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En cours</x:v>
      </x:c>
      <x:c r="H149" t="str">
        <x:v>Production Codex</x:v>
      </x:c>
      <x:c r="I149" t="str">
        <x:v>Livrable explicite, tests positifs et négatifs ; aucune validation déduite de la seule présence de la fiche.</x:v>
      </x:c>
      <x:c r="J149" t="str">
        <x:v>https://github.com/darknigthmare/deadwall-last-enclosure/blob/f0ef5a2036d4876ae8f4d4477676da968a032d01/docs/codex/suivi-monde2026/INSPECTION_PHYSIQUE_2026.md</x:v>
      </x:c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En cours</x:v>
      </x:c>
      <x:c r="H154" t="str">
        <x:v>Production Codex</x:v>
      </x:c>
      <x:c r="I154" t="str">
        <x:v>Livrable explicite, tests positifs et négatifs ; aucune validation déduite de la seule présence de la fiche.</x:v>
      </x:c>
      <x:c r="J154" t="str">
        <x:v>https://github.com/darknigthmare/deadwall-last-enclosure/blob/f0ef5a2036d4876ae8f4d4477676da968a032d01/docs/codex/suivi-monde2026/INSPECTION_PHYSIQUE_2026.md</x:v>
      </x:c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En cours</x:v>
      </x:c>
      <x:c r="H155" t="str">
        <x:v>Production Codex</x:v>
      </x:c>
      <x:c r="I155" t="str">
        <x:v>Livrable explicite, tests positifs et négatifs ; aucune validation déduite de la seule présence de la fiche.</x:v>
      </x:c>
      <x:c r="J155" t="str">
        <x:v>https://github.com/darknigthmare/deadwall-last-enclosure/blob/f0ef5a2036d4876ae8f4d4477676da968a032d01/docs/codex/suivi-monde2026/INSPECTION_PHYSIQUE_2026.md</x:v>
      </x:c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En cours</x:v>
      </x:c>
      <x:c r="H156" t="str">
        <x:v>Production Codex</x:v>
      </x:c>
      <x:c r="I156" t="str">
        <x:v>Sources publiques identifiées ; unités en mètres ; emprise au sol distincte de la hauteur.</x:v>
      </x:c>
      <x:c r="J156" t="str">
        <x:v>https://github.com/darknigthmare/deadwall-last-enclosure/blob/f0ef5a2036d4876ae8f4d4477676da968a032d01/docs/codex/suivi-monde2026/PORTS_ILES_2026.md</x:v>
      </x:c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En cours</x:v>
      </x:c>
      <x:c r="H157" t="str">
        <x:v>Production Codex</x:v>
      </x:c>
      <x:c r="I157" t="str">
        <x:v>Livrable explicite, tests positifs et négatifs ; aucune validation déduite de la seule présence de la fiche.</x:v>
      </x:c>
      <x:c r="J157" t="str">
        <x:v>https://github.com/darknigthmare/deadwall-last-enclosure/blob/f0ef5a2036d4876ae8f4d4477676da968a032d01/docs/codex/suivi-monde2026/INSPECTION_PHYSIQUE_2026.md</x:v>
      </x:c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En cours</x:v>
      </x:c>
      <x:c r="H159" t="str">
        <x:v>Production Codex</x:v>
      </x:c>
      <x:c r="I159" t="str">
        <x:v>Livrable explicite, tests positifs et négatifs ; aucune validation déduite de la seule présence de la fiche.</x:v>
      </x:c>
      <x:c r="J159" t="str">
        <x:v>https://github.com/darknigthmare/deadwall-last-enclosure/blob/f0ef5a2036d4876ae8f4d4477676da968a032d01/docs/codex/suivi-monde2026/INSPECTION_PHYSIQUE_2026.md</x:v>
      </x:c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En cours</x:v>
      </x:c>
      <x:c r="H164" t="str">
        <x:v>Production Codex</x:v>
      </x:c>
      <x:c r="I164" t="str">
        <x:v>Livrable explicite, tests positifs et négatifs ; aucune validation déduite de la seule présence de la fiche.</x:v>
      </x:c>
      <x:c r="J164" t="str">
        <x:v>https://github.com/darknigthmare/deadwall-last-enclosure/blob/f0ef5a2036d4876ae8f4d4477676da968a032d01/docs/codex/suivi-monde2026/INSPECTION_PHYSIQUE_2026.md</x:v>
      </x:c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En cours</x:v>
      </x:c>
      <x:c r="H165" t="str">
        <x:v>Production Codex</x:v>
      </x:c>
      <x:c r="I165" t="str">
        <x:v>Livrable explicite, tests positifs et négatifs ; aucune validation déduite de la seule présence de la fiche.</x:v>
      </x:c>
      <x:c r="J165" t="str">
        <x:v>https://github.com/darknigthmare/deadwall-last-enclosure/blob/f0ef5a2036d4876ae8f4d4477676da968a032d01/docs/codex/suivi-monde2026/INSPECTION_PHYSIQUE_2026.md</x:v>
      </x:c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En cours</x:v>
      </x:c>
      <x:c r="H166" t="str">
        <x:v>Production Codex</x:v>
      </x:c>
      <x:c r="I166" t="str">
        <x:v>Sources publiques identifiées ; unités en mètres ; emprise au sol distincte de la hauteur.</x:v>
      </x:c>
      <x:c r="J166" t="str">
        <x:v>https://github.com/darknigthmare/deadwall-last-enclosure/blob/f0ef5a2036d4876ae8f4d4477676da968a032d01/docs/codex/suivi-monde2026/LITTORAL_2026.md</x:v>
      </x:c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En cours</x:v>
      </x:c>
      <x:c r="H167" t="str">
        <x:v>Production Codex</x:v>
      </x:c>
      <x:c r="I167" t="str">
        <x:v>Livrable explicite, tests positifs et négatifs ; aucune validation déduite de la seule présence de la fiche.</x:v>
      </x:c>
      <x:c r="J167" t="str">
        <x:v>https://github.com/darknigthmare/deadwall-last-enclosure/blob/f0ef5a2036d4876ae8f4d4477676da968a032d01/docs/codex/suivi-monde2026/INSPECTION_PHYSIQUE_2026.md</x:v>
      </x:c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En cours</x:v>
      </x:c>
      <x:c r="H169" t="str">
        <x:v>Production Codex</x:v>
      </x:c>
      <x:c r="I169" t="str">
        <x:v>Livrable explicite, tests positifs et négatifs ; aucune validation déduite de la seule présence de la fiche.</x:v>
      </x:c>
      <x:c r="J169" t="str">
        <x:v>https://github.com/darknigthmare/deadwall-last-enclosure/blob/f0ef5a2036d4876ae8f4d4477676da968a032d01/docs/codex/suivi-monde2026/INSPECTION_PHYSIQUE_2026.md</x:v>
      </x:c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En cours</x:v>
      </x:c>
      <x:c r="H174" t="str">
        <x:v>Production Codex</x:v>
      </x:c>
      <x:c r="I174" t="str">
        <x:v>Livrable explicite, tests positifs et négatifs ; aucune validation déduite de la seule présence de la fiche.</x:v>
      </x:c>
      <x:c r="J174" t="str">
        <x:v>https://github.com/darknigthmare/deadwall-last-enclosure/blob/f0ef5a2036d4876ae8f4d4477676da968a032d01/docs/codex/suivi-monde2026/INSPECTION_PHYSIQUE_2026.md</x:v>
      </x:c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En cours</x:v>
      </x:c>
      <x:c r="H175" t="str">
        <x:v>Production Codex</x:v>
      </x:c>
      <x:c r="I175" t="str">
        <x:v>Livrable explicite, tests positifs et négatifs ; aucune validation déduite de la seule présence de la fiche.</x:v>
      </x:c>
      <x:c r="J175" t="str">
        <x:v>https://github.com/darknigthmare/deadwall-last-enclosure/blob/f0ef5a2036d4876ae8f4d4477676da968a032d01/docs/codex/suivi-monde2026/INSPECTION_PHYSIQUE_2026.md</x:v>
      </x:c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En cours</x:v>
      </x:c>
      <x:c r="H176" t="str">
        <x:v>Production Codex</x:v>
      </x:c>
      <x:c r="I176" t="str">
        <x:v>Sources publiques identifiées ; unités en mètres ; emprise au sol distincte de la hauteur.</x:v>
      </x:c>
      <x:c r="J176" t="str">
        <x:v>https://github.com/darknigthmare/deadwall-last-enclosure/blob/f0ef5a2036d4876ae8f4d4477676da968a032d01/docs/codex/suivi-monde2026/LITTORAL_2026.md</x:v>
      </x:c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En cours</x:v>
      </x:c>
      <x:c r="H177" t="str">
        <x:v>Production Codex</x:v>
      </x:c>
      <x:c r="I177" t="str">
        <x:v>Livrable explicite, tests positifs et négatifs ; aucune validation déduite de la seule présence de la fiche.</x:v>
      </x:c>
      <x:c r="J177" t="str">
        <x:v>https://github.com/darknigthmare/deadwall-last-enclosure/blob/f0ef5a2036d4876ae8f4d4477676da968a032d01/docs/codex/suivi-monde2026/INSPECTION_PHYSIQUE_2026.md</x:v>
      </x:c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En cours</x:v>
      </x:c>
      <x:c r="H179" t="str">
        <x:v>Production Codex</x:v>
      </x:c>
      <x:c r="I179" t="str">
        <x:v>Livrable explicite, tests positifs et négatifs ; aucune validation déduite de la seule présence de la fiche.</x:v>
      </x:c>
      <x:c r="J179" t="str">
        <x:v>https://github.com/darknigthmare/deadwall-last-enclosure/blob/f0ef5a2036d4876ae8f4d4477676da968a032d01/docs/codex/suivi-monde2026/INSPECTION_PHYSIQUE_2026.md</x:v>
      </x:c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En cours</x:v>
      </x:c>
      <x:c r="H184" t="str">
        <x:v>Production Codex</x:v>
      </x:c>
      <x:c r="I184" t="str">
        <x:v>Livrable explicite, tests positifs et négatifs ; aucune validation déduite de la seule présence de la fiche.</x:v>
      </x:c>
      <x:c r="J184" t="str">
        <x:v>https://github.com/darknigthmare/deadwall-last-enclosure/blob/f0ef5a2036d4876ae8f4d4477676da968a032d01/docs/codex/suivi-monde2026/INSPECTION_PHYSIQUE_2026.md</x:v>
      </x:c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En cours</x:v>
      </x:c>
      <x:c r="H185" t="str">
        <x:v>Production Codex</x:v>
      </x:c>
      <x:c r="I185" t="str">
        <x:v>Livrable explicite, tests positifs et négatifs ; aucune validation déduite de la seule présence de la fiche.</x:v>
      </x:c>
      <x:c r="J185" t="str">
        <x:v>https://github.com/darknigthmare/deadwall-last-enclosure/blob/f0ef5a2036d4876ae8f4d4477676da968a032d01/docs/codex/suivi-monde2026/INSPECTION_PHYSIQUE_2026.md</x:v>
      </x:c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En cours</x:v>
      </x:c>
      <x:c r="H186" t="str">
        <x:v>Production Codex</x:v>
      </x:c>
      <x:c r="I186" t="str">
        <x:v>Sources publiques identifiées ; unités en mètres ; emprise au sol distincte de la hauteur.</x:v>
      </x:c>
      <x:c r="J186" t="str">
        <x:v>https://github.com/darknigthmare/deadwall-last-enclosure/blob/f0ef5a2036d4876ae8f4d4477676da968a032d01/docs/codex/suivi-monde2026/LITTORAL_2026.md</x:v>
      </x:c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En cours</x:v>
      </x:c>
      <x:c r="H187" t="str">
        <x:v>Production Codex</x:v>
      </x:c>
      <x:c r="I187" t="str">
        <x:v>Livrable explicite, tests positifs et négatifs ; aucune validation déduite de la seule présence de la fiche.</x:v>
      </x:c>
      <x:c r="J187" t="str">
        <x:v>https://github.com/darknigthmare/deadwall-last-enclosure/blob/f0ef5a2036d4876ae8f4d4477676da968a032d01/docs/codex/suivi-monde2026/INSPECTION_PHYSIQUE_2026.md</x:v>
      </x:c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En cours</x:v>
      </x:c>
      <x:c r="H189" t="str">
        <x:v>Production Codex</x:v>
      </x:c>
      <x:c r="I189" t="str">
        <x:v>Livrable explicite, tests positifs et négatifs ; aucune validation déduite de la seule présence de la fiche.</x:v>
      </x:c>
      <x:c r="J189" t="str">
        <x:v>https://github.com/darknigthmare/deadwall-last-enclosure/blob/f0ef5a2036d4876ae8f4d4477676da968a032d01/docs/codex/suivi-monde2026/INSPECTION_PHYSIQUE_2026.md</x:v>
      </x:c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En cours</x:v>
      </x:c>
      <x:c r="H194" t="str">
        <x:v>Production Codex</x:v>
      </x:c>
      <x:c r="I194" t="str">
        <x:v>Livrable explicite, tests positifs et négatifs ; aucune validation déduite de la seule présence de la fiche.</x:v>
      </x:c>
      <x:c r="J194" t="str">
        <x:v>https://github.com/darknigthmare/deadwall-last-enclosure/blob/f0ef5a2036d4876ae8f4d4477676da968a032d01/docs/codex/suivi-monde2026/INSPECTION_PHYSIQUE_2026.md</x:v>
      </x:c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En cours</x:v>
      </x:c>
      <x:c r="H195" t="str">
        <x:v>Production Codex</x:v>
      </x:c>
      <x:c r="I195" t="str">
        <x:v>Livrable explicite, tests positifs et négatifs ; aucune validation déduite de la seule présence de la fiche.</x:v>
      </x:c>
      <x:c r="J195" t="str">
        <x:v>https://github.com/darknigthmare/deadwall-last-enclosure/blob/f0ef5a2036d4876ae8f4d4477676da968a032d01/docs/codex/suivi-monde2026/INSPECTION_PHYSIQUE_2026.md</x:v>
      </x:c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En cours</x:v>
      </x:c>
      <x:c r="H196" t="str">
        <x:v>Production Codex</x:v>
      </x:c>
      <x:c r="I196" t="str">
        <x:v>Sources publiques identifiées ; unités en mètres ; emprise au sol distincte de la hauteur.</x:v>
      </x:c>
      <x:c r="J196" t="str">
        <x:v>https://github.com/darknigthmare/deadwall-last-enclosure/blob/f0ef5a2036d4876ae8f4d4477676da968a032d01/docs/codex/suivi-monde2026/LITTORAL_2026.md</x:v>
      </x:c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En cours</x:v>
      </x:c>
      <x:c r="H197" t="str">
        <x:v>Production Codex</x:v>
      </x:c>
      <x:c r="I197" t="str">
        <x:v>Livrable explicite, tests positifs et négatifs ; aucune validation déduite de la seule présence de la fiche.</x:v>
      </x:c>
      <x:c r="J197" t="str">
        <x:v>https://github.com/darknigthmare/deadwall-last-enclosure/blob/f0ef5a2036d4876ae8f4d4477676da968a032d01/docs/codex/suivi-monde2026/INSPECTION_PHYSIQUE_2026.md</x:v>
      </x:c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En cours</x:v>
      </x:c>
      <x:c r="H199" t="str">
        <x:v>Production Codex</x:v>
      </x:c>
      <x:c r="I199" t="str">
        <x:v>Livrable explicite, tests positifs et négatifs ; aucune validation déduite de la seule présence de la fiche.</x:v>
      </x:c>
      <x:c r="J199" t="str">
        <x:v>https://github.com/darknigthmare/deadwall-last-enclosure/blob/f0ef5a2036d4876ae8f4d4477676da968a032d01/docs/codex/suivi-monde2026/INSPECTION_PHYSIQUE_2026.md</x:v>
      </x:c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En cours</x:v>
      </x:c>
      <x:c r="H204" t="str">
        <x:v>Production Codex</x:v>
      </x:c>
      <x:c r="I204" t="str">
        <x:v>Livrable explicite, tests positifs et négatifs ; aucune validation déduite de la seule présence de la fiche.</x:v>
      </x:c>
      <x:c r="J204" t="str">
        <x:v>https://github.com/darknigthmare/deadwall-last-enclosure/blob/f0ef5a2036d4876ae8f4d4477676da968a032d01/docs/codex/suivi-monde2026/INSPECTION_PHYSIQUE_2026.md</x:v>
      </x:c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En cours</x:v>
      </x:c>
      <x:c r="H205" t="str">
        <x:v>Production Codex</x:v>
      </x:c>
      <x:c r="I205" t="str">
        <x:v>Livrable explicite, tests positifs et négatifs ; aucune validation déduite de la seule présence de la fiche.</x:v>
      </x:c>
      <x:c r="J205" t="str">
        <x:v>https://github.com/darknigthmare/deadwall-last-enclosure/blob/f0ef5a2036d4876ae8f4d4477676da968a032d01/docs/codex/suivi-monde2026/INSPECTION_PHYSIQUE_2026.md</x:v>
      </x:c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https://github.com/darknigthmare/deadwall-last-enclosure/blob/f0ef5a2036d4876ae8f4d4477676da968a032d01/docs/codex/suivi-monde2026/AGRICULTURE_2026.md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https://github.com/darknigthmare/deadwall-last-enclosure/blob/f0ef5a2036d4876ae8f4d4477676da968a032d01/docs/codex/suivi-monde2026/INSPECTION_PHYSIQUE_2026.md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https://github.com/darknigthmare/deadwall-last-enclosure/blob/f0ef5a2036d4876ae8f4d4477676da968a032d01/docs/codex/suivi-monde2026/INSPECTION_PHYSIQUE_2026.md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https://github.com/darknigthmare/deadwall-last-enclosure/blob/f0ef5a2036d4876ae8f4d4477676da968a032d01/docs/codex/suivi-monde2026/INSPECTION_PHYSIQUE_2026.md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https://github.com/darknigthmare/deadwall-last-enclosure/blob/f0ef5a2036d4876ae8f4d4477676da968a032d01/docs/codex/suivi-monde2026/INSPECTION_PHYSIQUE_2026.md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https://github.com/darknigthmare/deadwall-last-enclosure/blob/f0ef5a2036d4876ae8f4d4477676da968a032d01/docs/codex/suivi-monde2026/AGRICULTURE_2026.md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https://github.com/darknigthmare/deadwall-last-enclosure/blob/f0ef5a2036d4876ae8f4d4477676da968a032d01/docs/codex/suivi-monde2026/INSPECTION_PHYSIQUE_2026.md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https://github.com/darknigthmare/deadwall-last-enclosure/blob/f0ef5a2036d4876ae8f4d4477676da968a032d01/docs/codex/suivi-monde2026/INSPECTION_PHYSIQUE_2026.md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https://github.com/darknigthmare/deadwall-last-enclosure/blob/f0ef5a2036d4876ae8f4d4477676da968a032d01/docs/codex/suivi-monde2026/INSPECTION_PHYSIQUE_2026.md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https://github.com/darknigthmare/deadwall-last-enclosure/blob/f0ef5a2036d4876ae8f4d4477676da968a032d01/docs/codex/suivi-monde2026/INSPECTION_PHYSIQUE_2026.md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https://github.com/darknigthmare/deadwall-last-enclosure/blob/f0ef5a2036d4876ae8f4d4477676da968a032d01/docs/codex/suivi-monde2026/AGRICULTURE_2026.md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https://github.com/darknigthmare/deadwall-last-enclosure/blob/f0ef5a2036d4876ae8f4d4477676da968a032d01/docs/codex/suivi-monde2026/INSPECTION_PHYSIQUE_2026.md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https://github.com/darknigthmare/deadwall-last-enclosure/blob/f0ef5a2036d4876ae8f4d4477676da968a032d01/docs/codex/suivi-monde2026/INSPECTION_PHYSIQUE_2026.md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https://github.com/darknigthmare/deadwall-last-enclosure/blob/f0ef5a2036d4876ae8f4d4477676da968a032d01/docs/codex/suivi-monde2026/INSPECTION_PHYSIQUE_2026.md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https://github.com/darknigthmare/deadwall-last-enclosure/blob/f0ef5a2036d4876ae8f4d4477676da968a032d01/docs/codex/suivi-monde2026/INSPECTION_PHYSIQUE_2026.md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https://github.com/darknigthmare/deadwall-last-enclosure/blob/f0ef5a2036d4876ae8f4d4477676da968a032d01/docs/codex/suivi-monde2026/AGRICULTURE_2026.md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https://github.com/darknigthmare/deadwall-last-enclosure/blob/f0ef5a2036d4876ae8f4d4477676da968a032d01/docs/codex/suivi-monde2026/INSPECTION_PHYSIQUE_2026.md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https://github.com/darknigthmare/deadwall-last-enclosure/blob/f0ef5a2036d4876ae8f4d4477676da968a032d01/docs/codex/suivi-monde2026/INSPECTION_PHYSIQUE_2026.md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https://github.com/darknigthmare/deadwall-last-enclosure/blob/f0ef5a2036d4876ae8f4d4477676da968a032d01/docs/codex/suivi-monde2026/INSPECTION_PHYSIQUE_2026.md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https://github.com/darknigthmare/deadwall-last-enclosure/blob/f0ef5a2036d4876ae8f4d4477676da968a032d01/docs/codex/suivi-monde2026/INSPECTION_PHYSIQUE_2026.md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https://github.com/darknigthmare/deadwall-last-enclosure/blob/f0ef5a2036d4876ae8f4d4477676da968a032d01/docs/codex/suivi-monde2026/AGRICULTURE_2026.md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https://github.com/darknigthmare/deadwall-last-enclosure/blob/f0ef5a2036d4876ae8f4d4477676da968a032d01/docs/codex/suivi-monde2026/INSPECTION_PHYSIQUE_2026.md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https://github.com/darknigthmare/deadwall-last-enclosure/blob/f0ef5a2036d4876ae8f4d4477676da968a032d01/docs/codex/suivi-monde2026/INSPECTION_PHYSIQUE_2026.md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https://github.com/darknigthmare/deadwall-last-enclosure/blob/f0ef5a2036d4876ae8f4d4477676da968a032d01/docs/codex/suivi-monde2026/INSPECTION_PHYSIQUE_2026.md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https://github.com/darknigthmare/deadwall-last-enclosure/blob/f0ef5a2036d4876ae8f4d4477676da968a032d01/docs/codex/suivi-monde2026/INSPECTION_PHYSIQUE_2026.md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https://github.com/darknigthmare/deadwall-last-enclosure/blob/f0ef5a2036d4876ae8f4d4477676da968a032d01/docs/codex/suivi-monde2026/AGRICULTURE_2026.md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https://github.com/darknigthmare/deadwall-last-enclosure/blob/f0ef5a2036d4876ae8f4d4477676da968a032d01/docs/codex/suivi-monde2026/INSPECTION_PHYSIQUE_2026.md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https://github.com/darknigthmare/deadwall-last-enclosure/blob/f0ef5a2036d4876ae8f4d4477676da968a032d01/docs/codex/suivi-monde2026/INSPECTION_PHYSIQUE_2026.md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https://github.com/darknigthmare/deadwall-last-enclosure/blob/f0ef5a2036d4876ae8f4d4477676da968a032d01/docs/codex/suivi-monde2026/INSPECTION_PHYSIQUE_2026.md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https://github.com/darknigthmare/deadwall-last-enclosure/blob/f0ef5a2036d4876ae8f4d4477676da968a032d01/docs/codex/suivi-monde2026/INSPECTION_PHYSIQUE_2026.md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https://github.com/darknigthmare/deadwall-last-enclosure/blob/f0ef5a2036d4876ae8f4d4477676da968a032d01/docs/codex/suivi-monde2026/AGRICULTURE_2026.md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https://github.com/darknigthmare/deadwall-last-enclosure/blob/f0ef5a2036d4876ae8f4d4477676da968a032d01/docs/codex/suivi-monde2026/INSPECTION_PHYSIQUE_2026.md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https://github.com/darknigthmare/deadwall-last-enclosure/blob/f0ef5a2036d4876ae8f4d4477676da968a032d01/docs/codex/suivi-monde2026/INSPECTION_PHYSIQUE_2026.md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https://github.com/darknigthmare/deadwall-last-enclosure/blob/f0ef5a2036d4876ae8f4d4477676da968a032d01/docs/codex/suivi-monde2026/INSPECTION_PHYSIQUE_2026.md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https://github.com/darknigthmare/deadwall-last-enclosure/blob/f0ef5a2036d4876ae8f4d4477676da968a032d01/docs/codex/suivi-monde2026/INSPECTION_PHYSIQUE_2026.md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https://github.com/darknigthmare/deadwall-last-enclosure/blob/f0ef5a2036d4876ae8f4d4477676da968a032d01/docs/codex/suivi-monde2026/AGRICULTURE_2026.md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https://github.com/darknigthmare/deadwall-last-enclosure/blob/f0ef5a2036d4876ae8f4d4477676da968a032d01/docs/codex/suivi-monde2026/INSPECTION_PHYSIQUE_2026.md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https://github.com/darknigthmare/deadwall-last-enclosure/blob/f0ef5a2036d4876ae8f4d4477676da968a032d01/docs/codex/suivi-monde2026/INSPECTION_PHYSIQUE_2026.md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https://github.com/darknigthmare/deadwall-last-enclosure/blob/f0ef5a2036d4876ae8f4d4477676da968a032d01/docs/codex/suivi-monde2026/INSPECTION_PHYSIQUE_2026.md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https://github.com/darknigthmare/deadwall-last-enclosure/blob/f0ef5a2036d4876ae8f4d4477676da968a032d01/docs/codex/suivi-monde2026/INSPECTION_PHYSIQUE_2026.md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En cours</x:v>
      </x:c>
      <x:c r="H286" t="str">
        <x:v>Production Codex</x:v>
      </x:c>
      <x:c r="I286" t="str">
        <x:v>Sources publiques identifiées ; unités en mètres ; emprise au sol distincte de la hauteur.</x:v>
      </x:c>
      <x:c r="J286" t="str">
        <x:v>https://github.com/darknigthmare/deadwall-last-enclosure/blob/f0ef5a2036d4876ae8f4d4477676da968a032d01/docs/codex/suivi-monde2026/PONTS_ECHANGEURS_2026.md</x:v>
      </x:c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En cours</x:v>
      </x:c>
      <x:c r="H287" t="str">
        <x:v>Production Codex</x:v>
      </x:c>
      <x:c r="I287" t="str">
        <x:v>Livrable explicite, tests positifs et négatifs ; aucune validation déduite de la seule présence de la fiche.</x:v>
      </x:c>
      <x:c r="J287" t="str">
        <x:v>https://github.com/darknigthmare/deadwall-last-enclosure/blob/f0ef5a2036d4876ae8f4d4477676da968a032d01/docs/codex/suivi-monde2026/INSPECTION_PHYSIQUE_2026.md</x:v>
      </x:c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En cours</x:v>
      </x:c>
      <x:c r="H289" t="str">
        <x:v>Production Codex</x:v>
      </x:c>
      <x:c r="I289" t="str">
        <x:v>Livrable explicite, tests positifs et négatifs ; aucune validation déduite de la seule présence de la fiche.</x:v>
      </x:c>
      <x:c r="J289" t="str">
        <x:v>https://github.com/darknigthmare/deadwall-last-enclosure/blob/f0ef5a2036d4876ae8f4d4477676da968a032d01/docs/codex/suivi-monde2026/INSPECTION_PHYSIQUE_2026.md</x:v>
      </x:c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En cours</x:v>
      </x:c>
      <x:c r="H294" t="str">
        <x:v>Production Codex</x:v>
      </x:c>
      <x:c r="I294" t="str">
        <x:v>Livrable explicite, tests positifs et négatifs ; aucune validation déduite de la seule présence de la fiche.</x:v>
      </x:c>
      <x:c r="J294" t="str">
        <x:v>https://github.com/darknigthmare/deadwall-last-enclosure/blob/f0ef5a2036d4876ae8f4d4477676da968a032d01/docs/codex/suivi-monde2026/INSPECTION_PHYSIQUE_2026.md</x:v>
      </x:c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En cours</x:v>
      </x:c>
      <x:c r="H295" t="str">
        <x:v>Production Codex</x:v>
      </x:c>
      <x:c r="I295" t="str">
        <x:v>Livrable explicite, tests positifs et négatifs ; aucune validation déduite de la seule présence de la fiche.</x:v>
      </x:c>
      <x:c r="J295" t="str">
        <x:v>https://github.com/darknigthmare/deadwall-last-enclosure/blob/f0ef5a2036d4876ae8f4d4477676da968a032d01/docs/codex/suivi-monde2026/INSPECTION_PHYSIQUE_2026.md</x:v>
      </x:c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En cours</x:v>
      </x:c>
      <x:c r="H296" t="str">
        <x:v>Production Codex</x:v>
      </x:c>
      <x:c r="I296" t="str">
        <x:v>Sources publiques identifiées ; unités en mètres ; emprise au sol distincte de la hauteur.</x:v>
      </x:c>
      <x:c r="J296" t="str">
        <x:v>https://github.com/darknigthmare/deadwall-last-enclosure/blob/f0ef5a2036d4876ae8f4d4477676da968a032d01/docs/codex/suivi-monde2026/PONTS_ECHANGEURS_2026.md</x:v>
      </x:c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En cours</x:v>
      </x:c>
      <x:c r="H297" t="str">
        <x:v>Production Codex</x:v>
      </x:c>
      <x:c r="I297" t="str">
        <x:v>Livrable explicite, tests positifs et négatifs ; aucune validation déduite de la seule présence de la fiche.</x:v>
      </x:c>
      <x:c r="J297" t="str">
        <x:v>https://github.com/darknigthmare/deadwall-last-enclosure/blob/f0ef5a2036d4876ae8f4d4477676da968a032d01/docs/codex/suivi-monde2026/INSPECTION_PHYSIQUE_2026.md</x:v>
      </x:c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En cours</x:v>
      </x:c>
      <x:c r="H299" t="str">
        <x:v>Production Codex</x:v>
      </x:c>
      <x:c r="I299" t="str">
        <x:v>Livrable explicite, tests positifs et négatifs ; aucune validation déduite de la seule présence de la fiche.</x:v>
      </x:c>
      <x:c r="J299" t="str">
        <x:v>https://github.com/darknigthmare/deadwall-last-enclosure/blob/f0ef5a2036d4876ae8f4d4477676da968a032d01/docs/codex/suivi-monde2026/INSPECTION_PHYSIQUE_2026.md</x:v>
      </x:c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En cours</x:v>
      </x:c>
      <x:c r="H304" t="str">
        <x:v>Production Codex</x:v>
      </x:c>
      <x:c r="I304" t="str">
        <x:v>Livrable explicite, tests positifs et négatifs ; aucune validation déduite de la seule présence de la fiche.</x:v>
      </x:c>
      <x:c r="J304" t="str">
        <x:v>https://github.com/darknigthmare/deadwall-last-enclosure/blob/f0ef5a2036d4876ae8f4d4477676da968a032d01/docs/codex/suivi-monde2026/INSPECTION_PHYSIQUE_2026.md</x:v>
      </x:c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En cours</x:v>
      </x:c>
      <x:c r="H305" t="str">
        <x:v>Production Codex</x:v>
      </x:c>
      <x:c r="I305" t="str">
        <x:v>Livrable explicite, tests positifs et négatifs ; aucune validation déduite de la seule présence de la fiche.</x:v>
      </x:c>
      <x:c r="J305" t="str">
        <x:v>https://github.com/darknigthmare/deadwall-last-enclosure/blob/f0ef5a2036d4876ae8f4d4477676da968a032d01/docs/codex/suivi-monde2026/INSPECTION_PHYSIQUE_2026.md</x:v>
      </x:c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En cours</x:v>
      </x:c>
      <x:c r="H306" t="str">
        <x:v>Production Codex</x:v>
      </x:c>
      <x:c r="I306" t="str">
        <x:v>Sources publiques identifiées ; unités en mètres ; emprise au sol distincte de la hauteur.</x:v>
      </x:c>
      <x:c r="J306" t="str">
        <x:v>https://github.com/darknigthmare/deadwall-last-enclosure/blob/f0ef5a2036d4876ae8f4d4477676da968a032d01/docs/codex/suivi-monde2026/PONTS_ECHANGEURS_2026.md</x:v>
      </x:c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En cours</x:v>
      </x:c>
      <x:c r="H307" t="str">
        <x:v>Production Codex</x:v>
      </x:c>
      <x:c r="I307" t="str">
        <x:v>Livrable explicite, tests positifs et négatifs ; aucune validation déduite de la seule présence de la fiche.</x:v>
      </x:c>
      <x:c r="J307" t="str">
        <x:v>https://github.com/darknigthmare/deadwall-last-enclosure/blob/f0ef5a2036d4876ae8f4d4477676da968a032d01/docs/codex/suivi-monde2026/INSPECTION_PHYSIQUE_2026.md</x:v>
      </x:c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En cours</x:v>
      </x:c>
      <x:c r="H309" t="str">
        <x:v>Production Codex</x:v>
      </x:c>
      <x:c r="I309" t="str">
        <x:v>Livrable explicite, tests positifs et négatifs ; aucune validation déduite de la seule présence de la fiche.</x:v>
      </x:c>
      <x:c r="J309" t="str">
        <x:v>https://github.com/darknigthmare/deadwall-last-enclosure/blob/f0ef5a2036d4876ae8f4d4477676da968a032d01/docs/codex/suivi-monde2026/INSPECTION_PHYSIQUE_2026.md</x:v>
      </x:c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En cours</x:v>
      </x:c>
      <x:c r="H314" t="str">
        <x:v>Production Codex</x:v>
      </x:c>
      <x:c r="I314" t="str">
        <x:v>Livrable explicite, tests positifs et négatifs ; aucune validation déduite de la seule présence de la fiche.</x:v>
      </x:c>
      <x:c r="J314" t="str">
        <x:v>https://github.com/darknigthmare/deadwall-last-enclosure/blob/f0ef5a2036d4876ae8f4d4477676da968a032d01/docs/codex/suivi-monde2026/INSPECTION_PHYSIQUE_2026.md</x:v>
      </x:c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En cours</x:v>
      </x:c>
      <x:c r="H315" t="str">
        <x:v>Production Codex</x:v>
      </x:c>
      <x:c r="I315" t="str">
        <x:v>Livrable explicite, tests positifs et négatifs ; aucune validation déduite de la seule présence de la fiche.</x:v>
      </x:c>
      <x:c r="J315" t="str">
        <x:v>https://github.com/darknigthmare/deadwall-last-enclosure/blob/f0ef5a2036d4876ae8f4d4477676da968a032d01/docs/codex/suivi-monde2026/INSPECTION_PHYSIQUE_2026.md</x:v>
      </x:c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En cours</x:v>
      </x:c>
      <x:c r="H316" t="str">
        <x:v>Production Codex</x:v>
      </x:c>
      <x:c r="I316" t="str">
        <x:v>Sources publiques identifiées ; unités en mètres ; emprise au sol distincte de la hauteur.</x:v>
      </x:c>
      <x:c r="J316" t="str">
        <x:v>https://github.com/darknigthmare/deadwall-last-enclosure/blob/f0ef5a2036d4876ae8f4d4477676da968a032d01/docs/codex/suivi-monde2026/PONTS_ECHANGEURS_2026.md</x:v>
      </x:c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En cours</x:v>
      </x:c>
      <x:c r="H317" t="str">
        <x:v>Production Codex</x:v>
      </x:c>
      <x:c r="I317" t="str">
        <x:v>Livrable explicite, tests positifs et négatifs ; aucune validation déduite de la seule présence de la fiche.</x:v>
      </x:c>
      <x:c r="J317" t="str">
        <x:v>https://github.com/darknigthmare/deadwall-last-enclosure/blob/f0ef5a2036d4876ae8f4d4477676da968a032d01/docs/codex/suivi-monde2026/INSPECTION_PHYSIQUE_2026.md</x:v>
      </x:c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En cours</x:v>
      </x:c>
      <x:c r="H319" t="str">
        <x:v>Production Codex</x:v>
      </x:c>
      <x:c r="I319" t="str">
        <x:v>Livrable explicite, tests positifs et négatifs ; aucune validation déduite de la seule présence de la fiche.</x:v>
      </x:c>
      <x:c r="J319" t="str">
        <x:v>https://github.com/darknigthmare/deadwall-last-enclosure/blob/f0ef5a2036d4876ae8f4d4477676da968a032d01/docs/codex/suivi-monde2026/INSPECTION_PHYSIQUE_2026.md</x:v>
      </x:c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En cours</x:v>
      </x:c>
      <x:c r="H324" t="str">
        <x:v>Production Codex</x:v>
      </x:c>
      <x:c r="I324" t="str">
        <x:v>Livrable explicite, tests positifs et négatifs ; aucune validation déduite de la seule présence de la fiche.</x:v>
      </x:c>
      <x:c r="J324" t="str">
        <x:v>https://github.com/darknigthmare/deadwall-last-enclosure/blob/f0ef5a2036d4876ae8f4d4477676da968a032d01/docs/codex/suivi-monde2026/INSPECTION_PHYSIQUE_2026.md</x:v>
      </x:c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En cours</x:v>
      </x:c>
      <x:c r="H325" t="str">
        <x:v>Production Codex</x:v>
      </x:c>
      <x:c r="I325" t="str">
        <x:v>Livrable explicite, tests positifs et négatifs ; aucune validation déduite de la seule présence de la fiche.</x:v>
      </x:c>
      <x:c r="J325" t="str">
        <x:v>https://github.com/darknigthmare/deadwall-last-enclosure/blob/f0ef5a2036d4876ae8f4d4477676da968a032d01/docs/codex/suivi-monde2026/INSPECTION_PHYSIQUE_2026.md</x:v>
      </x:c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En cours</x:v>
      </x:c>
      <x:c r="H326" t="str">
        <x:v>Production Codex</x:v>
      </x:c>
      <x:c r="I326" t="str">
        <x:v>Sources publiques identifiées ; unités en mètres ; emprise au sol distincte de la hauteur.</x:v>
      </x:c>
      <x:c r="J326" t="str">
        <x:v>https://github.com/darknigthmare/deadwall-last-enclosure/blob/f0ef5a2036d4876ae8f4d4477676da968a032d01/docs/codex/suivi-monde2026/PONTS_ECHANGEURS_2026.md</x:v>
      </x:c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En cours</x:v>
      </x:c>
      <x:c r="H327" t="str">
        <x:v>Production Codex</x:v>
      </x:c>
      <x:c r="I327" t="str">
        <x:v>Livrable explicite, tests positifs et négatifs ; aucune validation déduite de la seule présence de la fiche.</x:v>
      </x:c>
      <x:c r="J327" t="str">
        <x:v>https://github.com/darknigthmare/deadwall-last-enclosure/blob/f0ef5a2036d4876ae8f4d4477676da968a032d01/docs/codex/suivi-monde2026/INSPECTION_PHYSIQUE_2026.md</x:v>
      </x:c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En cours</x:v>
      </x:c>
      <x:c r="H329" t="str">
        <x:v>Production Codex</x:v>
      </x:c>
      <x:c r="I329" t="str">
        <x:v>Livrable explicite, tests positifs et négatifs ; aucune validation déduite de la seule présence de la fiche.</x:v>
      </x:c>
      <x:c r="J329" t="str">
        <x:v>https://github.com/darknigthmare/deadwall-last-enclosure/blob/f0ef5a2036d4876ae8f4d4477676da968a032d01/docs/codex/suivi-monde2026/INSPECTION_PHYSIQUE_2026.md</x:v>
      </x:c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En cours</x:v>
      </x:c>
      <x:c r="H334" t="str">
        <x:v>Production Codex</x:v>
      </x:c>
      <x:c r="I334" t="str">
        <x:v>Livrable explicite, tests positifs et négatifs ; aucune validation déduite de la seule présence de la fiche.</x:v>
      </x:c>
      <x:c r="J334" t="str">
        <x:v>https://github.com/darknigthmare/deadwall-last-enclosure/blob/f0ef5a2036d4876ae8f4d4477676da968a032d01/docs/codex/suivi-monde2026/INSPECTION_PHYSIQUE_2026.md</x:v>
      </x:c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En cours</x:v>
      </x:c>
      <x:c r="H335" t="str">
        <x:v>Production Codex</x:v>
      </x:c>
      <x:c r="I335" t="str">
        <x:v>Livrable explicite, tests positifs et négatifs ; aucune validation déduite de la seule présence de la fiche.</x:v>
      </x:c>
      <x:c r="J335" t="str">
        <x:v>https://github.com/darknigthmare/deadwall-last-enclosure/blob/f0ef5a2036d4876ae8f4d4477676da968a032d01/docs/codex/suivi-monde2026/INSPECTION_PHYSIQUE_2026.md</x:v>
      </x:c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En cours</x:v>
      </x:c>
      <x:c r="H336" t="str">
        <x:v>Production Codex</x:v>
      </x:c>
      <x:c r="I336" t="str">
        <x:v>Sources publiques identifiées ; unités en mètres ; emprise au sol distincte de la hauteur.</x:v>
      </x:c>
      <x:c r="J336" t="str">
        <x:v>https://github.com/darknigthmare/deadwall-last-enclosure/blob/f0ef5a2036d4876ae8f4d4477676da968a032d01/docs/codex/suivi-monde2026/PONTS_ECHANGEURS_2026.md</x:v>
      </x:c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En cours</x:v>
      </x:c>
      <x:c r="H337" t="str">
        <x:v>Production Codex</x:v>
      </x:c>
      <x:c r="I337" t="str">
        <x:v>Livrable explicite, tests positifs et négatifs ; aucune validation déduite de la seule présence de la fiche.</x:v>
      </x:c>
      <x:c r="J337" t="str">
        <x:v>https://github.com/darknigthmare/deadwall-last-enclosure/blob/f0ef5a2036d4876ae8f4d4477676da968a032d01/docs/codex/suivi-monde2026/INSPECTION_PHYSIQUE_2026.md</x:v>
      </x:c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En cours</x:v>
      </x:c>
      <x:c r="H339" t="str">
        <x:v>Production Codex</x:v>
      </x:c>
      <x:c r="I339" t="str">
        <x:v>Livrable explicite, tests positifs et négatifs ; aucune validation déduite de la seule présence de la fiche.</x:v>
      </x:c>
      <x:c r="J339" t="str">
        <x:v>https://github.com/darknigthmare/deadwall-last-enclosure/blob/f0ef5a2036d4876ae8f4d4477676da968a032d01/docs/codex/suivi-monde2026/INSPECTION_PHYSIQUE_2026.md</x:v>
      </x:c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En cours</x:v>
      </x:c>
      <x:c r="H344" t="str">
        <x:v>Production Codex</x:v>
      </x:c>
      <x:c r="I344" t="str">
        <x:v>Livrable explicite, tests positifs et négatifs ; aucune validation déduite de la seule présence de la fiche.</x:v>
      </x:c>
      <x:c r="J344" t="str">
        <x:v>https://github.com/darknigthmare/deadwall-last-enclosure/blob/f0ef5a2036d4876ae8f4d4477676da968a032d01/docs/codex/suivi-monde2026/INSPECTION_PHYSIQUE_2026.md</x:v>
      </x:c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En cours</x:v>
      </x:c>
      <x:c r="H345" t="str">
        <x:v>Production Codex</x:v>
      </x:c>
      <x:c r="I345" t="str">
        <x:v>Livrable explicite, tests positifs et négatifs ; aucune validation déduite de la seule présence de la fiche.</x:v>
      </x:c>
      <x:c r="J345" t="str">
        <x:v>https://github.com/darknigthmare/deadwall-last-enclosure/blob/f0ef5a2036d4876ae8f4d4477676da968a032d01/docs/codex/suivi-monde2026/INSPECTION_PHYSIQUE_2026.md</x:v>
      </x:c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En cours</x:v>
      </x:c>
      <x:c r="H346" t="str">
        <x:v>Production Codex</x:v>
      </x:c>
      <x:c r="I346" t="str">
        <x:v>Sources publiques identifiées ; unités en mètres ; emprise au sol distincte de la hauteur.</x:v>
      </x:c>
      <x:c r="J346" t="str">
        <x:v>https://github.com/darknigthmare/deadwall-last-enclosure/blob/f0ef5a2036d4876ae8f4d4477676da968a032d01/docs/codex/suivi-monde2026/PONTS_ECHANGEURS_2026.md</x:v>
      </x:c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En cours</x:v>
      </x:c>
      <x:c r="H347" t="str">
        <x:v>Production Codex</x:v>
      </x:c>
      <x:c r="I347" t="str">
        <x:v>Livrable explicite, tests positifs et négatifs ; aucune validation déduite de la seule présence de la fiche.</x:v>
      </x:c>
      <x:c r="J347" t="str">
        <x:v>https://github.com/darknigthmare/deadwall-last-enclosure/blob/f0ef5a2036d4876ae8f4d4477676da968a032d01/docs/codex/suivi-monde2026/INSPECTION_PHYSIQUE_2026.md</x:v>
      </x:c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En cours</x:v>
      </x:c>
      <x:c r="H349" t="str">
        <x:v>Production Codex</x:v>
      </x:c>
      <x:c r="I349" t="str">
        <x:v>Livrable explicite, tests positifs et négatifs ; aucune validation déduite de la seule présence de la fiche.</x:v>
      </x:c>
      <x:c r="J349" t="str">
        <x:v>https://github.com/darknigthmare/deadwall-last-enclosure/blob/f0ef5a2036d4876ae8f4d4477676da968a032d01/docs/codex/suivi-monde2026/INSPECTION_PHYSIQUE_2026.md</x:v>
      </x:c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En cours</x:v>
      </x:c>
      <x:c r="H354" t="str">
        <x:v>Production Codex</x:v>
      </x:c>
      <x:c r="I354" t="str">
        <x:v>Livrable explicite, tests positifs et négatifs ; aucune validation déduite de la seule présence de la fiche.</x:v>
      </x:c>
      <x:c r="J354" t="str">
        <x:v>https://github.com/darknigthmare/deadwall-last-enclosure/blob/f0ef5a2036d4876ae8f4d4477676da968a032d01/docs/codex/suivi-monde2026/INSPECTION_PHYSIQUE_2026.md</x:v>
      </x:c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En cours</x:v>
      </x:c>
      <x:c r="H355" t="str">
        <x:v>Production Codex</x:v>
      </x:c>
      <x:c r="I355" t="str">
        <x:v>Livrable explicite, tests positifs et négatifs ; aucune validation déduite de la seule présence de la fiche.</x:v>
      </x:c>
      <x:c r="J355" t="str">
        <x:v>https://github.com/darknigthmare/deadwall-last-enclosure/blob/f0ef5a2036d4876ae8f4d4477676da968a032d01/docs/codex/suivi-monde2026/INSPECTION_PHYSIQUE_2026.md</x:v>
      </x:c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En cours</x:v>
      </x:c>
      <x:c r="H356" t="str">
        <x:v>Production Codex</x:v>
      </x:c>
      <x:c r="I356" t="str">
        <x:v>Sources publiques identifiées ; unités en mètres ; emprise au sol distincte de la hauteur.</x:v>
      </x:c>
      <x:c r="J356" t="str">
        <x:v>https://github.com/darknigthmare/deadwall-last-enclosure/blob/f0ef5a2036d4876ae8f4d4477676da968a032d01/docs/codex/suivi-monde2026/PONTS_ECHANGEURS_2026.md</x:v>
      </x:c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En cours</x:v>
      </x:c>
      <x:c r="H357" t="str">
        <x:v>Production Codex</x:v>
      </x:c>
      <x:c r="I357" t="str">
        <x:v>Livrable explicite, tests positifs et négatifs ; aucune validation déduite de la seule présence de la fiche.</x:v>
      </x:c>
      <x:c r="J357" t="str">
        <x:v>https://github.com/darknigthmare/deadwall-last-enclosure/blob/f0ef5a2036d4876ae8f4d4477676da968a032d01/docs/codex/suivi-monde2026/INSPECTION_PHYSIQUE_2026.md</x:v>
      </x:c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En cours</x:v>
      </x:c>
      <x:c r="H359" t="str">
        <x:v>Production Codex</x:v>
      </x:c>
      <x:c r="I359" t="str">
        <x:v>Livrable explicite, tests positifs et négatifs ; aucune validation déduite de la seule présence de la fiche.</x:v>
      </x:c>
      <x:c r="J359" t="str">
        <x:v>https://github.com/darknigthmare/deadwall-last-enclosure/blob/f0ef5a2036d4876ae8f4d4477676da968a032d01/docs/codex/suivi-monde2026/INSPECTION_PHYSIQUE_2026.md</x:v>
      </x:c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En cours</x:v>
      </x:c>
      <x:c r="H364" t="str">
        <x:v>Production Codex</x:v>
      </x:c>
      <x:c r="I364" t="str">
        <x:v>Livrable explicite, tests positifs et négatifs ; aucune validation déduite de la seule présence de la fiche.</x:v>
      </x:c>
      <x:c r="J364" t="str">
        <x:v>https://github.com/darknigthmare/deadwall-last-enclosure/blob/f0ef5a2036d4876ae8f4d4477676da968a032d01/docs/codex/suivi-monde2026/INSPECTION_PHYSIQUE_2026.md</x:v>
      </x:c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En cours</x:v>
      </x:c>
      <x:c r="H365" t="str">
        <x:v>Production Codex</x:v>
      </x:c>
      <x:c r="I365" t="str">
        <x:v>Livrable explicite, tests positifs et négatifs ; aucune validation déduite de la seule présence de la fiche.</x:v>
      </x:c>
      <x:c r="J365" t="str">
        <x:v>https://github.com/darknigthmare/deadwall-last-enclosure/blob/f0ef5a2036d4876ae8f4d4477676da968a032d01/docs/codex/suivi-monde2026/INSPECTION_PHYSIQUE_2026.md</x:v>
      </x:c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En cours</x:v>
      </x:c>
      <x:c r="H366" t="str">
        <x:v>Production Codex</x:v>
      </x:c>
      <x:c r="I366" t="str">
        <x:v>Sources publiques identifiées ; unités en mètres ; emprise au sol distincte de la hauteur.</x:v>
      </x:c>
      <x:c r="J366" t="str">
        <x:v>https://github.com/darknigthmare/deadwall-last-enclosure/blob/f0ef5a2036d4876ae8f4d4477676da968a032d01/docs/codex/suivi-monde2026/HLM_ASSAINISSEMENT_2026.md</x:v>
      </x:c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En cours</x:v>
      </x:c>
      <x:c r="H367" t="str">
        <x:v>Production Codex</x:v>
      </x:c>
      <x:c r="I367" t="str">
        <x:v>Livrable explicite, tests positifs et négatifs ; aucune validation déduite de la seule présence de la fiche.</x:v>
      </x:c>
      <x:c r="J367" t="str">
        <x:v>https://github.com/darknigthmare/deadwall-last-enclosure/blob/f0ef5a2036d4876ae8f4d4477676da968a032d01/docs/codex/suivi-monde2026/INSPECTION_PHYSIQUE_2026.md</x:v>
      </x:c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En cours</x:v>
      </x:c>
      <x:c r="H369" t="str">
        <x:v>Production Codex</x:v>
      </x:c>
      <x:c r="I369" t="str">
        <x:v>Livrable explicite, tests positifs et négatifs ; aucune validation déduite de la seule présence de la fiche.</x:v>
      </x:c>
      <x:c r="J369" t="str">
        <x:v>https://github.com/darknigthmare/deadwall-last-enclosure/blob/f0ef5a2036d4876ae8f4d4477676da968a032d01/docs/codex/suivi-monde2026/INSPECTION_PHYSIQUE_2026.md</x:v>
      </x:c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En cours</x:v>
      </x:c>
      <x:c r="H374" t="str">
        <x:v>Production Codex</x:v>
      </x:c>
      <x:c r="I374" t="str">
        <x:v>Livrable explicite, tests positifs et négatifs ; aucune validation déduite de la seule présence de la fiche.</x:v>
      </x:c>
      <x:c r="J374" t="str">
        <x:v>https://github.com/darknigthmare/deadwall-last-enclosure/blob/f0ef5a2036d4876ae8f4d4477676da968a032d01/docs/codex/suivi-monde2026/INSPECTION_PHYSIQUE_2026.md</x:v>
      </x:c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En cours</x:v>
      </x:c>
      <x:c r="H375" t="str">
        <x:v>Production Codex</x:v>
      </x:c>
      <x:c r="I375" t="str">
        <x:v>Livrable explicite, tests positifs et négatifs ; aucune validation déduite de la seule présence de la fiche.</x:v>
      </x:c>
      <x:c r="J375" t="str">
        <x:v>https://github.com/darknigthmare/deadwall-last-enclosure/blob/f0ef5a2036d4876ae8f4d4477676da968a032d01/docs/codex/suivi-monde2026/INSPECTION_PHYSIQUE_2026.md</x:v>
      </x:c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En cours</x:v>
      </x:c>
      <x:c r="H376" t="str">
        <x:v>Production Codex</x:v>
      </x:c>
      <x:c r="I376" t="str">
        <x:v>Sources publiques identifiées ; unités en mètres ; emprise au sol distincte de la hauteur.</x:v>
      </x:c>
      <x:c r="J376" t="str">
        <x:v>https://github.com/darknigthmare/deadwall-last-enclosure/blob/f0ef5a2036d4876ae8f4d4477676da968a032d01/docs/codex/suivi-monde2026/HLM_ASSAINISSEMENT_2026.md</x:v>
      </x:c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En cours</x:v>
      </x:c>
      <x:c r="H377" t="str">
        <x:v>Production Codex</x:v>
      </x:c>
      <x:c r="I377" t="str">
        <x:v>Livrable explicite, tests positifs et négatifs ; aucune validation déduite de la seule présence de la fiche.</x:v>
      </x:c>
      <x:c r="J377" t="str">
        <x:v>https://github.com/darknigthmare/deadwall-last-enclosure/blob/f0ef5a2036d4876ae8f4d4477676da968a032d01/docs/codex/suivi-monde2026/INSPECTION_PHYSIQUE_2026.md</x:v>
      </x:c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En cours</x:v>
      </x:c>
      <x:c r="H379" t="str">
        <x:v>Production Codex</x:v>
      </x:c>
      <x:c r="I379" t="str">
        <x:v>Livrable explicite, tests positifs et négatifs ; aucune validation déduite de la seule présence de la fiche.</x:v>
      </x:c>
      <x:c r="J379" t="str">
        <x:v>https://github.com/darknigthmare/deadwall-last-enclosure/blob/f0ef5a2036d4876ae8f4d4477676da968a032d01/docs/codex/suivi-monde2026/INSPECTION_PHYSIQUE_2026.md</x:v>
      </x:c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En cours</x:v>
      </x:c>
      <x:c r="H384" t="str">
        <x:v>Production Codex</x:v>
      </x:c>
      <x:c r="I384" t="str">
        <x:v>Livrable explicite, tests positifs et négatifs ; aucune validation déduite de la seule présence de la fiche.</x:v>
      </x:c>
      <x:c r="J384" t="str">
        <x:v>https://github.com/darknigthmare/deadwall-last-enclosure/blob/f0ef5a2036d4876ae8f4d4477676da968a032d01/docs/codex/suivi-monde2026/INSPECTION_PHYSIQUE_2026.md</x:v>
      </x:c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En cours</x:v>
      </x:c>
      <x:c r="H385" t="str">
        <x:v>Production Codex</x:v>
      </x:c>
      <x:c r="I385" t="str">
        <x:v>Livrable explicite, tests positifs et négatifs ; aucune validation déduite de la seule présence de la fiche.</x:v>
      </x:c>
      <x:c r="J385" t="str">
        <x:v>https://github.com/darknigthmare/deadwall-last-enclosure/blob/f0ef5a2036d4876ae8f4d4477676da968a032d01/docs/codex/suivi-monde2026/INSPECTION_PHYSIQUE_2026.md</x:v>
      </x:c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En cours</x:v>
      </x:c>
      <x:c r="H386" t="str">
        <x:v>Production Codex</x:v>
      </x:c>
      <x:c r="I386" t="str">
        <x:v>Sources publiques identifiées ; unités en mètres ; emprise au sol distincte de la hauteur.</x:v>
      </x:c>
      <x:c r="J386" t="str">
        <x:v>https://github.com/darknigthmare/deadwall-last-enclosure/blob/f0ef5a2036d4876ae8f4d4477676da968a032d01/docs/codex/suivi-monde2026/HLM_ASSAINISSEMENT_2026.md</x:v>
      </x:c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En cours</x:v>
      </x:c>
      <x:c r="H387" t="str">
        <x:v>Production Codex</x:v>
      </x:c>
      <x:c r="I387" t="str">
        <x:v>Livrable explicite, tests positifs et négatifs ; aucune validation déduite de la seule présence de la fiche.</x:v>
      </x:c>
      <x:c r="J387" t="str">
        <x:v>https://github.com/darknigthmare/deadwall-last-enclosure/blob/f0ef5a2036d4876ae8f4d4477676da968a032d01/docs/codex/suivi-monde2026/INSPECTION_PHYSIQUE_2026.md</x:v>
      </x:c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En cours</x:v>
      </x:c>
      <x:c r="H389" t="str">
        <x:v>Production Codex</x:v>
      </x:c>
      <x:c r="I389" t="str">
        <x:v>Livrable explicite, tests positifs et négatifs ; aucune validation déduite de la seule présence de la fiche.</x:v>
      </x:c>
      <x:c r="J389" t="str">
        <x:v>https://github.com/darknigthmare/deadwall-last-enclosure/blob/f0ef5a2036d4876ae8f4d4477676da968a032d01/docs/codex/suivi-monde2026/INSPECTION_PHYSIQUE_2026.md</x:v>
      </x:c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En cours</x:v>
      </x:c>
      <x:c r="H394" t="str">
        <x:v>Production Codex</x:v>
      </x:c>
      <x:c r="I394" t="str">
        <x:v>Livrable explicite, tests positifs et négatifs ; aucune validation déduite de la seule présence de la fiche.</x:v>
      </x:c>
      <x:c r="J394" t="str">
        <x:v>https://github.com/darknigthmare/deadwall-last-enclosure/blob/f0ef5a2036d4876ae8f4d4477676da968a032d01/docs/codex/suivi-monde2026/INSPECTION_PHYSIQUE_2026.md</x:v>
      </x:c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En cours</x:v>
      </x:c>
      <x:c r="H395" t="str">
        <x:v>Production Codex</x:v>
      </x:c>
      <x:c r="I395" t="str">
        <x:v>Livrable explicite, tests positifs et négatifs ; aucune validation déduite de la seule présence de la fiche.</x:v>
      </x:c>
      <x:c r="J395" t="str">
        <x:v>https://github.com/darknigthmare/deadwall-last-enclosure/blob/f0ef5a2036d4876ae8f4d4477676da968a032d01/docs/codex/suivi-monde2026/INSPECTION_PHYSIQUE_2026.md</x:v>
      </x:c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En cours</x:v>
      </x:c>
      <x:c r="H396" t="str">
        <x:v>Production Codex</x:v>
      </x:c>
      <x:c r="I396" t="str">
        <x:v>Sources publiques identifiées ; unités en mètres ; emprise au sol distincte de la hauteur.</x:v>
      </x:c>
      <x:c r="J396" t="str">
        <x:v>https://github.com/darknigthmare/deadwall-last-enclosure/blob/f0ef5a2036d4876ae8f4d4477676da968a032d01/docs/codex/suivi-monde2026/HLM_ASSAINISSEMENT_2026.md</x:v>
      </x:c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En cours</x:v>
      </x:c>
      <x:c r="H397" t="str">
        <x:v>Production Codex</x:v>
      </x:c>
      <x:c r="I397" t="str">
        <x:v>Livrable explicite, tests positifs et négatifs ; aucune validation déduite de la seule présence de la fiche.</x:v>
      </x:c>
      <x:c r="J397" t="str">
        <x:v>https://github.com/darknigthmare/deadwall-last-enclosure/blob/f0ef5a2036d4876ae8f4d4477676da968a032d01/docs/codex/suivi-monde2026/INSPECTION_PHYSIQUE_2026.md</x:v>
      </x:c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En cours</x:v>
      </x:c>
      <x:c r="H399" t="str">
        <x:v>Production Codex</x:v>
      </x:c>
      <x:c r="I399" t="str">
        <x:v>Livrable explicite, tests positifs et négatifs ; aucune validation déduite de la seule présence de la fiche.</x:v>
      </x:c>
      <x:c r="J399" t="str">
        <x:v>https://github.com/darknigthmare/deadwall-last-enclosure/blob/f0ef5a2036d4876ae8f4d4477676da968a032d01/docs/codex/suivi-monde2026/INSPECTION_PHYSIQUE_2026.md</x:v>
      </x:c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En cours</x:v>
      </x:c>
      <x:c r="H404" t="str">
        <x:v>Production Codex</x:v>
      </x:c>
      <x:c r="I404" t="str">
        <x:v>Livrable explicite, tests positifs et négatifs ; aucune validation déduite de la seule présence de la fiche.</x:v>
      </x:c>
      <x:c r="J404" t="str">
        <x:v>https://github.com/darknigthmare/deadwall-last-enclosure/blob/f0ef5a2036d4876ae8f4d4477676da968a032d01/docs/codex/suivi-monde2026/INSPECTION_PHYSIQUE_2026.md</x:v>
      </x:c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En cours</x:v>
      </x:c>
      <x:c r="H405" t="str">
        <x:v>Production Codex</x:v>
      </x:c>
      <x:c r="I405" t="str">
        <x:v>Livrable explicite, tests positifs et négatifs ; aucune validation déduite de la seule présence de la fiche.</x:v>
      </x:c>
      <x:c r="J405" t="str">
        <x:v>https://github.com/darknigthmare/deadwall-last-enclosure/blob/f0ef5a2036d4876ae8f4d4477676da968a032d01/docs/codex/suivi-monde2026/INSPECTION_PHYSIQUE_2026.md</x:v>
      </x:c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En cours</x:v>
      </x:c>
      <x:c r="H406" t="str">
        <x:v>Production Codex</x:v>
      </x:c>
      <x:c r="I406" t="str">
        <x:v>Sources publiques identifiées ; unités en mètres ; emprise au sol distincte de la hauteur.</x:v>
      </x:c>
      <x:c r="J406" t="str">
        <x:v>https://github.com/darknigthmare/deadwall-last-enclosure/blob/f0ef5a2036d4876ae8f4d4477676da968a032d01/docs/codex/suivi-monde2026/HLM_ASSAINISSEMENT_2026.md</x:v>
      </x:c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En cours</x:v>
      </x:c>
      <x:c r="H407" t="str">
        <x:v>Production Codex</x:v>
      </x:c>
      <x:c r="I407" t="str">
        <x:v>Livrable explicite, tests positifs et négatifs ; aucune validation déduite de la seule présence de la fiche.</x:v>
      </x:c>
      <x:c r="J407" t="str">
        <x:v>https://github.com/darknigthmare/deadwall-last-enclosure/blob/f0ef5a2036d4876ae8f4d4477676da968a032d01/docs/codex/suivi-monde2026/INSPECTION_PHYSIQUE_2026.md</x:v>
      </x:c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En cours</x:v>
      </x:c>
      <x:c r="H409" t="str">
        <x:v>Production Codex</x:v>
      </x:c>
      <x:c r="I409" t="str">
        <x:v>Livrable explicite, tests positifs et négatifs ; aucune validation déduite de la seule présence de la fiche.</x:v>
      </x:c>
      <x:c r="J409" t="str">
        <x:v>https://github.com/darknigthmare/deadwall-last-enclosure/blob/f0ef5a2036d4876ae8f4d4477676da968a032d01/docs/codex/suivi-monde2026/INSPECTION_PHYSIQUE_2026.md</x:v>
      </x:c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En cours</x:v>
      </x:c>
      <x:c r="H414" t="str">
        <x:v>Production Codex</x:v>
      </x:c>
      <x:c r="I414" t="str">
        <x:v>Livrable explicite, tests positifs et négatifs ; aucune validation déduite de la seule présence de la fiche.</x:v>
      </x:c>
      <x:c r="J414" t="str">
        <x:v>https://github.com/darknigthmare/deadwall-last-enclosure/blob/f0ef5a2036d4876ae8f4d4477676da968a032d01/docs/codex/suivi-monde2026/INSPECTION_PHYSIQUE_2026.md</x:v>
      </x:c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En cours</x:v>
      </x:c>
      <x:c r="H415" t="str">
        <x:v>Production Codex</x:v>
      </x:c>
      <x:c r="I415" t="str">
        <x:v>Livrable explicite, tests positifs et négatifs ; aucune validation déduite de la seule présence de la fiche.</x:v>
      </x:c>
      <x:c r="J415" t="str">
        <x:v>https://github.com/darknigthmare/deadwall-last-enclosure/blob/f0ef5a2036d4876ae8f4d4477676da968a032d01/docs/codex/suivi-monde2026/INSPECTION_PHYSIQUE_2026.md</x:v>
      </x:c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En cours</x:v>
      </x:c>
      <x:c r="H416" t="str">
        <x:v>Production Codex</x:v>
      </x:c>
      <x:c r="I416" t="str">
        <x:v>Sources publiques identifiées ; unités en mètres ; emprise au sol distincte de la hauteur.</x:v>
      </x:c>
      <x:c r="J416" t="str">
        <x:v>https://github.com/darknigthmare/deadwall-last-enclosure/blob/f0ef5a2036d4876ae8f4d4477676da968a032d01/docs/codex/suivi-monde2026/HLM_ASSAINISSEMENT_2026.md</x:v>
      </x:c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En cours</x:v>
      </x:c>
      <x:c r="H417" t="str">
        <x:v>Production Codex</x:v>
      </x:c>
      <x:c r="I417" t="str">
        <x:v>Livrable explicite, tests positifs et négatifs ; aucune validation déduite de la seule présence de la fiche.</x:v>
      </x:c>
      <x:c r="J417" t="str">
        <x:v>https://github.com/darknigthmare/deadwall-last-enclosure/blob/f0ef5a2036d4876ae8f4d4477676da968a032d01/docs/codex/suivi-monde2026/INSPECTION_PHYSIQUE_2026.md</x:v>
      </x:c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En cours</x:v>
      </x:c>
      <x:c r="H419" t="str">
        <x:v>Production Codex</x:v>
      </x:c>
      <x:c r="I419" t="str">
        <x:v>Livrable explicite, tests positifs et négatifs ; aucune validation déduite de la seule présence de la fiche.</x:v>
      </x:c>
      <x:c r="J419" t="str">
        <x:v>https://github.com/darknigthmare/deadwall-last-enclosure/blob/f0ef5a2036d4876ae8f4d4477676da968a032d01/docs/codex/suivi-monde2026/INSPECTION_PHYSIQUE_2026.md</x:v>
      </x:c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En cours</x:v>
      </x:c>
      <x:c r="H424" t="str">
        <x:v>Production Codex</x:v>
      </x:c>
      <x:c r="I424" t="str">
        <x:v>Livrable explicite, tests positifs et négatifs ; aucune validation déduite de la seule présence de la fiche.</x:v>
      </x:c>
      <x:c r="J424" t="str">
        <x:v>https://github.com/darknigthmare/deadwall-last-enclosure/blob/f0ef5a2036d4876ae8f4d4477676da968a032d01/docs/codex/suivi-monde2026/INSPECTION_PHYSIQUE_2026.md</x:v>
      </x:c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En cours</x:v>
      </x:c>
      <x:c r="H425" t="str">
        <x:v>Production Codex</x:v>
      </x:c>
      <x:c r="I425" t="str">
        <x:v>Livrable explicite, tests positifs et négatifs ; aucune validation déduite de la seule présence de la fiche.</x:v>
      </x:c>
      <x:c r="J425" t="str">
        <x:v>https://github.com/darknigthmare/deadwall-last-enclosure/blob/f0ef5a2036d4876ae8f4d4477676da968a032d01/docs/codex/suivi-monde2026/INSPECTION_PHYSIQUE_2026.md</x:v>
      </x:c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En cours</x:v>
      </x:c>
      <x:c r="H426" t="str">
        <x:v>Production Codex</x:v>
      </x:c>
      <x:c r="I426" t="str">
        <x:v>Sources publiques identifiées ; unités en mètres ; emprise au sol distincte de la hauteur.</x:v>
      </x:c>
      <x:c r="J426" t="str">
        <x:v>https://github.com/darknigthmare/deadwall-last-enclosure/blob/f0ef5a2036d4876ae8f4d4477676da968a032d01/docs/codex/suivi-monde2026/HLM_ASSAINISSEMENT_2026.md</x:v>
      </x:c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En cours</x:v>
      </x:c>
      <x:c r="H427" t="str">
        <x:v>Production Codex</x:v>
      </x:c>
      <x:c r="I427" t="str">
        <x:v>Livrable explicite, tests positifs et négatifs ; aucune validation déduite de la seule présence de la fiche.</x:v>
      </x:c>
      <x:c r="J427" t="str">
        <x:v>https://github.com/darknigthmare/deadwall-last-enclosure/blob/f0ef5a2036d4876ae8f4d4477676da968a032d01/docs/codex/suivi-monde2026/INSPECTION_PHYSIQUE_2026.md</x:v>
      </x:c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En cours</x:v>
      </x:c>
      <x:c r="H429" t="str">
        <x:v>Production Codex</x:v>
      </x:c>
      <x:c r="I429" t="str">
        <x:v>Livrable explicite, tests positifs et négatifs ; aucune validation déduite de la seule présence de la fiche.</x:v>
      </x:c>
      <x:c r="J429" t="str">
        <x:v>https://github.com/darknigthmare/deadwall-last-enclosure/blob/f0ef5a2036d4876ae8f4d4477676da968a032d01/docs/codex/suivi-monde2026/INSPECTION_PHYSIQUE_2026.md</x:v>
      </x:c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En cours</x:v>
      </x:c>
      <x:c r="H434" t="str">
        <x:v>Production Codex</x:v>
      </x:c>
      <x:c r="I434" t="str">
        <x:v>Livrable explicite, tests positifs et négatifs ; aucune validation déduite de la seule présence de la fiche.</x:v>
      </x:c>
      <x:c r="J434" t="str">
        <x:v>https://github.com/darknigthmare/deadwall-last-enclosure/blob/f0ef5a2036d4876ae8f4d4477676da968a032d01/docs/codex/suivi-monde2026/INSPECTION_PHYSIQUE_2026.md</x:v>
      </x:c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En cours</x:v>
      </x:c>
      <x:c r="H435" t="str">
        <x:v>Production Codex</x:v>
      </x:c>
      <x:c r="I435" t="str">
        <x:v>Livrable explicite, tests positifs et négatifs ; aucune validation déduite de la seule présence de la fiche.</x:v>
      </x:c>
      <x:c r="J435" t="str">
        <x:v>https://github.com/darknigthmare/deadwall-last-enclosure/blob/f0ef5a2036d4876ae8f4d4477676da968a032d01/docs/codex/suivi-monde2026/INSPECTION_PHYSIQUE_2026.md</x:v>
      </x:c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En cours</x:v>
      </x:c>
      <x:c r="H436" t="str">
        <x:v>Production Codex</x:v>
      </x:c>
      <x:c r="I436" t="str">
        <x:v>Sources publiques identifiées ; unités en mètres ; emprise au sol distincte de la hauteur.</x:v>
      </x:c>
      <x:c r="J436" t="str">
        <x:v>https://github.com/darknigthmare/deadwall-last-enclosure/blob/f0ef5a2036d4876ae8f4d4477676da968a032d01/docs/codex/suivi-monde2026/HLM_ASSAINISSEMENT_2026.md</x:v>
      </x:c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En cours</x:v>
      </x:c>
      <x:c r="H437" t="str">
        <x:v>Production Codex</x:v>
      </x:c>
      <x:c r="I437" t="str">
        <x:v>Livrable explicite, tests positifs et négatifs ; aucune validation déduite de la seule présence de la fiche.</x:v>
      </x:c>
      <x:c r="J437" t="str">
        <x:v>https://github.com/darknigthmare/deadwall-last-enclosure/blob/f0ef5a2036d4876ae8f4d4477676da968a032d01/docs/codex/suivi-monde2026/INSPECTION_PHYSIQUE_2026.md</x:v>
      </x:c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En cours</x:v>
      </x:c>
      <x:c r="H439" t="str">
        <x:v>Production Codex</x:v>
      </x:c>
      <x:c r="I439" t="str">
        <x:v>Livrable explicite, tests positifs et négatifs ; aucune validation déduite de la seule présence de la fiche.</x:v>
      </x:c>
      <x:c r="J439" t="str">
        <x:v>https://github.com/darknigthmare/deadwall-last-enclosure/blob/f0ef5a2036d4876ae8f4d4477676da968a032d01/docs/codex/suivi-monde2026/INSPECTION_PHYSIQUE_2026.md</x:v>
      </x:c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En cours</x:v>
      </x:c>
      <x:c r="H444" t="str">
        <x:v>Production Codex</x:v>
      </x:c>
      <x:c r="I444" t="str">
        <x:v>Livrable explicite, tests positifs et négatifs ; aucune validation déduite de la seule présence de la fiche.</x:v>
      </x:c>
      <x:c r="J444" t="str">
        <x:v>https://github.com/darknigthmare/deadwall-last-enclosure/blob/f0ef5a2036d4876ae8f4d4477676da968a032d01/docs/codex/suivi-monde2026/INSPECTION_PHYSIQUE_2026.md</x:v>
      </x:c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En cours</x:v>
      </x:c>
      <x:c r="H445" t="str">
        <x:v>Production Codex</x:v>
      </x:c>
      <x:c r="I445" t="str">
        <x:v>Livrable explicite, tests positifs et négatifs ; aucune validation déduite de la seule présence de la fiche.</x:v>
      </x:c>
      <x:c r="J445" t="str">
        <x:v>https://github.com/darknigthmare/deadwall-last-enclosure/blob/f0ef5a2036d4876ae8f4d4477676da968a032d01/docs/codex/suivi-monde2026/INSPECTION_PHYSIQUE_2026.md</x:v>
      </x:c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https://github.com/darknigthmare/deadwall-last-enclosure/blob/f0ef5a2036d4876ae8f4d4477676da968a032d01/docs/codex/suivi-monde2026/RESIDENTIEL_2026.md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https://github.com/darknigthmare/deadwall-last-enclosure/blob/f0ef5a2036d4876ae8f4d4477676da968a032d01/docs/codex/suivi-monde2026/INSPECTION_PHYSIQUE_2026.md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À faire</x:v>
      </x:c>
      <x:c r="H448" t="str">
        <x:v>Non affecté</x:v>
      </x:c>
      <x:c r="I448" t="str">
        <x:v>Accès individuel des lots ; distances et dégagements vérifiés ; réseau interne raccordé à une entrée réelle.</x:v>
      </x:c>
      <x:c r="J448" t="str"/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https://github.com/darknigthmare/deadwall-last-enclosure/blob/f0ef5a2036d4876ae8f4d4477676da968a032d01/docs/codex/suivi-monde2026/INSPECTION_PHYSIQUE_2026.md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À faire</x:v>
      </x:c>
      <x:c r="H450" t="str">
        <x:v>Non affecté</x:v>
      </x:c>
      <x:c r="I450" t="str">
        <x:v>Livrable explicite, tests positifs et négatifs ; aucune validation déduite de la seule présence de la fiche.</x:v>
      </x:c>
      <x:c r="J450" t="str"/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https://github.com/darknigthmare/deadwall-last-enclosure/blob/f0ef5a2036d4876ae8f4d4477676da968a032d01/docs/codex/suivi-monde2026/INSPECTION_PHYSIQUE_2026.md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https://github.com/darknigthmare/deadwall-last-enclosure/blob/f0ef5a2036d4876ae8f4d4477676da968a032d01/docs/codex/suivi-monde2026/INSPECTION_PHYSIQUE_2026.md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https://github.com/darknigthmare/deadwall-last-enclosure/blob/f0ef5a2036d4876ae8f4d4477676da968a032d01/docs/codex/suivi-monde2026/RESIDENTIEL_2026.md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https://github.com/darknigthmare/deadwall-last-enclosure/blob/f0ef5a2036d4876ae8f4d4477676da968a032d01/docs/codex/suivi-monde2026/INSPECTION_PHYSIQUE_2026.md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À faire</x:v>
      </x:c>
      <x:c r="H458" t="str">
        <x:v>Non affecté</x:v>
      </x:c>
      <x:c r="I458" t="str">
        <x:v>Accès individuel des lots ; distances et dégagements vérifiés ; réseau interne raccordé à une entrée réelle.</x:v>
      </x:c>
      <x:c r="J458" t="str"/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https://github.com/darknigthmare/deadwall-last-enclosure/blob/f0ef5a2036d4876ae8f4d4477676da968a032d01/docs/codex/suivi-monde2026/INSPECTION_PHYSIQUE_2026.md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À faire</x:v>
      </x:c>
      <x:c r="H460" t="str">
        <x:v>Non affecté</x:v>
      </x:c>
      <x:c r="I460" t="str">
        <x:v>Livrable explicite, tests positifs et négatifs ; aucune validation déduite de la seule présence de la fiche.</x:v>
      </x:c>
      <x:c r="J460" t="str"/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https://github.com/darknigthmare/deadwall-last-enclosure/blob/f0ef5a2036d4876ae8f4d4477676da968a032d01/docs/codex/suivi-monde2026/INSPECTION_PHYSIQUE_2026.md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https://github.com/darknigthmare/deadwall-last-enclosure/blob/f0ef5a2036d4876ae8f4d4477676da968a032d01/docs/codex/suivi-monde2026/INSPECTION_PHYSIQUE_2026.md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https://github.com/darknigthmare/deadwall-last-enclosure/blob/f0ef5a2036d4876ae8f4d4477676da968a032d01/docs/codex/suivi-monde2026/RESIDENTIEL_2026.md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https://github.com/darknigthmare/deadwall-last-enclosure/blob/f0ef5a2036d4876ae8f4d4477676da968a032d01/docs/codex/suivi-monde2026/INSPECTION_PHYSIQUE_2026.md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À faire</x:v>
      </x:c>
      <x:c r="H468" t="str">
        <x:v>Non affecté</x:v>
      </x:c>
      <x:c r="I468" t="str">
        <x:v>Accès individuel des lots ; distances et dégagements vérifiés ; réseau interne raccordé à une entrée réelle.</x:v>
      </x:c>
      <x:c r="J468" t="str"/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https://github.com/darknigthmare/deadwall-last-enclosure/blob/f0ef5a2036d4876ae8f4d4477676da968a032d01/docs/codex/suivi-monde2026/INSPECTION_PHYSIQUE_2026.md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À faire</x:v>
      </x:c>
      <x:c r="H470" t="str">
        <x:v>Non affecté</x:v>
      </x:c>
      <x:c r="I470" t="str">
        <x:v>Livrable explicite, tests positifs et négatifs ; aucune validation déduite de la seule présence de la fiche.</x:v>
      </x:c>
      <x:c r="J470" t="str"/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https://github.com/darknigthmare/deadwall-last-enclosure/blob/f0ef5a2036d4876ae8f4d4477676da968a032d01/docs/codex/suivi-monde2026/INSPECTION_PHYSIQUE_2026.md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https://github.com/darknigthmare/deadwall-last-enclosure/blob/f0ef5a2036d4876ae8f4d4477676da968a032d01/docs/codex/suivi-monde2026/INSPECTION_PHYSIQUE_2026.md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https://github.com/darknigthmare/deadwall-last-enclosure/blob/f0ef5a2036d4876ae8f4d4477676da968a032d01/docs/codex/suivi-monde2026/RESIDENTIEL_2026.md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https://github.com/darknigthmare/deadwall-last-enclosure/blob/f0ef5a2036d4876ae8f4d4477676da968a032d01/docs/codex/suivi-monde2026/INSPECTION_PHYSIQUE_2026.md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À faire</x:v>
      </x:c>
      <x:c r="H478" t="str">
        <x:v>Non affecté</x:v>
      </x:c>
      <x:c r="I478" t="str">
        <x:v>Accès individuel des lots ; distances et dégagements vérifiés ; réseau interne raccordé à une entrée réelle.</x:v>
      </x:c>
      <x:c r="J478" t="str"/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https://github.com/darknigthmare/deadwall-last-enclosure/blob/f0ef5a2036d4876ae8f4d4477676da968a032d01/docs/codex/suivi-monde2026/INSPECTION_PHYSIQUE_2026.md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À faire</x:v>
      </x:c>
      <x:c r="H480" t="str">
        <x:v>Non affecté</x:v>
      </x:c>
      <x:c r="I480" t="str">
        <x:v>Livrable explicite, tests positifs et négatifs ; aucune validation déduite de la seule présence de la fiche.</x:v>
      </x:c>
      <x:c r="J480" t="str"/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https://github.com/darknigthmare/deadwall-last-enclosure/blob/f0ef5a2036d4876ae8f4d4477676da968a032d01/docs/codex/suivi-monde2026/INSPECTION_PHYSIQUE_2026.md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https://github.com/darknigthmare/deadwall-last-enclosure/blob/f0ef5a2036d4876ae8f4d4477676da968a032d01/docs/codex/suivi-monde2026/INSPECTION_PHYSIQUE_2026.md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En cours</x:v>
      </x:c>
      <x:c r="H486" t="str">
        <x:v>Production Codex</x:v>
      </x:c>
      <x:c r="I486" t="str">
        <x:v>Sources publiques identifiées ; unités en mètres ; emprise au sol distincte de la hauteur.</x:v>
      </x:c>
      <x:c r="J486" t="str">
        <x:v>https://github.com/darknigthmare/deadwall-last-enclosure/blob/f0ef5a2036d4876ae8f4d4477676da968a032d01/docs/codex/suivi-monde2026/PARCS_SPORTS_2026.md</x:v>
      </x:c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En cours</x:v>
      </x:c>
      <x:c r="H487" t="str">
        <x:v>Production Codex</x:v>
      </x:c>
      <x:c r="I487" t="str">
        <x:v>Livrable explicite, tests positifs et négatifs ; aucune validation déduite de la seule présence de la fiche.</x:v>
      </x:c>
      <x:c r="J487" t="str">
        <x:v>https://github.com/darknigthmare/deadwall-last-enclosure/blob/f0ef5a2036d4876ae8f4d4477676da968a032d01/docs/codex/suivi-monde2026/INSPECTION_PHYSIQUE_2026.md</x:v>
      </x:c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En cours</x:v>
      </x:c>
      <x:c r="H489" t="str">
        <x:v>Production Codex</x:v>
      </x:c>
      <x:c r="I489" t="str">
        <x:v>Livrable explicite, tests positifs et négatifs ; aucune validation déduite de la seule présence de la fiche.</x:v>
      </x:c>
      <x:c r="J489" t="str">
        <x:v>https://github.com/darknigthmare/deadwall-last-enclosure/blob/f0ef5a2036d4876ae8f4d4477676da968a032d01/docs/codex/suivi-monde2026/INSPECTION_PHYSIQUE_2026.md</x:v>
      </x:c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En cours</x:v>
      </x:c>
      <x:c r="H494" t="str">
        <x:v>Production Codex</x:v>
      </x:c>
      <x:c r="I494" t="str">
        <x:v>Livrable explicite, tests positifs et négatifs ; aucune validation déduite de la seule présence de la fiche.</x:v>
      </x:c>
      <x:c r="J494" t="str">
        <x:v>https://github.com/darknigthmare/deadwall-last-enclosure/blob/f0ef5a2036d4876ae8f4d4477676da968a032d01/docs/codex/suivi-monde2026/INSPECTION_PHYSIQUE_2026.md</x:v>
      </x:c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En cours</x:v>
      </x:c>
      <x:c r="H495" t="str">
        <x:v>Production Codex</x:v>
      </x:c>
      <x:c r="I495" t="str">
        <x:v>Livrable explicite, tests positifs et négatifs ; aucune validation déduite de la seule présence de la fiche.</x:v>
      </x:c>
      <x:c r="J495" t="str">
        <x:v>https://github.com/darknigthmare/deadwall-last-enclosure/blob/f0ef5a2036d4876ae8f4d4477676da968a032d01/docs/codex/suivi-monde2026/INSPECTION_PHYSIQUE_2026.md</x:v>
      </x:c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En cours</x:v>
      </x:c>
      <x:c r="H496" t="str">
        <x:v>Production Codex</x:v>
      </x:c>
      <x:c r="I496" t="str">
        <x:v>Sources publiques identifiées ; unités en mètres ; emprise au sol distincte de la hauteur.</x:v>
      </x:c>
      <x:c r="J496" t="str">
        <x:v>https://github.com/darknigthmare/deadwall-last-enclosure/blob/f0ef5a2036d4876ae8f4d4477676da968a032d01/docs/codex/suivi-monde2026/PARCS_SPORTS_2026.md</x:v>
      </x:c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En cours</x:v>
      </x:c>
      <x:c r="H497" t="str">
        <x:v>Production Codex</x:v>
      </x:c>
      <x:c r="I497" t="str">
        <x:v>Livrable explicite, tests positifs et négatifs ; aucune validation déduite de la seule présence de la fiche.</x:v>
      </x:c>
      <x:c r="J497" t="str">
        <x:v>https://github.com/darknigthmare/deadwall-last-enclosure/blob/f0ef5a2036d4876ae8f4d4477676da968a032d01/docs/codex/suivi-monde2026/INSPECTION_PHYSIQUE_2026.md</x:v>
      </x:c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En cours</x:v>
      </x:c>
      <x:c r="H499" t="str">
        <x:v>Production Codex</x:v>
      </x:c>
      <x:c r="I499" t="str">
        <x:v>Livrable explicite, tests positifs et négatifs ; aucune validation déduite de la seule présence de la fiche.</x:v>
      </x:c>
      <x:c r="J499" t="str">
        <x:v>https://github.com/darknigthmare/deadwall-last-enclosure/blob/f0ef5a2036d4876ae8f4d4477676da968a032d01/docs/codex/suivi-monde2026/INSPECTION_PHYSIQUE_2026.md</x:v>
      </x:c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En cours</x:v>
      </x:c>
      <x:c r="H504" t="str">
        <x:v>Production Codex</x:v>
      </x:c>
      <x:c r="I504" t="str">
        <x:v>Livrable explicite, tests positifs et négatifs ; aucune validation déduite de la seule présence de la fiche.</x:v>
      </x:c>
      <x:c r="J504" t="str">
        <x:v>https://github.com/darknigthmare/deadwall-last-enclosure/blob/f0ef5a2036d4876ae8f4d4477676da968a032d01/docs/codex/suivi-monde2026/INSPECTION_PHYSIQUE_2026.md</x:v>
      </x:c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En cours</x:v>
      </x:c>
      <x:c r="H505" t="str">
        <x:v>Production Codex</x:v>
      </x:c>
      <x:c r="I505" t="str">
        <x:v>Livrable explicite, tests positifs et négatifs ; aucune validation déduite de la seule présence de la fiche.</x:v>
      </x:c>
      <x:c r="J505" t="str">
        <x:v>https://github.com/darknigthmare/deadwall-last-enclosure/blob/f0ef5a2036d4876ae8f4d4477676da968a032d01/docs/codex/suivi-monde2026/INSPECTION_PHYSIQUE_2026.md</x:v>
      </x:c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En cours</x:v>
      </x:c>
      <x:c r="H506" t="str">
        <x:v>Production Codex</x:v>
      </x:c>
      <x:c r="I506" t="str">
        <x:v>Sources publiques identifiées ; unités en mètres ; emprise au sol distincte de la hauteur.</x:v>
      </x:c>
      <x:c r="J506" t="str">
        <x:v>https://github.com/darknigthmare/deadwall-last-enclosure/blob/f0ef5a2036d4876ae8f4d4477676da968a032d01/docs/codex/suivi-monde2026/PARCS_SPORTS_2026.md</x:v>
      </x:c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En cours</x:v>
      </x:c>
      <x:c r="H507" t="str">
        <x:v>Production Codex</x:v>
      </x:c>
      <x:c r="I507" t="str">
        <x:v>Livrable explicite, tests positifs et négatifs ; aucune validation déduite de la seule présence de la fiche.</x:v>
      </x:c>
      <x:c r="J507" t="str">
        <x:v>https://github.com/darknigthmare/deadwall-last-enclosure/blob/f0ef5a2036d4876ae8f4d4477676da968a032d01/docs/codex/suivi-monde2026/INSPECTION_PHYSIQUE_2026.md</x:v>
      </x:c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En cours</x:v>
      </x:c>
      <x:c r="H509" t="str">
        <x:v>Production Codex</x:v>
      </x:c>
      <x:c r="I509" t="str">
        <x:v>Livrable explicite, tests positifs et négatifs ; aucune validation déduite de la seule présence de la fiche.</x:v>
      </x:c>
      <x:c r="J509" t="str">
        <x:v>https://github.com/darknigthmare/deadwall-last-enclosure/blob/f0ef5a2036d4876ae8f4d4477676da968a032d01/docs/codex/suivi-monde2026/INSPECTION_PHYSIQUE_2026.md</x:v>
      </x:c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En cours</x:v>
      </x:c>
      <x:c r="H514" t="str">
        <x:v>Production Codex</x:v>
      </x:c>
      <x:c r="I514" t="str">
        <x:v>Livrable explicite, tests positifs et négatifs ; aucune validation déduite de la seule présence de la fiche.</x:v>
      </x:c>
      <x:c r="J514" t="str">
        <x:v>https://github.com/darknigthmare/deadwall-last-enclosure/blob/f0ef5a2036d4876ae8f4d4477676da968a032d01/docs/codex/suivi-monde2026/INSPECTION_PHYSIQUE_2026.md</x:v>
      </x:c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En cours</x:v>
      </x:c>
      <x:c r="H515" t="str">
        <x:v>Production Codex</x:v>
      </x:c>
      <x:c r="I515" t="str">
        <x:v>Livrable explicite, tests positifs et négatifs ; aucune validation déduite de la seule présence de la fiche.</x:v>
      </x:c>
      <x:c r="J515" t="str">
        <x:v>https://github.com/darknigthmare/deadwall-last-enclosure/blob/f0ef5a2036d4876ae8f4d4477676da968a032d01/docs/codex/suivi-monde2026/INSPECTION_PHYSIQUE_2026.md</x:v>
      </x:c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En cours</x:v>
      </x:c>
      <x:c r="H516" t="str">
        <x:v>Production Codex</x:v>
      </x:c>
      <x:c r="I516" t="str">
        <x:v>Sources publiques identifiées ; unités en mètres ; emprise au sol distincte de la hauteur.</x:v>
      </x:c>
      <x:c r="J516" t="str">
        <x:v>https://github.com/darknigthmare/deadwall-last-enclosure/blob/f0ef5a2036d4876ae8f4d4477676da968a032d01/docs/codex/suivi-monde2026/PARCS_SPORTS_2026.md</x:v>
      </x:c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En cours</x:v>
      </x:c>
      <x:c r="H517" t="str">
        <x:v>Production Codex</x:v>
      </x:c>
      <x:c r="I517" t="str">
        <x:v>Livrable explicite, tests positifs et négatifs ; aucune validation déduite de la seule présence de la fiche.</x:v>
      </x:c>
      <x:c r="J517" t="str">
        <x:v>https://github.com/darknigthmare/deadwall-last-enclosure/blob/f0ef5a2036d4876ae8f4d4477676da968a032d01/docs/codex/suivi-monde2026/INSPECTION_PHYSIQUE_2026.md</x:v>
      </x:c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En cours</x:v>
      </x:c>
      <x:c r="H519" t="str">
        <x:v>Production Codex</x:v>
      </x:c>
      <x:c r="I519" t="str">
        <x:v>Livrable explicite, tests positifs et négatifs ; aucune validation déduite de la seule présence de la fiche.</x:v>
      </x:c>
      <x:c r="J519" t="str">
        <x:v>https://github.com/darknigthmare/deadwall-last-enclosure/blob/f0ef5a2036d4876ae8f4d4477676da968a032d01/docs/codex/suivi-monde2026/INSPECTION_PHYSIQUE_2026.md</x:v>
      </x:c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En cours</x:v>
      </x:c>
      <x:c r="H524" t="str">
        <x:v>Production Codex</x:v>
      </x:c>
      <x:c r="I524" t="str">
        <x:v>Livrable explicite, tests positifs et négatifs ; aucune validation déduite de la seule présence de la fiche.</x:v>
      </x:c>
      <x:c r="J524" t="str">
        <x:v>https://github.com/darknigthmare/deadwall-last-enclosure/blob/f0ef5a2036d4876ae8f4d4477676da968a032d01/docs/codex/suivi-monde2026/INSPECTION_PHYSIQUE_2026.md</x:v>
      </x:c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En cours</x:v>
      </x:c>
      <x:c r="H525" t="str">
        <x:v>Production Codex</x:v>
      </x:c>
      <x:c r="I525" t="str">
        <x:v>Livrable explicite, tests positifs et négatifs ; aucune validation déduite de la seule présence de la fiche.</x:v>
      </x:c>
      <x:c r="J525" t="str">
        <x:v>https://github.com/darknigthmare/deadwall-last-enclosure/blob/f0ef5a2036d4876ae8f4d4477676da968a032d01/docs/codex/suivi-monde2026/INSPECTION_PHYSIQUE_2026.md</x:v>
      </x:c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En cours</x:v>
      </x:c>
      <x:c r="H526" t="str">
        <x:v>Production Codex</x:v>
      </x:c>
      <x:c r="I526" t="str">
        <x:v>Sources publiques identifiées ; unités en mètres ; emprise au sol distincte de la hauteur.</x:v>
      </x:c>
      <x:c r="J526" t="str">
        <x:v>https://github.com/darknigthmare/deadwall-last-enclosure/blob/f0ef5a2036d4876ae8f4d4477676da968a032d01/docs/codex/suivi-monde2026/INDUSTRIE_2026.md</x:v>
      </x:c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En cours</x:v>
      </x:c>
      <x:c r="H527" t="str">
        <x:v>Production Codex</x:v>
      </x:c>
      <x:c r="I527" t="str">
        <x:v>Livrable explicite, tests positifs et négatifs ; aucune validation déduite de la seule présence de la fiche.</x:v>
      </x:c>
      <x:c r="J527" t="str">
        <x:v>https://github.com/darknigthmare/deadwall-last-enclosure/blob/f0ef5a2036d4876ae8f4d4477676da968a032d01/docs/codex/suivi-monde2026/INSPECTION_PHYSIQUE_2026.md</x:v>
      </x:c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En cours</x:v>
      </x:c>
      <x:c r="H529" t="str">
        <x:v>Production Codex</x:v>
      </x:c>
      <x:c r="I529" t="str">
        <x:v>Livrable explicite, tests positifs et négatifs ; aucune validation déduite de la seule présence de la fiche.</x:v>
      </x:c>
      <x:c r="J529" t="str">
        <x:v>https://github.com/darknigthmare/deadwall-last-enclosure/blob/f0ef5a2036d4876ae8f4d4477676da968a032d01/docs/codex/suivi-monde2026/INSPECTION_PHYSIQUE_2026.md</x:v>
      </x:c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En cours</x:v>
      </x:c>
      <x:c r="H534" t="str">
        <x:v>Production Codex</x:v>
      </x:c>
      <x:c r="I534" t="str">
        <x:v>Livrable explicite, tests positifs et négatifs ; aucune validation déduite de la seule présence de la fiche.</x:v>
      </x:c>
      <x:c r="J534" t="str">
        <x:v>https://github.com/darknigthmare/deadwall-last-enclosure/blob/f0ef5a2036d4876ae8f4d4477676da968a032d01/docs/codex/suivi-monde2026/INSPECTION_PHYSIQUE_2026.md</x:v>
      </x:c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En cours</x:v>
      </x:c>
      <x:c r="H535" t="str">
        <x:v>Production Codex</x:v>
      </x:c>
      <x:c r="I535" t="str">
        <x:v>Livrable explicite, tests positifs et négatifs ; aucune validation déduite de la seule présence de la fiche.</x:v>
      </x:c>
      <x:c r="J535" t="str">
        <x:v>https://github.com/darknigthmare/deadwall-last-enclosure/blob/f0ef5a2036d4876ae8f4d4477676da968a032d01/docs/codex/suivi-monde2026/INSPECTION_PHYSIQUE_2026.md</x:v>
      </x:c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En cours</x:v>
      </x:c>
      <x:c r="H536" t="str">
        <x:v>Production Codex</x:v>
      </x:c>
      <x:c r="I536" t="str">
        <x:v>Sources publiques identifiées ; unités en mètres ; emprise au sol distincte de la hauteur.</x:v>
      </x:c>
      <x:c r="J536" t="str">
        <x:v>https://github.com/darknigthmare/deadwall-last-enclosure/blob/f0ef5a2036d4876ae8f4d4477676da968a032d01/docs/codex/suivi-monde2026/INDUSTRIE_2026.md</x:v>
      </x:c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En cours</x:v>
      </x:c>
      <x:c r="H537" t="str">
        <x:v>Production Codex</x:v>
      </x:c>
      <x:c r="I537" t="str">
        <x:v>Livrable explicite, tests positifs et négatifs ; aucune validation déduite de la seule présence de la fiche.</x:v>
      </x:c>
      <x:c r="J537" t="str">
        <x:v>https://github.com/darknigthmare/deadwall-last-enclosure/blob/f0ef5a2036d4876ae8f4d4477676da968a032d01/docs/codex/suivi-monde2026/INSPECTION_PHYSIQUE_2026.md</x:v>
      </x:c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En cours</x:v>
      </x:c>
      <x:c r="H539" t="str">
        <x:v>Production Codex</x:v>
      </x:c>
      <x:c r="I539" t="str">
        <x:v>Livrable explicite, tests positifs et négatifs ; aucune validation déduite de la seule présence de la fiche.</x:v>
      </x:c>
      <x:c r="J539" t="str">
        <x:v>https://github.com/darknigthmare/deadwall-last-enclosure/blob/f0ef5a2036d4876ae8f4d4477676da968a032d01/docs/codex/suivi-monde2026/INSPECTION_PHYSIQUE_2026.md</x:v>
      </x:c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En cours</x:v>
      </x:c>
      <x:c r="H544" t="str">
        <x:v>Production Codex</x:v>
      </x:c>
      <x:c r="I544" t="str">
        <x:v>Livrable explicite, tests positifs et négatifs ; aucune validation déduite de la seule présence de la fiche.</x:v>
      </x:c>
      <x:c r="J544" t="str">
        <x:v>https://github.com/darknigthmare/deadwall-last-enclosure/blob/f0ef5a2036d4876ae8f4d4477676da968a032d01/docs/codex/suivi-monde2026/INSPECTION_PHYSIQUE_2026.md</x:v>
      </x:c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En cours</x:v>
      </x:c>
      <x:c r="H545" t="str">
        <x:v>Production Codex</x:v>
      </x:c>
      <x:c r="I545" t="str">
        <x:v>Livrable explicite, tests positifs et négatifs ; aucune validation déduite de la seule présence de la fiche.</x:v>
      </x:c>
      <x:c r="J545" t="str">
        <x:v>https://github.com/darknigthmare/deadwall-last-enclosure/blob/f0ef5a2036d4876ae8f4d4477676da968a032d01/docs/codex/suivi-monde2026/INSPECTION_PHYSIQUE_2026.md</x:v>
      </x:c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En cours</x:v>
      </x:c>
      <x:c r="H546" t="str">
        <x:v>Production Codex</x:v>
      </x:c>
      <x:c r="I546" t="str">
        <x:v>Sources publiques identifiées ; unités en mètres ; emprise au sol distincte de la hauteur.</x:v>
      </x:c>
      <x:c r="J546" t="str">
        <x:v>https://github.com/darknigthmare/deadwall-last-enclosure/blob/f0ef5a2036d4876ae8f4d4477676da968a032d01/docs/codex/suivi-monde2026/INDUSTRIE_2026.md</x:v>
      </x:c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En cours</x:v>
      </x:c>
      <x:c r="H547" t="str">
        <x:v>Production Codex</x:v>
      </x:c>
      <x:c r="I547" t="str">
        <x:v>Livrable explicite, tests positifs et négatifs ; aucune validation déduite de la seule présence de la fiche.</x:v>
      </x:c>
      <x:c r="J547" t="str">
        <x:v>https://github.com/darknigthmare/deadwall-last-enclosure/blob/f0ef5a2036d4876ae8f4d4477676da968a032d01/docs/codex/suivi-monde2026/INSPECTION_PHYSIQUE_2026.md</x:v>
      </x:c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En cours</x:v>
      </x:c>
      <x:c r="H549" t="str">
        <x:v>Production Codex</x:v>
      </x:c>
      <x:c r="I549" t="str">
        <x:v>Livrable explicite, tests positifs et négatifs ; aucune validation déduite de la seule présence de la fiche.</x:v>
      </x:c>
      <x:c r="J549" t="str">
        <x:v>https://github.com/darknigthmare/deadwall-last-enclosure/blob/f0ef5a2036d4876ae8f4d4477676da968a032d01/docs/codex/suivi-monde2026/INSPECTION_PHYSIQUE_2026.md</x:v>
      </x:c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En cours</x:v>
      </x:c>
      <x:c r="H554" t="str">
        <x:v>Production Codex</x:v>
      </x:c>
      <x:c r="I554" t="str">
        <x:v>Livrable explicite, tests positifs et négatifs ; aucune validation déduite de la seule présence de la fiche.</x:v>
      </x:c>
      <x:c r="J554" t="str">
        <x:v>https://github.com/darknigthmare/deadwall-last-enclosure/blob/f0ef5a2036d4876ae8f4d4477676da968a032d01/docs/codex/suivi-monde2026/INSPECTION_PHYSIQUE_2026.md</x:v>
      </x:c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En cours</x:v>
      </x:c>
      <x:c r="H555" t="str">
        <x:v>Production Codex</x:v>
      </x:c>
      <x:c r="I555" t="str">
        <x:v>Livrable explicite, tests positifs et négatifs ; aucune validation déduite de la seule présence de la fiche.</x:v>
      </x:c>
      <x:c r="J555" t="str">
        <x:v>https://github.com/darknigthmare/deadwall-last-enclosure/blob/f0ef5a2036d4876ae8f4d4477676da968a032d01/docs/codex/suivi-monde2026/INSPECTION_PHYSIQUE_2026.md</x:v>
      </x:c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En cours</x:v>
      </x:c>
      <x:c r="H556" t="str">
        <x:v>Production Codex</x:v>
      </x:c>
      <x:c r="I556" t="str">
        <x:v>Sources publiques identifiées ; unités en mètres ; emprise au sol distincte de la hauteur.</x:v>
      </x:c>
      <x:c r="J556" t="str">
        <x:v>https://github.com/darknigthmare/deadwall-last-enclosure/blob/f0ef5a2036d4876ae8f4d4477676da968a032d01/docs/codex/suivi-monde2026/INDUSTRIE_2026.md</x:v>
      </x:c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En cours</x:v>
      </x:c>
      <x:c r="H557" t="str">
        <x:v>Production Codex</x:v>
      </x:c>
      <x:c r="I557" t="str">
        <x:v>Livrable explicite, tests positifs et négatifs ; aucune validation déduite de la seule présence de la fiche.</x:v>
      </x:c>
      <x:c r="J557" t="str">
        <x:v>https://github.com/darknigthmare/deadwall-last-enclosure/blob/f0ef5a2036d4876ae8f4d4477676da968a032d01/docs/codex/suivi-monde2026/INSPECTION_PHYSIQUE_2026.md</x:v>
      </x:c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En cours</x:v>
      </x:c>
      <x:c r="H559" t="str">
        <x:v>Production Codex</x:v>
      </x:c>
      <x:c r="I559" t="str">
        <x:v>Livrable explicite, tests positifs et négatifs ; aucune validation déduite de la seule présence de la fiche.</x:v>
      </x:c>
      <x:c r="J559" t="str">
        <x:v>https://github.com/darknigthmare/deadwall-last-enclosure/blob/f0ef5a2036d4876ae8f4d4477676da968a032d01/docs/codex/suivi-monde2026/INSPECTION_PHYSIQUE_2026.md</x:v>
      </x:c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En cours</x:v>
      </x:c>
      <x:c r="H564" t="str">
        <x:v>Production Codex</x:v>
      </x:c>
      <x:c r="I564" t="str">
        <x:v>Livrable explicite, tests positifs et négatifs ; aucune validation déduite de la seule présence de la fiche.</x:v>
      </x:c>
      <x:c r="J564" t="str">
        <x:v>https://github.com/darknigthmare/deadwall-last-enclosure/blob/f0ef5a2036d4876ae8f4d4477676da968a032d01/docs/codex/suivi-monde2026/INSPECTION_PHYSIQUE_2026.md</x:v>
      </x:c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En cours</x:v>
      </x:c>
      <x:c r="H565" t="str">
        <x:v>Production Codex</x:v>
      </x:c>
      <x:c r="I565" t="str">
        <x:v>Livrable explicite, tests positifs et négatifs ; aucune validation déduite de la seule présence de la fiche.</x:v>
      </x:c>
      <x:c r="J565" t="str">
        <x:v>https://github.com/darknigthmare/deadwall-last-enclosure/blob/f0ef5a2036d4876ae8f4d4477676da968a032d01/docs/codex/suivi-monde2026/INSPECTION_PHYSIQUE_2026.md</x:v>
      </x:c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En cours</x:v>
      </x:c>
      <x:c r="H566" t="str">
        <x:v>Production Codex</x:v>
      </x:c>
      <x:c r="I566" t="str">
        <x:v>Sources publiques identifiées ; unités en mètres ; emprise au sol distincte de la hauteur.</x:v>
      </x:c>
      <x:c r="J566" t="str">
        <x:v>https://github.com/darknigthmare/deadwall-last-enclosure/blob/f0ef5a2036d4876ae8f4d4477676da968a032d01/docs/codex/suivi-monde2026/EAU_ENERGIE_2026.md</x:v>
      </x:c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En cours</x:v>
      </x:c>
      <x:c r="H567" t="str">
        <x:v>Production Codex</x:v>
      </x:c>
      <x:c r="I567" t="str">
        <x:v>Livrable explicite, tests positifs et négatifs ; aucune validation déduite de la seule présence de la fiche.</x:v>
      </x:c>
      <x:c r="J567" t="str">
        <x:v>https://github.com/darknigthmare/deadwall-last-enclosure/blob/f0ef5a2036d4876ae8f4d4477676da968a032d01/docs/codex/suivi-monde2026/INSPECTION_PHYSIQUE_2026.md</x:v>
      </x:c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En cours</x:v>
      </x:c>
      <x:c r="H569" t="str">
        <x:v>Production Codex</x:v>
      </x:c>
      <x:c r="I569" t="str">
        <x:v>Livrable explicite, tests positifs et négatifs ; aucune validation déduite de la seule présence de la fiche.</x:v>
      </x:c>
      <x:c r="J569" t="str">
        <x:v>https://github.com/darknigthmare/deadwall-last-enclosure/blob/f0ef5a2036d4876ae8f4d4477676da968a032d01/docs/codex/suivi-monde2026/INSPECTION_PHYSIQUE_2026.md</x:v>
      </x:c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En cours</x:v>
      </x:c>
      <x:c r="H574" t="str">
        <x:v>Production Codex</x:v>
      </x:c>
      <x:c r="I574" t="str">
        <x:v>Livrable explicite, tests positifs et négatifs ; aucune validation déduite de la seule présence de la fiche.</x:v>
      </x:c>
      <x:c r="J574" t="str">
        <x:v>https://github.com/darknigthmare/deadwall-last-enclosure/blob/f0ef5a2036d4876ae8f4d4477676da968a032d01/docs/codex/suivi-monde2026/INSPECTION_PHYSIQUE_2026.md</x:v>
      </x:c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En cours</x:v>
      </x:c>
      <x:c r="H575" t="str">
        <x:v>Production Codex</x:v>
      </x:c>
      <x:c r="I575" t="str">
        <x:v>Livrable explicite, tests positifs et négatifs ; aucune validation déduite de la seule présence de la fiche.</x:v>
      </x:c>
      <x:c r="J575" t="str">
        <x:v>https://github.com/darknigthmare/deadwall-last-enclosure/blob/f0ef5a2036d4876ae8f4d4477676da968a032d01/docs/codex/suivi-monde2026/INSPECTION_PHYSIQUE_2026.md</x:v>
      </x:c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En cours</x:v>
      </x:c>
      <x:c r="H576" t="str">
        <x:v>Production Codex</x:v>
      </x:c>
      <x:c r="I576" t="str">
        <x:v>Sources publiques identifiées ; unités en mètres ; emprise au sol distincte de la hauteur.</x:v>
      </x:c>
      <x:c r="J576" t="str">
        <x:v>https://github.com/darknigthmare/deadwall-last-enclosure/blob/f0ef5a2036d4876ae8f4d4477676da968a032d01/docs/codex/suivi-monde2026/EAU_ENERGIE_2026.md</x:v>
      </x:c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En cours</x:v>
      </x:c>
      <x:c r="H577" t="str">
        <x:v>Production Codex</x:v>
      </x:c>
      <x:c r="I577" t="str">
        <x:v>Livrable explicite, tests positifs et négatifs ; aucune validation déduite de la seule présence de la fiche.</x:v>
      </x:c>
      <x:c r="J577" t="str">
        <x:v>https://github.com/darknigthmare/deadwall-last-enclosure/blob/f0ef5a2036d4876ae8f4d4477676da968a032d01/docs/codex/suivi-monde2026/INSPECTION_PHYSIQUE_2026.md</x:v>
      </x:c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En cours</x:v>
      </x:c>
      <x:c r="H579" t="str">
        <x:v>Production Codex</x:v>
      </x:c>
      <x:c r="I579" t="str">
        <x:v>Livrable explicite, tests positifs et négatifs ; aucune validation déduite de la seule présence de la fiche.</x:v>
      </x:c>
      <x:c r="J579" t="str">
        <x:v>https://github.com/darknigthmare/deadwall-last-enclosure/blob/f0ef5a2036d4876ae8f4d4477676da968a032d01/docs/codex/suivi-monde2026/INSPECTION_PHYSIQUE_2026.md</x:v>
      </x:c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En cours</x:v>
      </x:c>
      <x:c r="H584" t="str">
        <x:v>Production Codex</x:v>
      </x:c>
      <x:c r="I584" t="str">
        <x:v>Livrable explicite, tests positifs et négatifs ; aucune validation déduite de la seule présence de la fiche.</x:v>
      </x:c>
      <x:c r="J584" t="str">
        <x:v>https://github.com/darknigthmare/deadwall-last-enclosure/blob/f0ef5a2036d4876ae8f4d4477676da968a032d01/docs/codex/suivi-monde2026/INSPECTION_PHYSIQUE_2026.md</x:v>
      </x:c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En cours</x:v>
      </x:c>
      <x:c r="H585" t="str">
        <x:v>Production Codex</x:v>
      </x:c>
      <x:c r="I585" t="str">
        <x:v>Livrable explicite, tests positifs et négatifs ; aucune validation déduite de la seule présence de la fiche.</x:v>
      </x:c>
      <x:c r="J585" t="str">
        <x:v>https://github.com/darknigthmare/deadwall-last-enclosure/blob/f0ef5a2036d4876ae8f4d4477676da968a032d01/docs/codex/suivi-monde2026/INSPECTION_PHYSIQUE_2026.md</x:v>
      </x:c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En cours</x:v>
      </x:c>
      <x:c r="H586" t="str">
        <x:v>Production Codex</x:v>
      </x:c>
      <x:c r="I586" t="str">
        <x:v>Sources publiques identifiées ; unités en mètres ; emprise au sol distincte de la hauteur.</x:v>
      </x:c>
      <x:c r="J586" t="str">
        <x:v>https://github.com/darknigthmare/deadwall-last-enclosure/blob/f0ef5a2036d4876ae8f4d4477676da968a032d01/docs/codex/suivi-monde2026/EAU_ENERGIE_2026.md</x:v>
      </x:c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En cours</x:v>
      </x:c>
      <x:c r="H587" t="str">
        <x:v>Production Codex</x:v>
      </x:c>
      <x:c r="I587" t="str">
        <x:v>Livrable explicite, tests positifs et négatifs ; aucune validation déduite de la seule présence de la fiche.</x:v>
      </x:c>
      <x:c r="J587" t="str">
        <x:v>https://github.com/darknigthmare/deadwall-last-enclosure/blob/f0ef5a2036d4876ae8f4d4477676da968a032d01/docs/codex/suivi-monde2026/INSPECTION_PHYSIQUE_2026.md</x:v>
      </x:c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En cours</x:v>
      </x:c>
      <x:c r="H589" t="str">
        <x:v>Production Codex</x:v>
      </x:c>
      <x:c r="I589" t="str">
        <x:v>Livrable explicite, tests positifs et négatifs ; aucune validation déduite de la seule présence de la fiche.</x:v>
      </x:c>
      <x:c r="J589" t="str">
        <x:v>https://github.com/darknigthmare/deadwall-last-enclosure/blob/f0ef5a2036d4876ae8f4d4477676da968a032d01/docs/codex/suivi-monde2026/INSPECTION_PHYSIQUE_2026.md</x:v>
      </x:c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En cours</x:v>
      </x:c>
      <x:c r="H594" t="str">
        <x:v>Production Codex</x:v>
      </x:c>
      <x:c r="I594" t="str">
        <x:v>Livrable explicite, tests positifs et négatifs ; aucune validation déduite de la seule présence de la fiche.</x:v>
      </x:c>
      <x:c r="J594" t="str">
        <x:v>https://github.com/darknigthmare/deadwall-last-enclosure/blob/f0ef5a2036d4876ae8f4d4477676da968a032d01/docs/codex/suivi-monde2026/INSPECTION_PHYSIQUE_2026.md</x:v>
      </x:c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En cours</x:v>
      </x:c>
      <x:c r="H595" t="str">
        <x:v>Production Codex</x:v>
      </x:c>
      <x:c r="I595" t="str">
        <x:v>Livrable explicite, tests positifs et négatifs ; aucune validation déduite de la seule présence de la fiche.</x:v>
      </x:c>
      <x:c r="J595" t="str">
        <x:v>https://github.com/darknigthmare/deadwall-last-enclosure/blob/f0ef5a2036d4876ae8f4d4477676da968a032d01/docs/codex/suivi-monde2026/INSPECTION_PHYSIQUE_2026.md</x:v>
      </x:c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https://github.com/darknigthmare/deadwall-last-enclosure/blob/f0ef5a2036d4876ae8f4d4477676da968a032d01/docs/codex/suivi-monde2026/FONDATIONS_METRIQUES_2026.md#dimensions-auteur-validees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https://github.com/darknigthmare/deadwall-last-enclosure/blob/f0ef5a2036d4876ae8f4d4477676da968a032d01/docs/codex/suivi-monde2026/INSPECTION_PHYSIQUE_2026.md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https://github.com/darknigthmare/deadwall-last-enclosure/blob/f0ef5a2036d4876ae8f4d4477676da968a032d01/docs/codex/suivi-monde2026/INSPECTION_PHYSIQUE_2026.md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https://github.com/darknigthmare/deadwall-last-enclosure/blob/f0ef5a2036d4876ae8f4d4477676da968a032d01/docs/codex/suivi-monde2026/INSPECTION_PHYSIQUE_2026.md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https://github.com/darknigthmare/deadwall-last-enclosure/blob/f0ef5a2036d4876ae8f4d4477676da968a032d01/docs/codex/suivi-monde2026/INSPECTION_PHYSIQUE_2026.md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En cours</x:v>
      </x:c>
      <x:c r="H606" t="str">
        <x:v>Production Codex</x:v>
      </x:c>
      <x:c r="I606" t="str">
        <x:v>Sources publiques identifiées ; unités en mètres ; emprise au sol distincte de la hauteur.</x:v>
      </x:c>
      <x:c r="J606" t="str">
        <x:v>https://github.com/darknigthmare/deadwall-last-enclosure/blob/f0ef5a2036d4876ae8f4d4477676da968a032d01/docs/codex/suivi-monde2026/EAU_ENERGIE_2026.md</x:v>
      </x:c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En cours</x:v>
      </x:c>
      <x:c r="H607" t="str">
        <x:v>Production Codex</x:v>
      </x:c>
      <x:c r="I607" t="str">
        <x:v>Livrable explicite, tests positifs et négatifs ; aucune validation déduite de la seule présence de la fiche.</x:v>
      </x:c>
      <x:c r="J607" t="str">
        <x:v>https://github.com/darknigthmare/deadwall-last-enclosure/blob/f0ef5a2036d4876ae8f4d4477676da968a032d01/docs/codex/suivi-monde2026/INSPECTION_PHYSIQUE_2026.md</x:v>
      </x:c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En cours</x:v>
      </x:c>
      <x:c r="H609" t="str">
        <x:v>Production Codex</x:v>
      </x:c>
      <x:c r="I609" t="str">
        <x:v>Livrable explicite, tests positifs et négatifs ; aucune validation déduite de la seule présence de la fiche.</x:v>
      </x:c>
      <x:c r="J609" t="str">
        <x:v>https://github.com/darknigthmare/deadwall-last-enclosure/blob/f0ef5a2036d4876ae8f4d4477676da968a032d01/docs/codex/suivi-monde2026/INSPECTION_PHYSIQUE_2026.md</x:v>
      </x:c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En cours</x:v>
      </x:c>
      <x:c r="H614" t="str">
        <x:v>Production Codex</x:v>
      </x:c>
      <x:c r="I614" t="str">
        <x:v>Livrable explicite, tests positifs et négatifs ; aucune validation déduite de la seule présence de la fiche.</x:v>
      </x:c>
      <x:c r="J614" t="str">
        <x:v>https://github.com/darknigthmare/deadwall-last-enclosure/blob/f0ef5a2036d4876ae8f4d4477676da968a032d01/docs/codex/suivi-monde2026/INSPECTION_PHYSIQUE_2026.md</x:v>
      </x:c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En cours</x:v>
      </x:c>
      <x:c r="H615" t="str">
        <x:v>Production Codex</x:v>
      </x:c>
      <x:c r="I615" t="str">
        <x:v>Livrable explicite, tests positifs et négatifs ; aucune validation déduite de la seule présence de la fiche.</x:v>
      </x:c>
      <x:c r="J615" t="str">
        <x:v>https://github.com/darknigthmare/deadwall-last-enclosure/blob/f0ef5a2036d4876ae8f4d4477676da968a032d01/docs/codex/suivi-monde2026/INSPECTION_PHYSIQUE_2026.md</x:v>
      </x:c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En cours</x:v>
      </x:c>
      <x:c r="H616" t="str">
        <x:v>Production Codex</x:v>
      </x:c>
      <x:c r="I616" t="str">
        <x:v>Sources publiques identifiées ; unités en mètres ; emprise au sol distincte de la hauteur.</x:v>
      </x:c>
      <x:c r="J616" t="str">
        <x:v>https://github.com/darknigthmare/deadwall-last-enclosure/blob/f0ef5a2036d4876ae8f4d4477676da968a032d01/docs/codex/suivi-monde2026/EAU_ENERGIE_2026.md</x:v>
      </x:c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En cours</x:v>
      </x:c>
      <x:c r="H617" t="str">
        <x:v>Production Codex</x:v>
      </x:c>
      <x:c r="I617" t="str">
        <x:v>Livrable explicite, tests positifs et négatifs ; aucune validation déduite de la seule présence de la fiche.</x:v>
      </x:c>
      <x:c r="J617" t="str">
        <x:v>https://github.com/darknigthmare/deadwall-last-enclosure/blob/f0ef5a2036d4876ae8f4d4477676da968a032d01/docs/codex/suivi-monde2026/INSPECTION_PHYSIQUE_2026.md</x:v>
      </x:c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En cours</x:v>
      </x:c>
      <x:c r="H619" t="str">
        <x:v>Production Codex</x:v>
      </x:c>
      <x:c r="I619" t="str">
        <x:v>Livrable explicite, tests positifs et négatifs ; aucune validation déduite de la seule présence de la fiche.</x:v>
      </x:c>
      <x:c r="J619" t="str">
        <x:v>https://github.com/darknigthmare/deadwall-last-enclosure/blob/f0ef5a2036d4876ae8f4d4477676da968a032d01/docs/codex/suivi-monde2026/INSPECTION_PHYSIQUE_2026.md</x:v>
      </x:c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En cours</x:v>
      </x:c>
      <x:c r="H624" t="str">
        <x:v>Production Codex</x:v>
      </x:c>
      <x:c r="I624" t="str">
        <x:v>Livrable explicite, tests positifs et négatifs ; aucune validation déduite de la seule présence de la fiche.</x:v>
      </x:c>
      <x:c r="J624" t="str">
        <x:v>https://github.com/darknigthmare/deadwall-last-enclosure/blob/f0ef5a2036d4876ae8f4d4477676da968a032d01/docs/codex/suivi-monde2026/INSPECTION_PHYSIQUE_2026.md</x:v>
      </x:c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En cours</x:v>
      </x:c>
      <x:c r="H625" t="str">
        <x:v>Production Codex</x:v>
      </x:c>
      <x:c r="I625" t="str">
        <x:v>Livrable explicite, tests positifs et négatifs ; aucune validation déduite de la seule présence de la fiche.</x:v>
      </x:c>
      <x:c r="J625" t="str">
        <x:v>https://github.com/darknigthmare/deadwall-last-enclosure/blob/f0ef5a2036d4876ae8f4d4477676da968a032d01/docs/codex/suivi-monde2026/INSPECTION_PHYSIQUE_2026.md</x:v>
      </x:c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En cours</x:v>
      </x:c>
      <x:c r="H626" t="str">
        <x:v>Production Codex</x:v>
      </x:c>
      <x:c r="I626" t="str">
        <x:v>Sources publiques identifiées ; unités en mètres ; emprise au sol distincte de la hauteur.</x:v>
      </x:c>
      <x:c r="J626" t="str">
        <x:v>https://github.com/darknigthmare/deadwall-last-enclosure/blob/f0ef5a2036d4876ae8f4d4477676da968a032d01/docs/codex/suivi-monde2026/EAU_ENERGIE_2026.md</x:v>
      </x:c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En cours</x:v>
      </x:c>
      <x:c r="H627" t="str">
        <x:v>Production Codex</x:v>
      </x:c>
      <x:c r="I627" t="str">
        <x:v>Livrable explicite, tests positifs et négatifs ; aucune validation déduite de la seule présence de la fiche.</x:v>
      </x:c>
      <x:c r="J627" t="str">
        <x:v>https://github.com/darknigthmare/deadwall-last-enclosure/blob/f0ef5a2036d4876ae8f4d4477676da968a032d01/docs/codex/suivi-monde2026/INSPECTION_PHYSIQUE_2026.md</x:v>
      </x:c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En cours</x:v>
      </x:c>
      <x:c r="H629" t="str">
        <x:v>Production Codex</x:v>
      </x:c>
      <x:c r="I629" t="str">
        <x:v>Livrable explicite, tests positifs et négatifs ; aucune validation déduite de la seule présence de la fiche.</x:v>
      </x:c>
      <x:c r="J629" t="str">
        <x:v>https://github.com/darknigthmare/deadwall-last-enclosure/blob/f0ef5a2036d4876ae8f4d4477676da968a032d01/docs/codex/suivi-monde2026/INSPECTION_PHYSIQUE_2026.md</x:v>
      </x:c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En cours</x:v>
      </x:c>
      <x:c r="H634" t="str">
        <x:v>Production Codex</x:v>
      </x:c>
      <x:c r="I634" t="str">
        <x:v>Livrable explicite, tests positifs et négatifs ; aucune validation déduite de la seule présence de la fiche.</x:v>
      </x:c>
      <x:c r="J634" t="str">
        <x:v>https://github.com/darknigthmare/deadwall-last-enclosure/blob/f0ef5a2036d4876ae8f4d4477676da968a032d01/docs/codex/suivi-monde2026/INSPECTION_PHYSIQUE_2026.md</x:v>
      </x:c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En cours</x:v>
      </x:c>
      <x:c r="H635" t="str">
        <x:v>Production Codex</x:v>
      </x:c>
      <x:c r="I635" t="str">
        <x:v>Livrable explicite, tests positifs et négatifs ; aucune validation déduite de la seule présence de la fiche.</x:v>
      </x:c>
      <x:c r="J635" t="str">
        <x:v>https://github.com/darknigthmare/deadwall-last-enclosure/blob/f0ef5a2036d4876ae8f4d4477676da968a032d01/docs/codex/suivi-monde2026/INSPECTION_PHYSIQUE_2026.md</x:v>
      </x:c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En cours</x:v>
      </x:c>
      <x:c r="H636" t="str">
        <x:v>Production Codex</x:v>
      </x:c>
      <x:c r="I636" t="str">
        <x:v>Sources publiques identifiées ; unités en mètres ; emprise au sol distincte de la hauteur.</x:v>
      </x:c>
      <x:c r="J636" t="str">
        <x:v>https://github.com/darknigthmare/deadwall-last-enclosure/blob/f0ef5a2036d4876ae8f4d4477676da968a032d01/docs/codex/suivi-monde2026/EAU_ENERGIE_2026.md</x:v>
      </x:c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En cours</x:v>
      </x:c>
      <x:c r="H637" t="str">
        <x:v>Production Codex</x:v>
      </x:c>
      <x:c r="I637" t="str">
        <x:v>Livrable explicite, tests positifs et négatifs ; aucune validation déduite de la seule présence de la fiche.</x:v>
      </x:c>
      <x:c r="J637" t="str">
        <x:v>https://github.com/darknigthmare/deadwall-last-enclosure/blob/f0ef5a2036d4876ae8f4d4477676da968a032d01/docs/codex/suivi-monde2026/INSPECTION_PHYSIQUE_2026.md</x:v>
      </x:c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En cours</x:v>
      </x:c>
      <x:c r="H639" t="str">
        <x:v>Production Codex</x:v>
      </x:c>
      <x:c r="I639" t="str">
        <x:v>Livrable explicite, tests positifs et négatifs ; aucune validation déduite de la seule présence de la fiche.</x:v>
      </x:c>
      <x:c r="J639" t="str">
        <x:v>https://github.com/darknigthmare/deadwall-last-enclosure/blob/f0ef5a2036d4876ae8f4d4477676da968a032d01/docs/codex/suivi-monde2026/INSPECTION_PHYSIQUE_2026.md</x:v>
      </x:c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En cours</x:v>
      </x:c>
      <x:c r="H644" t="str">
        <x:v>Production Codex</x:v>
      </x:c>
      <x:c r="I644" t="str">
        <x:v>Livrable explicite, tests positifs et négatifs ; aucune validation déduite de la seule présence de la fiche.</x:v>
      </x:c>
      <x:c r="J644" t="str">
        <x:v>https://github.com/darknigthmare/deadwall-last-enclosure/blob/f0ef5a2036d4876ae8f4d4477676da968a032d01/docs/codex/suivi-monde2026/INSPECTION_PHYSIQUE_2026.md</x:v>
      </x:c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En cours</x:v>
      </x:c>
      <x:c r="H645" t="str">
        <x:v>Production Codex</x:v>
      </x:c>
      <x:c r="I645" t="str">
        <x:v>Livrable explicite, tests positifs et négatifs ; aucune validation déduite de la seule présence de la fiche.</x:v>
      </x:c>
      <x:c r="J645" t="str">
        <x:v>https://github.com/darknigthmare/deadwall-last-enclosure/blob/f0ef5a2036d4876ae8f4d4477676da968a032d01/docs/codex/suivi-monde2026/INSPECTION_PHYSIQUE_2026.md</x:v>
      </x:c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https://github.com/darknigthmare/deadwall-last-enclosure/blob/f0ef5a2036d4876ae8f4d4477676da968a032d01/docs/codex/suivi-monde2026/FONDATIONS_METRIQUES_2026.md#dimensions-auteur-validees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https://github.com/darknigthmare/deadwall-last-enclosure/blob/f0ef5a2036d4876ae8f4d4477676da968a032d01/docs/codex/suivi-monde2026/INSPECTION_PHYSIQUE_2026.md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https://github.com/darknigthmare/deadwall-last-enclosure/blob/f0ef5a2036d4876ae8f4d4477676da968a032d01/docs/codex/suivi-monde2026/INSPECTION_PHYSIQUE_2026.md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https://github.com/darknigthmare/deadwall-last-enclosure/blob/f0ef5a2036d4876ae8f4d4477676da968a032d01/docs/codex/suivi-monde2026/INSPECTION_PHYSIQUE_2026.md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https://github.com/darknigthmare/deadwall-last-enclosure/blob/f0ef5a2036d4876ae8f4d4477676da968a032d01/docs/codex/suivi-monde2026/INSPECTION_PHYSIQUE_2026.md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https://github.com/darknigthmare/deadwall-last-enclosure/blob/f0ef5a2036d4876ae8f4d4477676da968a032d01/docs/codex/suivi-monde2026/FONDATIONS_METRIQUES_2026.md#dimensions-auteur-validees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https://github.com/darknigthmare/deadwall-last-enclosure/blob/f0ef5a2036d4876ae8f4d4477676da968a032d01/docs/codex/suivi-monde2026/INSPECTION_PHYSIQUE_2026.md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https://github.com/darknigthmare/deadwall-last-enclosure/blob/f0ef5a2036d4876ae8f4d4477676da968a032d01/docs/codex/suivi-monde2026/INSPECTION_PHYSIQUE_2026.md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https://github.com/darknigthmare/deadwall-last-enclosure/blob/f0ef5a2036d4876ae8f4d4477676da968a032d01/docs/codex/suivi-monde2026/INSPECTION_PHYSIQUE_2026.md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https://github.com/darknigthmare/deadwall-last-enclosure/blob/f0ef5a2036d4876ae8f4d4477676da968a032d01/docs/codex/suivi-monde2026/INSPECTION_PHYSIQUE_2026.md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En cours</x:v>
      </x:c>
      <x:c r="H666" t="str">
        <x:v>Production Codex</x:v>
      </x:c>
      <x:c r="I666" t="str">
        <x:v>Sources publiques identifiées ; unités en mètres ; emprise au sol distincte de la hauteur.</x:v>
      </x:c>
      <x:c r="J666" t="str">
        <x:v>https://github.com/darknigthmare/deadwall-last-enclosure/blob/f0ef5a2036d4876ae8f4d4477676da968a032d01/docs/codex/suivi-monde2026/PARCS_SPORTS_2026.md</x:v>
      </x:c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En cours</x:v>
      </x:c>
      <x:c r="H667" t="str">
        <x:v>Production Codex</x:v>
      </x:c>
      <x:c r="I667" t="str">
        <x:v>Livrable explicite, tests positifs et négatifs ; aucune validation déduite de la seule présence de la fiche.</x:v>
      </x:c>
      <x:c r="J667" t="str">
        <x:v>https://github.com/darknigthmare/deadwall-last-enclosure/blob/f0ef5a2036d4876ae8f4d4477676da968a032d01/docs/codex/suivi-monde2026/INSPECTION_PHYSIQUE_2026.md</x:v>
      </x:c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En cours</x:v>
      </x:c>
      <x:c r="H669" t="str">
        <x:v>Production Codex</x:v>
      </x:c>
      <x:c r="I669" t="str">
        <x:v>Livrable explicite, tests positifs et négatifs ; aucune validation déduite de la seule présence de la fiche.</x:v>
      </x:c>
      <x:c r="J669" t="str">
        <x:v>https://github.com/darknigthmare/deadwall-last-enclosure/blob/f0ef5a2036d4876ae8f4d4477676da968a032d01/docs/codex/suivi-monde2026/INSPECTION_PHYSIQUE_2026.md</x:v>
      </x:c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En cours</x:v>
      </x:c>
      <x:c r="H674" t="str">
        <x:v>Production Codex</x:v>
      </x:c>
      <x:c r="I674" t="str">
        <x:v>Livrable explicite, tests positifs et négatifs ; aucune validation déduite de la seule présence de la fiche.</x:v>
      </x:c>
      <x:c r="J674" t="str">
        <x:v>https://github.com/darknigthmare/deadwall-last-enclosure/blob/f0ef5a2036d4876ae8f4d4477676da968a032d01/docs/codex/suivi-monde2026/INSPECTION_PHYSIQUE_2026.md</x:v>
      </x:c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En cours</x:v>
      </x:c>
      <x:c r="H675" t="str">
        <x:v>Production Codex</x:v>
      </x:c>
      <x:c r="I675" t="str">
        <x:v>Livrable explicite, tests positifs et négatifs ; aucune validation déduite de la seule présence de la fiche.</x:v>
      </x:c>
      <x:c r="J675" t="str">
        <x:v>https://github.com/darknigthmare/deadwall-last-enclosure/blob/f0ef5a2036d4876ae8f4d4477676da968a032d01/docs/codex/suivi-monde2026/INSPECTION_PHYSIQUE_2026.md</x:v>
      </x:c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En cours</x:v>
      </x:c>
      <x:c r="H676" t="str">
        <x:v>Production Codex</x:v>
      </x:c>
      <x:c r="I676" t="str">
        <x:v>Sources publiques identifiées ; unités en mètres ; emprise au sol distincte de la hauteur.</x:v>
      </x:c>
      <x:c r="J676" t="str">
        <x:v>https://github.com/darknigthmare/deadwall-last-enclosure/blob/f0ef5a2036d4876ae8f4d4477676da968a032d01/docs/codex/suivi-monde2026/PARCS_SPORTS_2026.md</x:v>
      </x:c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En cours</x:v>
      </x:c>
      <x:c r="H677" t="str">
        <x:v>Production Codex</x:v>
      </x:c>
      <x:c r="I677" t="str">
        <x:v>Livrable explicite, tests positifs et négatifs ; aucune validation déduite de la seule présence de la fiche.</x:v>
      </x:c>
      <x:c r="J677" t="str">
        <x:v>https://github.com/darknigthmare/deadwall-last-enclosure/blob/f0ef5a2036d4876ae8f4d4477676da968a032d01/docs/codex/suivi-monde2026/INSPECTION_PHYSIQUE_2026.md</x:v>
      </x:c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En cours</x:v>
      </x:c>
      <x:c r="H679" t="str">
        <x:v>Production Codex</x:v>
      </x:c>
      <x:c r="I679" t="str">
        <x:v>Livrable explicite, tests positifs et négatifs ; aucune validation déduite de la seule présence de la fiche.</x:v>
      </x:c>
      <x:c r="J679" t="str">
        <x:v>https://github.com/darknigthmare/deadwall-last-enclosure/blob/f0ef5a2036d4876ae8f4d4477676da968a032d01/docs/codex/suivi-monde2026/INSPECTION_PHYSIQUE_2026.md</x:v>
      </x:c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En cours</x:v>
      </x:c>
      <x:c r="H684" t="str">
        <x:v>Production Codex</x:v>
      </x:c>
      <x:c r="I684" t="str">
        <x:v>Livrable explicite, tests positifs et négatifs ; aucune validation déduite de la seule présence de la fiche.</x:v>
      </x:c>
      <x:c r="J684" t="str">
        <x:v>https://github.com/darknigthmare/deadwall-last-enclosure/blob/f0ef5a2036d4876ae8f4d4477676da968a032d01/docs/codex/suivi-monde2026/INSPECTION_PHYSIQUE_2026.md</x:v>
      </x:c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En cours</x:v>
      </x:c>
      <x:c r="H685" t="str">
        <x:v>Production Codex</x:v>
      </x:c>
      <x:c r="I685" t="str">
        <x:v>Livrable explicite, tests positifs et négatifs ; aucune validation déduite de la seule présence de la fiche.</x:v>
      </x:c>
      <x:c r="J685" t="str">
        <x:v>https://github.com/darknigthmare/deadwall-last-enclosure/blob/f0ef5a2036d4876ae8f4d4477676da968a032d01/docs/codex/suivi-monde2026/INSPECTION_PHYSIQUE_2026.md</x:v>
      </x:c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En cours</x:v>
      </x:c>
      <x:c r="H686" t="str">
        <x:v>Production Codex</x:v>
      </x:c>
      <x:c r="I686" t="str">
        <x:v>Sources publiques identifiées ; unités en mètres ; emprise au sol distincte de la hauteur.</x:v>
      </x:c>
      <x:c r="J686" t="str">
        <x:v>https://github.com/darknigthmare/deadwall-last-enclosure/blob/f0ef5a2036d4876ae8f4d4477676da968a032d01/docs/codex/suivi-monde2026/AEROPORTS_RAIL_2026.md</x:v>
      </x:c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En cours</x:v>
      </x:c>
      <x:c r="H687" t="str">
        <x:v>Production Codex</x:v>
      </x:c>
      <x:c r="I687" t="str">
        <x:v>Livrable explicite, tests positifs et négatifs ; aucune validation déduite de la seule présence de la fiche.</x:v>
      </x:c>
      <x:c r="J687" t="str">
        <x:v>https://github.com/darknigthmare/deadwall-last-enclosure/blob/f0ef5a2036d4876ae8f4d4477676da968a032d01/docs/codex/suivi-monde2026/INSPECTION_PHYSIQUE_2026.md</x:v>
      </x:c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En cours</x:v>
      </x:c>
      <x:c r="H689" t="str">
        <x:v>Production Codex</x:v>
      </x:c>
      <x:c r="I689" t="str">
        <x:v>Livrable explicite, tests positifs et négatifs ; aucune validation déduite de la seule présence de la fiche.</x:v>
      </x:c>
      <x:c r="J689" t="str">
        <x:v>https://github.com/darknigthmare/deadwall-last-enclosure/blob/f0ef5a2036d4876ae8f4d4477676da968a032d01/docs/codex/suivi-monde2026/INSPECTION_PHYSIQUE_2026.md</x:v>
      </x:c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En cours</x:v>
      </x:c>
      <x:c r="H694" t="str">
        <x:v>Production Codex</x:v>
      </x:c>
      <x:c r="I694" t="str">
        <x:v>Livrable explicite, tests positifs et négatifs ; aucune validation déduite de la seule présence de la fiche.</x:v>
      </x:c>
      <x:c r="J694" t="str">
        <x:v>https://github.com/darknigthmare/deadwall-last-enclosure/blob/f0ef5a2036d4876ae8f4d4477676da968a032d01/docs/codex/suivi-monde2026/INSPECTION_PHYSIQUE_2026.md</x:v>
      </x:c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En cours</x:v>
      </x:c>
      <x:c r="H695" t="str">
        <x:v>Production Codex</x:v>
      </x:c>
      <x:c r="I695" t="str">
        <x:v>Livrable explicite, tests positifs et négatifs ; aucune validation déduite de la seule présence de la fiche.</x:v>
      </x:c>
      <x:c r="J695" t="str">
        <x:v>https://github.com/darknigthmare/deadwall-last-enclosure/blob/f0ef5a2036d4876ae8f4d4477676da968a032d01/docs/codex/suivi-monde2026/INSPECTION_PHYSIQUE_2026.md</x:v>
      </x:c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En cours</x:v>
      </x:c>
      <x:c r="H696" t="str">
        <x:v>Production Codex</x:v>
      </x:c>
      <x:c r="I696" t="str">
        <x:v>Sources publiques identifiées ; unités en mètres ; emprise au sol distincte de la hauteur.</x:v>
      </x:c>
      <x:c r="J696" t="str">
        <x:v>https://github.com/darknigthmare/deadwall-last-enclosure/blob/f0ef5a2036d4876ae8f4d4477676da968a032d01/docs/codex/suivi-monde2026/AEROPORTS_RAIL_2026.md</x:v>
      </x:c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En cours</x:v>
      </x:c>
      <x:c r="H697" t="str">
        <x:v>Production Codex</x:v>
      </x:c>
      <x:c r="I697" t="str">
        <x:v>Livrable explicite, tests positifs et négatifs ; aucune validation déduite de la seule présence de la fiche.</x:v>
      </x:c>
      <x:c r="J697" t="str">
        <x:v>https://github.com/darknigthmare/deadwall-last-enclosure/blob/f0ef5a2036d4876ae8f4d4477676da968a032d01/docs/codex/suivi-monde2026/INSPECTION_PHYSIQUE_2026.md</x:v>
      </x:c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En cours</x:v>
      </x:c>
      <x:c r="H699" t="str">
        <x:v>Production Codex</x:v>
      </x:c>
      <x:c r="I699" t="str">
        <x:v>Livrable explicite, tests positifs et négatifs ; aucune validation déduite de la seule présence de la fiche.</x:v>
      </x:c>
      <x:c r="J699" t="str">
        <x:v>https://github.com/darknigthmare/deadwall-last-enclosure/blob/f0ef5a2036d4876ae8f4d4477676da968a032d01/docs/codex/suivi-monde2026/INSPECTION_PHYSIQUE_2026.md</x:v>
      </x:c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En cours</x:v>
      </x:c>
      <x:c r="H704" t="str">
        <x:v>Production Codex</x:v>
      </x:c>
      <x:c r="I704" t="str">
        <x:v>Livrable explicite, tests positifs et négatifs ; aucune validation déduite de la seule présence de la fiche.</x:v>
      </x:c>
      <x:c r="J704" t="str">
        <x:v>https://github.com/darknigthmare/deadwall-last-enclosure/blob/f0ef5a2036d4876ae8f4d4477676da968a032d01/docs/codex/suivi-monde2026/INSPECTION_PHYSIQUE_2026.md</x:v>
      </x:c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En cours</x:v>
      </x:c>
      <x:c r="H705" t="str">
        <x:v>Production Codex</x:v>
      </x:c>
      <x:c r="I705" t="str">
        <x:v>Livrable explicite, tests positifs et négatifs ; aucune validation déduite de la seule présence de la fiche.</x:v>
      </x:c>
      <x:c r="J705" t="str">
        <x:v>https://github.com/darknigthmare/deadwall-last-enclosure/blob/f0ef5a2036d4876ae8f4d4477676da968a032d01/docs/codex/suivi-monde2026/INSPECTION_PHYSIQUE_2026.md</x:v>
      </x:c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En cours</x:v>
      </x:c>
      <x:c r="H706" t="str">
        <x:v>Production Codex</x:v>
      </x:c>
      <x:c r="I706" t="str">
        <x:v>Sources publiques identifiées ; unités en mètres ; emprise au sol distincte de la hauteur.</x:v>
      </x:c>
      <x:c r="J706" t="str">
        <x:v>https://github.com/darknigthmare/deadwall-last-enclosure/blob/f0ef5a2036d4876ae8f4d4477676da968a032d01/docs/codex/suivi-monde2026/AEROPORTS_RAIL_2026.md</x:v>
      </x:c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En cours</x:v>
      </x:c>
      <x:c r="H707" t="str">
        <x:v>Production Codex</x:v>
      </x:c>
      <x:c r="I707" t="str">
        <x:v>Livrable explicite, tests positifs et négatifs ; aucune validation déduite de la seule présence de la fiche.</x:v>
      </x:c>
      <x:c r="J707" t="str">
        <x:v>https://github.com/darknigthmare/deadwall-last-enclosure/blob/f0ef5a2036d4876ae8f4d4477676da968a032d01/docs/codex/suivi-monde2026/INSPECTION_PHYSIQUE_2026.md</x:v>
      </x:c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En cours</x:v>
      </x:c>
      <x:c r="H709" t="str">
        <x:v>Production Codex</x:v>
      </x:c>
      <x:c r="I709" t="str">
        <x:v>Livrable explicite, tests positifs et négatifs ; aucune validation déduite de la seule présence de la fiche.</x:v>
      </x:c>
      <x:c r="J709" t="str">
        <x:v>https://github.com/darknigthmare/deadwall-last-enclosure/blob/f0ef5a2036d4876ae8f4d4477676da968a032d01/docs/codex/suivi-monde2026/INSPECTION_PHYSIQUE_2026.md</x:v>
      </x:c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En cours</x:v>
      </x:c>
      <x:c r="H714" t="str">
        <x:v>Production Codex</x:v>
      </x:c>
      <x:c r="I714" t="str">
        <x:v>Livrable explicite, tests positifs et négatifs ; aucune validation déduite de la seule présence de la fiche.</x:v>
      </x:c>
      <x:c r="J714" t="str">
        <x:v>https://github.com/darknigthmare/deadwall-last-enclosure/blob/f0ef5a2036d4876ae8f4d4477676da968a032d01/docs/codex/suivi-monde2026/INSPECTION_PHYSIQUE_2026.md</x:v>
      </x:c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En cours</x:v>
      </x:c>
      <x:c r="H715" t="str">
        <x:v>Production Codex</x:v>
      </x:c>
      <x:c r="I715" t="str">
        <x:v>Livrable explicite, tests positifs et négatifs ; aucune validation déduite de la seule présence de la fiche.</x:v>
      </x:c>
      <x:c r="J715" t="str">
        <x:v>https://github.com/darknigthmare/deadwall-last-enclosure/blob/f0ef5a2036d4876ae8f4d4477676da968a032d01/docs/codex/suivi-monde2026/INSPECTION_PHYSIQUE_2026.md</x:v>
      </x:c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En cours</x:v>
      </x:c>
      <x:c r="H716" t="str">
        <x:v>Production Codex</x:v>
      </x:c>
      <x:c r="I716" t="str">
        <x:v>Sources publiques identifiées ; unités en mètres ; emprise au sol distincte de la hauteur.</x:v>
      </x:c>
      <x:c r="J716" t="str">
        <x:v>https://github.com/darknigthmare/deadwall-last-enclosure/blob/f0ef5a2036d4876ae8f4d4477676da968a032d01/docs/codex/suivi-monde2026/AEROPORTS_RAIL_2026.md</x:v>
      </x:c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En cours</x:v>
      </x:c>
      <x:c r="H717" t="str">
        <x:v>Production Codex</x:v>
      </x:c>
      <x:c r="I717" t="str">
        <x:v>Livrable explicite, tests positifs et négatifs ; aucune validation déduite de la seule présence de la fiche.</x:v>
      </x:c>
      <x:c r="J717" t="str">
        <x:v>https://github.com/darknigthmare/deadwall-last-enclosure/blob/f0ef5a2036d4876ae8f4d4477676da968a032d01/docs/codex/suivi-monde2026/INSPECTION_PHYSIQUE_2026.md</x:v>
      </x:c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En cours</x:v>
      </x:c>
      <x:c r="H719" t="str">
        <x:v>Production Codex</x:v>
      </x:c>
      <x:c r="I719" t="str">
        <x:v>Livrable explicite, tests positifs et négatifs ; aucune validation déduite de la seule présence de la fiche.</x:v>
      </x:c>
      <x:c r="J719" t="str">
        <x:v>https://github.com/darknigthmare/deadwall-last-enclosure/blob/f0ef5a2036d4876ae8f4d4477676da968a032d01/docs/codex/suivi-monde2026/INSPECTION_PHYSIQUE_2026.md</x:v>
      </x:c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En cours</x:v>
      </x:c>
      <x:c r="H724" t="str">
        <x:v>Production Codex</x:v>
      </x:c>
      <x:c r="I724" t="str">
        <x:v>Livrable explicite, tests positifs et négatifs ; aucune validation déduite de la seule présence de la fiche.</x:v>
      </x:c>
      <x:c r="J724" t="str">
        <x:v>https://github.com/darknigthmare/deadwall-last-enclosure/blob/f0ef5a2036d4876ae8f4d4477676da968a032d01/docs/codex/suivi-monde2026/INSPECTION_PHYSIQUE_2026.md</x:v>
      </x:c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En cours</x:v>
      </x:c>
      <x:c r="H725" t="str">
        <x:v>Production Codex</x:v>
      </x:c>
      <x:c r="I725" t="str">
        <x:v>Livrable explicite, tests positifs et négatifs ; aucune validation déduite de la seule présence de la fiche.</x:v>
      </x:c>
      <x:c r="J725" t="str">
        <x:v>https://github.com/darknigthmare/deadwall-last-enclosure/blob/f0ef5a2036d4876ae8f4d4477676da968a032d01/docs/codex/suivi-monde2026/INSPECTION_PHYSIQUE_2026.md</x:v>
      </x:c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En cours</x:v>
      </x:c>
      <x:c r="H726" t="str">
        <x:v>Production Codex</x:v>
      </x:c>
      <x:c r="I726" t="str">
        <x:v>Sources publiques identifiées ; unités en mètres ; emprise au sol distincte de la hauteur.</x:v>
      </x:c>
      <x:c r="J726" t="str">
        <x:v>https://github.com/darknigthmare/deadwall-last-enclosure/blob/f0ef5a2036d4876ae8f4d4477676da968a032d01/docs/codex/suivi-monde2026/AEROPORTS_RAIL_2026.md</x:v>
      </x:c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En cours</x:v>
      </x:c>
      <x:c r="H727" t="str">
        <x:v>Production Codex</x:v>
      </x:c>
      <x:c r="I727" t="str">
        <x:v>Livrable explicite, tests positifs et négatifs ; aucune validation déduite de la seule présence de la fiche.</x:v>
      </x:c>
      <x:c r="J727" t="str">
        <x:v>https://github.com/darknigthmare/deadwall-last-enclosure/blob/f0ef5a2036d4876ae8f4d4477676da968a032d01/docs/codex/suivi-monde2026/INSPECTION_PHYSIQUE_2026.md</x:v>
      </x:c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En cours</x:v>
      </x:c>
      <x:c r="H729" t="str">
        <x:v>Production Codex</x:v>
      </x:c>
      <x:c r="I729" t="str">
        <x:v>Livrable explicite, tests positifs et négatifs ; aucune validation déduite de la seule présence de la fiche.</x:v>
      </x:c>
      <x:c r="J729" t="str">
        <x:v>https://github.com/darknigthmare/deadwall-last-enclosure/blob/f0ef5a2036d4876ae8f4d4477676da968a032d01/docs/codex/suivi-monde2026/INSPECTION_PHYSIQUE_2026.md</x:v>
      </x:c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En cours</x:v>
      </x:c>
      <x:c r="H734" t="str">
        <x:v>Production Codex</x:v>
      </x:c>
      <x:c r="I734" t="str">
        <x:v>Livrable explicite, tests positifs et négatifs ; aucune validation déduite de la seule présence de la fiche.</x:v>
      </x:c>
      <x:c r="J734" t="str">
        <x:v>https://github.com/darknigthmare/deadwall-last-enclosure/blob/f0ef5a2036d4876ae8f4d4477676da968a032d01/docs/codex/suivi-monde2026/INSPECTION_PHYSIQUE_2026.md</x:v>
      </x:c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En cours</x:v>
      </x:c>
      <x:c r="H735" t="str">
        <x:v>Production Codex</x:v>
      </x:c>
      <x:c r="I735" t="str">
        <x:v>Livrable explicite, tests positifs et négatifs ; aucune validation déduite de la seule présence de la fiche.</x:v>
      </x:c>
      <x:c r="J735" t="str">
        <x:v>https://github.com/darknigthmare/deadwall-last-enclosure/blob/f0ef5a2036d4876ae8f4d4477676da968a032d01/docs/codex/suivi-monde2026/INSPECTION_PHYSIQUE_2026.md</x:v>
      </x:c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En cours</x:v>
      </x:c>
      <x:c r="H736" t="str">
        <x:v>Production Codex</x:v>
      </x:c>
      <x:c r="I736" t="str">
        <x:v>Sources publiques identifiées ; unités en mètres ; emprise au sol distincte de la hauteur.</x:v>
      </x:c>
      <x:c r="J736" t="str">
        <x:v>https://github.com/darknigthmare/deadwall-last-enclosure/blob/f0ef5a2036d4876ae8f4d4477676da968a032d01/docs/codex/suivi-monde2026/AEROPORTS_RAIL_2026.md</x:v>
      </x:c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En cours</x:v>
      </x:c>
      <x:c r="H737" t="str">
        <x:v>Production Codex</x:v>
      </x:c>
      <x:c r="I737" t="str">
        <x:v>Livrable explicite, tests positifs et négatifs ; aucune validation déduite de la seule présence de la fiche.</x:v>
      </x:c>
      <x:c r="J737" t="str">
        <x:v>https://github.com/darknigthmare/deadwall-last-enclosure/blob/f0ef5a2036d4876ae8f4d4477676da968a032d01/docs/codex/suivi-monde2026/INSPECTION_PHYSIQUE_2026.md</x:v>
      </x:c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En cours</x:v>
      </x:c>
      <x:c r="H739" t="str">
        <x:v>Production Codex</x:v>
      </x:c>
      <x:c r="I739" t="str">
        <x:v>Livrable explicite, tests positifs et négatifs ; aucune validation déduite de la seule présence de la fiche.</x:v>
      </x:c>
      <x:c r="J739" t="str">
        <x:v>https://github.com/darknigthmare/deadwall-last-enclosure/blob/f0ef5a2036d4876ae8f4d4477676da968a032d01/docs/codex/suivi-monde2026/INSPECTION_PHYSIQUE_2026.md</x:v>
      </x:c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En cours</x:v>
      </x:c>
      <x:c r="H744" t="str">
        <x:v>Production Codex</x:v>
      </x:c>
      <x:c r="I744" t="str">
        <x:v>Livrable explicite, tests positifs et négatifs ; aucune validation déduite de la seule présence de la fiche.</x:v>
      </x:c>
      <x:c r="J744" t="str">
        <x:v>https://github.com/darknigthmare/deadwall-last-enclosure/blob/f0ef5a2036d4876ae8f4d4477676da968a032d01/docs/codex/suivi-monde2026/INSPECTION_PHYSIQUE_2026.md</x:v>
      </x:c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En cours</x:v>
      </x:c>
      <x:c r="H745" t="str">
        <x:v>Production Codex</x:v>
      </x:c>
      <x:c r="I745" t="str">
        <x:v>Livrable explicite, tests positifs et négatifs ; aucune validation déduite de la seule présence de la fiche.</x:v>
      </x:c>
      <x:c r="J745" t="str">
        <x:v>https://github.com/darknigthmare/deadwall-last-enclosure/blob/f0ef5a2036d4876ae8f4d4477676da968a032d01/docs/codex/suivi-monde2026/INSPECTION_PHYSIQUE_2026.md</x:v>
      </x:c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En cours</x:v>
      </x:c>
      <x:c r="H746" t="str">
        <x:v>Production Codex</x:v>
      </x:c>
      <x:c r="I746" t="str">
        <x:v>Sources publiques identifiées ; unités en mètres ; emprise au sol distincte de la hauteur.</x:v>
      </x:c>
      <x:c r="J746" t="str">
        <x:v>https://github.com/darknigthmare/deadwall-last-enclosure/blob/f0ef5a2036d4876ae8f4d4477676da968a032d01/docs/codex/suivi-monde2026/AEROPORTS_RAIL_2026.md</x:v>
      </x:c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En cours</x:v>
      </x:c>
      <x:c r="H747" t="str">
        <x:v>Production Codex</x:v>
      </x:c>
      <x:c r="I747" t="str">
        <x:v>Livrable explicite, tests positifs et négatifs ; aucune validation déduite de la seule présence de la fiche.</x:v>
      </x:c>
      <x:c r="J747" t="str">
        <x:v>https://github.com/darknigthmare/deadwall-last-enclosure/blob/f0ef5a2036d4876ae8f4d4477676da968a032d01/docs/codex/suivi-monde2026/INSPECTION_PHYSIQUE_2026.md</x:v>
      </x:c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En cours</x:v>
      </x:c>
      <x:c r="H749" t="str">
        <x:v>Production Codex</x:v>
      </x:c>
      <x:c r="I749" t="str">
        <x:v>Livrable explicite, tests positifs et négatifs ; aucune validation déduite de la seule présence de la fiche.</x:v>
      </x:c>
      <x:c r="J749" t="str">
        <x:v>https://github.com/darknigthmare/deadwall-last-enclosure/blob/f0ef5a2036d4876ae8f4d4477676da968a032d01/docs/codex/suivi-monde2026/INSPECTION_PHYSIQUE_2026.md</x:v>
      </x:c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En cours</x:v>
      </x:c>
      <x:c r="H754" t="str">
        <x:v>Production Codex</x:v>
      </x:c>
      <x:c r="I754" t="str">
        <x:v>Livrable explicite, tests positifs et négatifs ; aucune validation déduite de la seule présence de la fiche.</x:v>
      </x:c>
      <x:c r="J754" t="str">
        <x:v>https://github.com/darknigthmare/deadwall-last-enclosure/blob/f0ef5a2036d4876ae8f4d4477676da968a032d01/docs/codex/suivi-monde2026/INSPECTION_PHYSIQUE_2026.md</x:v>
      </x:c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En cours</x:v>
      </x:c>
      <x:c r="H755" t="str">
        <x:v>Production Codex</x:v>
      </x:c>
      <x:c r="I755" t="str">
        <x:v>Livrable explicite, tests positifs et négatifs ; aucune validation déduite de la seule présence de la fiche.</x:v>
      </x:c>
      <x:c r="J755" t="str">
        <x:v>https://github.com/darknigthmare/deadwall-last-enclosure/blob/f0ef5a2036d4876ae8f4d4477676da968a032d01/docs/codex/suivi-monde2026/INSPECTION_PHYSIQUE_2026.md</x:v>
      </x:c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En cours</x:v>
      </x:c>
      <x:c r="H756" t="str">
        <x:v>Production Codex</x:v>
      </x:c>
      <x:c r="I756" t="str">
        <x:v>Sources publiques identifiées ; unités en mètres ; emprise au sol distincte de la hauteur.</x:v>
      </x:c>
      <x:c r="J756" t="str">
        <x:v>https://github.com/darknigthmare/deadwall-last-enclosure/blob/f0ef5a2036d4876ae8f4d4477676da968a032d01/docs/codex/suivi-monde2026/AEROPORTS_RAIL_2026.md</x:v>
      </x:c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En cours</x:v>
      </x:c>
      <x:c r="H757" t="str">
        <x:v>Production Codex</x:v>
      </x:c>
      <x:c r="I757" t="str">
        <x:v>Livrable explicite, tests positifs et négatifs ; aucune validation déduite de la seule présence de la fiche.</x:v>
      </x:c>
      <x:c r="J757" t="str">
        <x:v>https://github.com/darknigthmare/deadwall-last-enclosure/blob/f0ef5a2036d4876ae8f4d4477676da968a032d01/docs/codex/suivi-monde2026/INSPECTION_PHYSIQUE_2026.md</x:v>
      </x:c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En cours</x:v>
      </x:c>
      <x:c r="H759" t="str">
        <x:v>Production Codex</x:v>
      </x:c>
      <x:c r="I759" t="str">
        <x:v>Livrable explicite, tests positifs et négatifs ; aucune validation déduite de la seule présence de la fiche.</x:v>
      </x:c>
      <x:c r="J759" t="str">
        <x:v>https://github.com/darknigthmare/deadwall-last-enclosure/blob/f0ef5a2036d4876ae8f4d4477676da968a032d01/docs/codex/suivi-monde2026/INSPECTION_PHYSIQUE_2026.md</x:v>
      </x:c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En cours</x:v>
      </x:c>
      <x:c r="H764" t="str">
        <x:v>Production Codex</x:v>
      </x:c>
      <x:c r="I764" t="str">
        <x:v>Livrable explicite, tests positifs et négatifs ; aucune validation déduite de la seule présence de la fiche.</x:v>
      </x:c>
      <x:c r="J764" t="str">
        <x:v>https://github.com/darknigthmare/deadwall-last-enclosure/blob/f0ef5a2036d4876ae8f4d4477676da968a032d01/docs/codex/suivi-monde2026/INSPECTION_PHYSIQUE_2026.md</x:v>
      </x:c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En cours</x:v>
      </x:c>
      <x:c r="H765" t="str">
        <x:v>Production Codex</x:v>
      </x:c>
      <x:c r="I765" t="str">
        <x:v>Livrable explicite, tests positifs et négatifs ; aucune validation déduite de la seule présence de la fiche.</x:v>
      </x:c>
      <x:c r="J765" t="str">
        <x:v>https://github.com/darknigthmare/deadwall-last-enclosure/blob/f0ef5a2036d4876ae8f4d4477676da968a032d01/docs/codex/suivi-monde2026/INSPECTION_PHYSIQUE_2026.md</x:v>
      </x:c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En cours</x:v>
      </x:c>
      <x:c r="H766" t="str">
        <x:v>Production Codex</x:v>
      </x:c>
      <x:c r="I766" t="str">
        <x:v>Sources publiques identifiées ; unités en mètres ; emprise au sol distincte de la hauteur.</x:v>
      </x:c>
      <x:c r="J766" t="str">
        <x:v>https://github.com/darknigthmare/deadwall-last-enclosure/blob/f0ef5a2036d4876ae8f4d4477676da968a032d01/docs/codex/suivi-monde2026/PORTS_ILES_2026.md</x:v>
      </x:c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En cours</x:v>
      </x:c>
      <x:c r="H767" t="str">
        <x:v>Production Codex</x:v>
      </x:c>
      <x:c r="I767" t="str">
        <x:v>Livrable explicite, tests positifs et négatifs ; aucune validation déduite de la seule présence de la fiche.</x:v>
      </x:c>
      <x:c r="J767" t="str">
        <x:v>https://github.com/darknigthmare/deadwall-last-enclosure/blob/f0ef5a2036d4876ae8f4d4477676da968a032d01/docs/codex/suivi-monde2026/INSPECTION_PHYSIQUE_2026.md</x:v>
      </x:c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En cours</x:v>
      </x:c>
      <x:c r="H769" t="str">
        <x:v>Production Codex</x:v>
      </x:c>
      <x:c r="I769" t="str">
        <x:v>Livrable explicite, tests positifs et négatifs ; aucune validation déduite de la seule présence de la fiche.</x:v>
      </x:c>
      <x:c r="J769" t="str">
        <x:v>https://github.com/darknigthmare/deadwall-last-enclosure/blob/f0ef5a2036d4876ae8f4d4477676da968a032d01/docs/codex/suivi-monde2026/INSPECTION_PHYSIQUE_2026.md</x:v>
      </x:c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En cours</x:v>
      </x:c>
      <x:c r="H774" t="str">
        <x:v>Production Codex</x:v>
      </x:c>
      <x:c r="I774" t="str">
        <x:v>Livrable explicite, tests positifs et négatifs ; aucune validation déduite de la seule présence de la fiche.</x:v>
      </x:c>
      <x:c r="J774" t="str">
        <x:v>https://github.com/darknigthmare/deadwall-last-enclosure/blob/f0ef5a2036d4876ae8f4d4477676da968a032d01/docs/codex/suivi-monde2026/INSPECTION_PHYSIQUE_2026.md</x:v>
      </x:c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En cours</x:v>
      </x:c>
      <x:c r="H775" t="str">
        <x:v>Production Codex</x:v>
      </x:c>
      <x:c r="I775" t="str">
        <x:v>Livrable explicite, tests positifs et négatifs ; aucune validation déduite de la seule présence de la fiche.</x:v>
      </x:c>
      <x:c r="J775" t="str">
        <x:v>https://github.com/darknigthmare/deadwall-last-enclosure/blob/f0ef5a2036d4876ae8f4d4477676da968a032d01/docs/codex/suivi-monde2026/INSPECTION_PHYSIQUE_2026.md</x:v>
      </x:c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En cours</x:v>
      </x:c>
      <x:c r="H776" t="str">
        <x:v>Production Codex</x:v>
      </x:c>
      <x:c r="I776" t="str">
        <x:v>Sources publiques identifiées ; unités en mètres ; emprise au sol distincte de la hauteur.</x:v>
      </x:c>
      <x:c r="J776" t="str">
        <x:v>https://github.com/darknigthmare/deadwall-last-enclosure/blob/f0ef5a2036d4876ae8f4d4477676da968a032d01/docs/codex/suivi-monde2026/PORTS_ILES_2026.md</x:v>
      </x:c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En cours</x:v>
      </x:c>
      <x:c r="H777" t="str">
        <x:v>Production Codex</x:v>
      </x:c>
      <x:c r="I777" t="str">
        <x:v>Livrable explicite, tests positifs et négatifs ; aucune validation déduite de la seule présence de la fiche.</x:v>
      </x:c>
      <x:c r="J777" t="str">
        <x:v>https://github.com/darknigthmare/deadwall-last-enclosure/blob/f0ef5a2036d4876ae8f4d4477676da968a032d01/docs/codex/suivi-monde2026/INSPECTION_PHYSIQUE_2026.md</x:v>
      </x:c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En cours</x:v>
      </x:c>
      <x:c r="H779" t="str">
        <x:v>Production Codex</x:v>
      </x:c>
      <x:c r="I779" t="str">
        <x:v>Livrable explicite, tests positifs et négatifs ; aucune validation déduite de la seule présence de la fiche.</x:v>
      </x:c>
      <x:c r="J779" t="str">
        <x:v>https://github.com/darknigthmare/deadwall-last-enclosure/blob/f0ef5a2036d4876ae8f4d4477676da968a032d01/docs/codex/suivi-monde2026/INSPECTION_PHYSIQUE_2026.md</x:v>
      </x:c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En cours</x:v>
      </x:c>
      <x:c r="H784" t="str">
        <x:v>Production Codex</x:v>
      </x:c>
      <x:c r="I784" t="str">
        <x:v>Livrable explicite, tests positifs et négatifs ; aucune validation déduite de la seule présence de la fiche.</x:v>
      </x:c>
      <x:c r="J784" t="str">
        <x:v>https://github.com/darknigthmare/deadwall-last-enclosure/blob/f0ef5a2036d4876ae8f4d4477676da968a032d01/docs/codex/suivi-monde2026/INSPECTION_PHYSIQUE_2026.md</x:v>
      </x:c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En cours</x:v>
      </x:c>
      <x:c r="H785" t="str">
        <x:v>Production Codex</x:v>
      </x:c>
      <x:c r="I785" t="str">
        <x:v>Livrable explicite, tests positifs et négatifs ; aucune validation déduite de la seule présence de la fiche.</x:v>
      </x:c>
      <x:c r="J785" t="str">
        <x:v>https://github.com/darknigthmare/deadwall-last-enclosure/blob/f0ef5a2036d4876ae8f4d4477676da968a032d01/docs/codex/suivi-monde2026/INSPECTION_PHYSIQUE_2026.md</x:v>
      </x:c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En cours</x:v>
      </x:c>
      <x:c r="H786" t="str">
        <x:v>Production Codex</x:v>
      </x:c>
      <x:c r="I786" t="str">
        <x:v>Sources publiques identifiées ; unités en mètres ; emprise au sol distincte de la hauteur.</x:v>
      </x:c>
      <x:c r="J786" t="str">
        <x:v>https://github.com/darknigthmare/deadwall-last-enclosure/blob/f0ef5a2036d4876ae8f4d4477676da968a032d01/docs/codex/suivi-monde2026/PORTS_ILES_2026.md</x:v>
      </x:c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En cours</x:v>
      </x:c>
      <x:c r="H787" t="str">
        <x:v>Production Codex</x:v>
      </x:c>
      <x:c r="I787" t="str">
        <x:v>Livrable explicite, tests positifs et négatifs ; aucune validation déduite de la seule présence de la fiche.</x:v>
      </x:c>
      <x:c r="J787" t="str">
        <x:v>https://github.com/darknigthmare/deadwall-last-enclosure/blob/f0ef5a2036d4876ae8f4d4477676da968a032d01/docs/codex/suivi-monde2026/INSPECTION_PHYSIQUE_2026.md</x:v>
      </x:c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En cours</x:v>
      </x:c>
      <x:c r="H789" t="str">
        <x:v>Production Codex</x:v>
      </x:c>
      <x:c r="I789" t="str">
        <x:v>Livrable explicite, tests positifs et négatifs ; aucune validation déduite de la seule présence de la fiche.</x:v>
      </x:c>
      <x:c r="J789" t="str">
        <x:v>https://github.com/darknigthmare/deadwall-last-enclosure/blob/f0ef5a2036d4876ae8f4d4477676da968a032d01/docs/codex/suivi-monde2026/INSPECTION_PHYSIQUE_2026.md</x:v>
      </x:c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En cours</x:v>
      </x:c>
      <x:c r="H794" t="str">
        <x:v>Production Codex</x:v>
      </x:c>
      <x:c r="I794" t="str">
        <x:v>Livrable explicite, tests positifs et négatifs ; aucune validation déduite de la seule présence de la fiche.</x:v>
      </x:c>
      <x:c r="J794" t="str">
        <x:v>https://github.com/darknigthmare/deadwall-last-enclosure/blob/f0ef5a2036d4876ae8f4d4477676da968a032d01/docs/codex/suivi-monde2026/INSPECTION_PHYSIQUE_2026.md</x:v>
      </x:c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En cours</x:v>
      </x:c>
      <x:c r="H795" t="str">
        <x:v>Production Codex</x:v>
      </x:c>
      <x:c r="I795" t="str">
        <x:v>Livrable explicite, tests positifs et négatifs ; aucune validation déduite de la seule présence de la fiche.</x:v>
      </x:c>
      <x:c r="J795" t="str">
        <x:v>https://github.com/darknigthmare/deadwall-last-enclosure/blob/f0ef5a2036d4876ae8f4d4477676da968a032d01/docs/codex/suivi-monde2026/INSPECTION_PHYSIQUE_2026.md</x:v>
      </x:c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En cours</x:v>
      </x:c>
      <x:c r="H796" t="str">
        <x:v>Production Codex</x:v>
      </x:c>
      <x:c r="I796" t="str">
        <x:v>Sources publiques identifiées ; unités en mètres ; emprise au sol distincte de la hauteur.</x:v>
      </x:c>
      <x:c r="J796" t="str">
        <x:v>https://github.com/darknigthmare/deadwall-last-enclosure/blob/f0ef5a2036d4876ae8f4d4477676da968a032d01/docs/codex/suivi-monde2026/PORTS_ILES_2026.md</x:v>
      </x:c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En cours</x:v>
      </x:c>
      <x:c r="H797" t="str">
        <x:v>Production Codex</x:v>
      </x:c>
      <x:c r="I797" t="str">
        <x:v>Livrable explicite, tests positifs et négatifs ; aucune validation déduite de la seule présence de la fiche.</x:v>
      </x:c>
      <x:c r="J797" t="str">
        <x:v>https://github.com/darknigthmare/deadwall-last-enclosure/blob/f0ef5a2036d4876ae8f4d4477676da968a032d01/docs/codex/suivi-monde2026/INSPECTION_PHYSIQUE_2026.md</x:v>
      </x:c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En cours</x:v>
      </x:c>
      <x:c r="H799" t="str">
        <x:v>Production Codex</x:v>
      </x:c>
      <x:c r="I799" t="str">
        <x:v>Livrable explicite, tests positifs et négatifs ; aucune validation déduite de la seule présence de la fiche.</x:v>
      </x:c>
      <x:c r="J799" t="str">
        <x:v>https://github.com/darknigthmare/deadwall-last-enclosure/blob/f0ef5a2036d4876ae8f4d4477676da968a032d01/docs/codex/suivi-monde2026/INSPECTION_PHYSIQUE_2026.md</x:v>
      </x:c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En cours</x:v>
      </x:c>
      <x:c r="H804" t="str">
        <x:v>Production Codex</x:v>
      </x:c>
      <x:c r="I804" t="str">
        <x:v>Livrable explicite, tests positifs et négatifs ; aucune validation déduite de la seule présence de la fiche.</x:v>
      </x:c>
      <x:c r="J804" t="str">
        <x:v>https://github.com/darknigthmare/deadwall-last-enclosure/blob/f0ef5a2036d4876ae8f4d4477676da968a032d01/docs/codex/suivi-monde2026/INSPECTION_PHYSIQUE_2026.md</x:v>
      </x:c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En cours</x:v>
      </x:c>
      <x:c r="H805" t="str">
        <x:v>Production Codex</x:v>
      </x:c>
      <x:c r="I805" t="str">
        <x:v>Livrable explicite, tests positifs et négatifs ; aucune validation déduite de la seule présence de la fiche.</x:v>
      </x:c>
      <x:c r="J805" t="str">
        <x:v>https://github.com/darknigthmare/deadwall-last-enclosure/blob/f0ef5a2036d4876ae8f4d4477676da968a032d01/docs/codex/suivi-monde2026/INSPECTION_PHYSIQUE_2026.md</x:v>
      </x:c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538fb0ccea41a6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50756497123d429d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f1c3b978edf7435d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1284b07404ef4db1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#18.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2026-10-23</x:v>
      </x:c>
      <x:c r="C6" s="124" t="str">
        <x:v>main</x:v>
      </x:c>
      <x:c r="D6" s="124" t="str">
        <x:v>8288178946a189cf5857433b71b9ece8b3379689</x:v>
      </x:c>
      <x:c r="E6" s="124" t="str">
        <x:v>DEADWALL 1.70.0 conservé</x:v>
      </x:c>
    </x:row>
    <x:row r="7" ht="70" customHeight="1">
      <x:c r="A7" s="124" t="str">
        <x:v>Sources de cette reprise</x:v>
      </x:c>
      <x:c r="B7" s="124" t="str">
        <x:v>f0ef5a2036d4876ae8f4d4477676da968a032d01</x:v>
      </x:c>
      <x:c r="C7" s="124" t="str">
        <x:v>PR #18</x:v>
      </x:c>
      <x:c r="D7" s="124" t="str">
        <x:v>https://github.com/darknigthmare/deadwall-last-enclosure/pull/18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Actualisé dans le dépôt</x:v>
      </x:c>
      <x:c r="C9" s="124" t="str">
        <x:v>Fichier XLSX</x:v>
      </x:c>
      <x:c r="D9" s="124" t="str">
        <x:v>docs/codex/suivi-monde2026/DEADWALL_CODEX_MONDE_SUIVI.xlsx</x:v>
      </x:c>
      <x:c r="E9" s="124" t="str">
        <x:v>Copie du dépôt actualisée ; le fichier Drive original reste inchangé, sans synchronisation distante revendiquée.</x:v>
      </x:c>
    </x:row>
    <x:row r="10" ht="70" customHeight="1">
      <x:c r="A10" s="124" t="str">
        <x:v>Validation ciblée</x:v>
      </x:c>
      <x:c r="B10" s="124" t="str">
        <x:v>4 000 / 4 000 inspections acceptées ; 414 contrôles navigateur du Guide ; 42 hors ligne</x:v>
      </x:c>
      <x:c r="C10" s="124" t="str">
        <x:v>Contrôles ciblés</x:v>
      </x:c>
      <x:c r="D10" s="124" t="str">
        <x:v>Rapport c671887ef1bab08224073868e9f1da563bce562cfbe7400289e7a7fe316b37d7 ; 29 sources vérifiées ; 162 460 pièces meublées, 583 708 équipements, zéro refus sur les 2 050 nouveaux plans.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Qualification du commit final distincte</x:v>
      </x:c>
      <x:c r="C11" s="124" t="str">
        <x:v>npm run check</x:v>
      </x:c>
      <x:c r="D11" s="124" t="str">
        <x:v>Le contrôle intégral et les parcours navigateur sont qualifiés séparément sur le commit livré. Le succès 1.70 reste historique.</x:v>
      </x:c>
      <x:c r="E11" s="124" t="str">
        <x:v>Voir la CI du commit final ; aucun succès déduit du catalogue</x:v>
      </x:c>
    </x:row>
    <x:row r="12" ht="70" customHeight="1">
      <x:c r="A12" s="124" t="str">
        <x:v>Contenu nouveau jouable</x:v>
      </x:c>
      <x:c r="B12" s="124" t="n">
        <x:v>0</x:v>
      </x:c>
      <x:c r="C12" s="124" t="str">
        <x:v>Architecture / campagne</x:v>
      </x:c>
      <x:c r="D12" s="124" t="str">
        <x:v>Inspection auteur seulement ; 0 nouvelle variante campagne, aucun stock ou service créé par consultation.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Nouvelle passe 1.71</x:v>
      </x:c>
      <x:c r="C13" s="124" t="str">
        <x:v>Fusion / déploiement</x:v>
      </x:c>
      <x:c r="D13" s="124" t="str">
        <x:v>Les résultats de qualification du commit final et du déploiement sont consignés séparément dans la PR #18.</x:v>
      </x:c>
      <x:c r="E13" s="124" t="str">
        <x:v>Livraison 1.71 ; qualification complète et publication tracées dans la PR #18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8bf815c3c25a4e33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ee7b8e6318dd45b9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306291189d8c4324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189" t="str">
        <x:v>AVANCEMENT DES 80 TYPOLOGIES</x:v>
      </x:c>
      <x:c r="B1" s="189"/>
      <x:c r="C1" s="189"/>
      <x:c r="D1" s="189"/>
      <x:c r="E1" s="189"/>
      <x:c r="F1" s="189"/>
      <x:c r="G1" s="189"/>
      <x:c r="H1" s="189"/>
      <x:c r="I1" s="189"/>
      <x:c r="J1" s="189"/>
      <x:c r="K1" s="189"/>
      <x:c r="L1" s="189"/>
      <x:c r="M1" s="189"/>
      <x:c r="N1" s="189"/>
    </x:row>
    <x:row r="2" ht="26" customHeight="1">
      <x:c r="A2" s="189"/>
      <x:c r="B2" s="189"/>
      <x:c r="C2" s="189"/>
      <x:c r="D2" s="189"/>
      <x:c r="E2" s="189"/>
      <x:c r="F2" s="189"/>
      <x:c r="G2" s="189"/>
      <x:c r="H2" s="189"/>
      <x:c r="I2" s="189"/>
      <x:c r="J2" s="189"/>
      <x:c r="K2" s="189"/>
      <x:c r="L2" s="189"/>
      <x:c r="M2" s="189"/>
      <x:c r="N2" s="189"/>
    </x:row>
    <x:row r="3" ht="26" customHeight="1">
      <x:c r="A3" s="190" t="str">
        <x:v>Les étapes sont reliées aux 800 tâches. Un prototype inspectable ne termine pas automatiquement les étapes de campagne.</x:v>
      </x:c>
      <x:c r="B3" s="190"/>
      <x:c r="C3" s="190"/>
      <x:c r="D3" s="190"/>
      <x:c r="E3" s="190"/>
      <x:c r="F3" s="190"/>
      <x:c r="G3" s="190"/>
      <x:c r="H3" s="190"/>
      <x:c r="I3" s="190"/>
      <x:c r="J3" s="190"/>
      <x:c r="K3" s="190"/>
      <x:c r="L3" s="190"/>
      <x:c r="M3" s="190"/>
      <x:c r="N3" s="190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192" t="str">
        <x:v>ID typologie</x:v>
      </x:c>
      <x:c r="B5" s="192" t="str">
        <x:v>Typologie</x:v>
      </x:c>
      <x:c r="C5" s="192" t="str">
        <x:v>Dimensions</x:v>
      </x:c>
      <x:c r="D5" s="192" t="str">
        <x:v>Architecture</x:v>
      </x:c>
      <x:c r="E5" s="192" t="str">
        <x:v>Seed</x:v>
      </x:c>
      <x:c r="F5" s="192" t="str">
        <x:v>Objets</x:v>
      </x:c>
      <x:c r="G5" s="192" t="str">
        <x:v>Butin</x:v>
      </x:c>
      <x:c r="H5" s="192" t="str">
        <x:v>Rencontres</x:v>
      </x:c>
      <x:c r="I5" s="192" t="str">
        <x:v>Services</x:v>
      </x:c>
      <x:c r="J5" s="192" t="str">
        <x:v>Graphismes</x:v>
      </x:c>
      <x:c r="K5" s="192" t="str">
        <x:v>Sauvegarde</x:v>
      </x:c>
      <x:c r="L5" s="192" t="str">
        <x:v>QA</x:v>
      </x:c>
      <x:c r="M5" s="192" t="str">
        <x:v>Validées</x:v>
      </x:c>
      <x:c r="N5" s="192" t="str">
        <x:v>Restantes</x:v>
      </x:c>
    </x:row>
    <x:row r="6" ht="34" customHeight="1">
      <x:c r="A6" s="193" t="str">
        <x:v>EXT-MONDE-T001</x:v>
      </x:c>
      <x:c r="B6" s="194" t="str">
        <x:v>Base nautique lacustre</x:v>
      </x:c>
      <x:c r="C6" s="193" t="str">
        <x:f>INDEX(Chantiers!$G$6:$G$805,MATCH($A6&amp;"/dimensions",Chantiers!$A$6:$A$805,0))</x:f>
        <x:v>En cours</x:v>
      </x:c>
      <x:c r="D6" s="193" t="str">
        <x:f>INDEX(Chantiers!$G$6:$G$805,MATCH($A6&amp;"/architecture",Chantiers!$A$6:$A$805,0))</x:f>
        <x:v>En cours</x:v>
      </x:c>
      <x:c r="E6" s="193" t="str">
        <x:f>INDEX(Chantiers!$G$6:$G$805,MATCH($A6&amp;"/seed",Chantiers!$A$6:$A$805,0))</x:f>
        <x:v>À faire</x:v>
      </x:c>
      <x:c r="F6" s="193" t="str">
        <x:f>INDEX(Chantiers!$G$6:$G$805,MATCH($A6&amp;"/props",Chantiers!$A$6:$A$805,0))</x:f>
        <x:v>En cours</x:v>
      </x:c>
      <x:c r="G6" s="193" t="str">
        <x:f>INDEX(Chantiers!$G$6:$G$805,MATCH($A6&amp;"/loot",Chantiers!$A$6:$A$805,0))</x:f>
        <x:v>À faire</x:v>
      </x:c>
      <x:c r="H6" s="193" t="str">
        <x:f>INDEX(Chantiers!$G$6:$G$805,MATCH($A6&amp;"/rencontres",Chantiers!$A$6:$A$805,0))</x:f>
        <x:v>À faire</x:v>
      </x:c>
      <x:c r="I6" s="193" t="str">
        <x:f>INDEX(Chantiers!$G$6:$G$805,MATCH($A6&amp;"/services",Chantiers!$A$6:$A$805,0))</x:f>
        <x:v>À faire</x:v>
      </x:c>
      <x:c r="J6" s="193" t="str">
        <x:f>INDEX(Chantiers!$G$6:$G$805,MATCH($A6&amp;"/art",Chantiers!$A$6:$A$805,0))</x:f>
        <x:v>À faire</x:v>
      </x:c>
      <x:c r="K6" s="193" t="str">
        <x:f>INDEX(Chantiers!$G$6:$G$805,MATCH($A6&amp;"/sauvegarde",Chantiers!$A$6:$A$805,0))</x:f>
        <x:v>En cours</x:v>
      </x:c>
      <x:c r="L6" s="193" t="str">
        <x:f>INDEX(Chantiers!$G$6:$G$805,MATCH($A6&amp;"/qa",Chantiers!$A$6:$A$805,0))</x:f>
        <x:v>En cours</x:v>
      </x:c>
      <x:c r="M6" s="193" t="n">
        <x:f>COUNTIF(C6:L6,"Validé")</x:f>
        <x:v>0</x:v>
      </x:c>
      <x:c r="N6" s="193" t="n">
        <x:f>COLUMNS(C6:L6)-M6</x:f>
        <x:v>10</x:v>
      </x:c>
    </x:row>
    <x:row r="7" ht="34" customHeight="1">
      <x:c r="A7" s="193" t="str">
        <x:v>EXT-MONDE-T002</x:v>
      </x:c>
      <x:c r="B7" s="194" t="str">
        <x:v>Village de pêche lacustre</x:v>
      </x:c>
      <x:c r="C7" s="193" t="str">
        <x:f>INDEX(Chantiers!$G$6:$G$805,MATCH($A7&amp;"/dimensions",Chantiers!$A$6:$A$805,0))</x:f>
        <x:v>En cours</x:v>
      </x:c>
      <x:c r="D7" s="193" t="str">
        <x:f>INDEX(Chantiers!$G$6:$G$805,MATCH($A7&amp;"/architecture",Chantiers!$A$6:$A$805,0))</x:f>
        <x:v>En cours</x:v>
      </x:c>
      <x:c r="E7" s="193" t="str">
        <x:f>INDEX(Chantiers!$G$6:$G$805,MATCH($A7&amp;"/seed",Chantiers!$A$6:$A$805,0))</x:f>
        <x:v>À faire</x:v>
      </x:c>
      <x:c r="F7" s="193" t="str">
        <x:f>INDEX(Chantiers!$G$6:$G$805,MATCH($A7&amp;"/props",Chantiers!$A$6:$A$805,0))</x:f>
        <x:v>En cours</x:v>
      </x:c>
      <x:c r="G7" s="193" t="str">
        <x:f>INDEX(Chantiers!$G$6:$G$805,MATCH($A7&amp;"/loot",Chantiers!$A$6:$A$805,0))</x:f>
        <x:v>À faire</x:v>
      </x:c>
      <x:c r="H7" s="193" t="str">
        <x:f>INDEX(Chantiers!$G$6:$G$805,MATCH($A7&amp;"/rencontres",Chantiers!$A$6:$A$805,0))</x:f>
        <x:v>À faire</x:v>
      </x:c>
      <x:c r="I7" s="193" t="str">
        <x:f>INDEX(Chantiers!$G$6:$G$805,MATCH($A7&amp;"/services",Chantiers!$A$6:$A$805,0))</x:f>
        <x:v>À faire</x:v>
      </x:c>
      <x:c r="J7" s="193" t="str">
        <x:f>INDEX(Chantiers!$G$6:$G$805,MATCH($A7&amp;"/art",Chantiers!$A$6:$A$805,0))</x:f>
        <x:v>À faire</x:v>
      </x:c>
      <x:c r="K7" s="193" t="str">
        <x:f>INDEX(Chantiers!$G$6:$G$805,MATCH($A7&amp;"/sauvegarde",Chantiers!$A$6:$A$805,0))</x:f>
        <x:v>En cours</x:v>
      </x:c>
      <x:c r="L7" s="193" t="str">
        <x:f>INDEX(Chantiers!$G$6:$G$805,MATCH($A7&amp;"/qa",Chantiers!$A$6:$A$805,0))</x:f>
        <x:v>En cours</x:v>
      </x:c>
      <x:c r="M7" s="193" t="n">
        <x:f>COUNTIF(C7:L7,"Validé")</x:f>
        <x:v>0</x:v>
      </x:c>
      <x:c r="N7" s="193" t="n">
        <x:f>COLUMNS(C7:L7)-M7</x:f>
        <x:v>10</x:v>
      </x:c>
    </x:row>
    <x:row r="8" ht="34" customHeight="1">
      <x:c r="A8" s="193" t="str">
        <x:v>EXT-MONDE-T003</x:v>
      </x:c>
      <x:c r="B8" s="194" t="str">
        <x:v>Station limnologique</x:v>
      </x:c>
      <x:c r="C8" s="193" t="str">
        <x:f>INDEX(Chantiers!$G$6:$G$805,MATCH($A8&amp;"/dimensions",Chantiers!$A$6:$A$805,0))</x:f>
        <x:v>En cours</x:v>
      </x:c>
      <x:c r="D8" s="193" t="str">
        <x:f>INDEX(Chantiers!$G$6:$G$805,MATCH($A8&amp;"/architecture",Chantiers!$A$6:$A$805,0))</x:f>
        <x:v>En cours</x:v>
      </x:c>
      <x:c r="E8" s="193" t="str">
        <x:f>INDEX(Chantiers!$G$6:$G$805,MATCH($A8&amp;"/seed",Chantiers!$A$6:$A$805,0))</x:f>
        <x:v>À faire</x:v>
      </x:c>
      <x:c r="F8" s="193" t="str">
        <x:f>INDEX(Chantiers!$G$6:$G$805,MATCH($A8&amp;"/props",Chantiers!$A$6:$A$805,0))</x:f>
        <x:v>En cours</x:v>
      </x:c>
      <x:c r="G8" s="193" t="str">
        <x:f>INDEX(Chantiers!$G$6:$G$805,MATCH($A8&amp;"/loot",Chantiers!$A$6:$A$805,0))</x:f>
        <x:v>À faire</x:v>
      </x:c>
      <x:c r="H8" s="193" t="str">
        <x:f>INDEX(Chantiers!$G$6:$G$805,MATCH($A8&amp;"/rencontres",Chantiers!$A$6:$A$805,0))</x:f>
        <x:v>À faire</x:v>
      </x:c>
      <x:c r="I8" s="193" t="str">
        <x:f>INDEX(Chantiers!$G$6:$G$805,MATCH($A8&amp;"/services",Chantiers!$A$6:$A$805,0))</x:f>
        <x:v>À faire</x:v>
      </x:c>
      <x:c r="J8" s="193" t="str">
        <x:f>INDEX(Chantiers!$G$6:$G$805,MATCH($A8&amp;"/art",Chantiers!$A$6:$A$805,0))</x:f>
        <x:v>À faire</x:v>
      </x:c>
      <x:c r="K8" s="193" t="str">
        <x:f>INDEX(Chantiers!$G$6:$G$805,MATCH($A8&amp;"/sauvegarde",Chantiers!$A$6:$A$805,0))</x:f>
        <x:v>En cours</x:v>
      </x:c>
      <x:c r="L8" s="193" t="str">
        <x:f>INDEX(Chantiers!$G$6:$G$805,MATCH($A8&amp;"/qa",Chantiers!$A$6:$A$805,0))</x:f>
        <x:v>En cours</x:v>
      </x:c>
      <x:c r="M8" s="193" t="n">
        <x:f>COUNTIF(C8:L8,"Validé")</x:f>
        <x:v>0</x:v>
      </x:c>
      <x:c r="N8" s="193" t="n">
        <x:f>COLUMNS(C8:L8)-M8</x:f>
        <x:v>10</x:v>
      </x:c>
    </x:row>
    <x:row r="9" ht="34" customHeight="1">
      <x:c r="A9" s="193" t="str">
        <x:v>EXT-MONDE-T004</x:v>
      </x:c>
      <x:c r="B9" s="194" t="str">
        <x:v>Camping de rive</x:v>
      </x:c>
      <x:c r="C9" s="193" t="str">
        <x:f>INDEX(Chantiers!$G$6:$G$805,MATCH($A9&amp;"/dimensions",Chantiers!$A$6:$A$805,0))</x:f>
        <x:v>En cours</x:v>
      </x:c>
      <x:c r="D9" s="193" t="str">
        <x:f>INDEX(Chantiers!$G$6:$G$805,MATCH($A9&amp;"/architecture",Chantiers!$A$6:$A$805,0))</x:f>
        <x:v>En cours</x:v>
      </x:c>
      <x:c r="E9" s="193" t="str">
        <x:f>INDEX(Chantiers!$G$6:$G$805,MATCH($A9&amp;"/seed",Chantiers!$A$6:$A$805,0))</x:f>
        <x:v>À faire</x:v>
      </x:c>
      <x:c r="F9" s="193" t="str">
        <x:f>INDEX(Chantiers!$G$6:$G$805,MATCH($A9&amp;"/props",Chantiers!$A$6:$A$805,0))</x:f>
        <x:v>En cours</x:v>
      </x:c>
      <x:c r="G9" s="193" t="str">
        <x:f>INDEX(Chantiers!$G$6:$G$805,MATCH($A9&amp;"/loot",Chantiers!$A$6:$A$805,0))</x:f>
        <x:v>À faire</x:v>
      </x:c>
      <x:c r="H9" s="193" t="str">
        <x:f>INDEX(Chantiers!$G$6:$G$805,MATCH($A9&amp;"/rencontres",Chantiers!$A$6:$A$805,0))</x:f>
        <x:v>À faire</x:v>
      </x:c>
      <x:c r="I9" s="193" t="str">
        <x:f>INDEX(Chantiers!$G$6:$G$805,MATCH($A9&amp;"/services",Chantiers!$A$6:$A$805,0))</x:f>
        <x:v>À faire</x:v>
      </x:c>
      <x:c r="J9" s="193" t="str">
        <x:f>INDEX(Chantiers!$G$6:$G$805,MATCH($A9&amp;"/art",Chantiers!$A$6:$A$805,0))</x:f>
        <x:v>À faire</x:v>
      </x:c>
      <x:c r="K9" s="193" t="str">
        <x:f>INDEX(Chantiers!$G$6:$G$805,MATCH($A9&amp;"/sauvegarde",Chantiers!$A$6:$A$805,0))</x:f>
        <x:v>En cours</x:v>
      </x:c>
      <x:c r="L9" s="193" t="str">
        <x:f>INDEX(Chantiers!$G$6:$G$805,MATCH($A9&amp;"/qa",Chantiers!$A$6:$A$805,0))</x:f>
        <x:v>En cours</x:v>
      </x:c>
      <x:c r="M9" s="193" t="n">
        <x:f>COUNTIF(C9:L9,"Validé")</x:f>
        <x:v>0</x:v>
      </x:c>
      <x:c r="N9" s="193" t="n">
        <x:f>COLUMNS(C9:L9)-M9</x:f>
        <x:v>10</x:v>
      </x:c>
    </x:row>
    <x:row r="10" ht="34" customHeight="1">
      <x:c r="A10" s="193" t="str">
        <x:v>EXT-MONDE-T005</x:v>
      </x:c>
      <x:c r="B10" s="194" t="str">
        <x:v>Cargo polyvalent</x:v>
      </x:c>
      <x:c r="C10" s="193" t="str">
        <x:f>INDEX(Chantiers!$G$6:$G$805,MATCH($A10&amp;"/dimensions",Chantiers!$A$6:$A$805,0))</x:f>
        <x:v>En cours</x:v>
      </x:c>
      <x:c r="D10" s="193" t="str">
        <x:f>INDEX(Chantiers!$G$6:$G$805,MATCH($A10&amp;"/architecture",Chantiers!$A$6:$A$805,0))</x:f>
        <x:v>En cours</x:v>
      </x:c>
      <x:c r="E10" s="193" t="str">
        <x:f>INDEX(Chantiers!$G$6:$G$805,MATCH($A10&amp;"/seed",Chantiers!$A$6:$A$805,0))</x:f>
        <x:v>À faire</x:v>
      </x:c>
      <x:c r="F10" s="193" t="str">
        <x:f>INDEX(Chantiers!$G$6:$G$805,MATCH($A10&amp;"/props",Chantiers!$A$6:$A$805,0))</x:f>
        <x:v>En cours</x:v>
      </x:c>
      <x:c r="G10" s="193" t="str">
        <x:f>INDEX(Chantiers!$G$6:$G$805,MATCH($A10&amp;"/loot",Chantiers!$A$6:$A$805,0))</x:f>
        <x:v>À faire</x:v>
      </x:c>
      <x:c r="H10" s="193" t="str">
        <x:f>INDEX(Chantiers!$G$6:$G$805,MATCH($A10&amp;"/rencontres",Chantiers!$A$6:$A$805,0))</x:f>
        <x:v>À faire</x:v>
      </x:c>
      <x:c r="I10" s="193" t="str">
        <x:f>INDEX(Chantiers!$G$6:$G$805,MATCH($A10&amp;"/services",Chantiers!$A$6:$A$805,0))</x:f>
        <x:v>À faire</x:v>
      </x:c>
      <x:c r="J10" s="193" t="str">
        <x:f>INDEX(Chantiers!$G$6:$G$805,MATCH($A10&amp;"/art",Chantiers!$A$6:$A$805,0))</x:f>
        <x:v>À faire</x:v>
      </x:c>
      <x:c r="K10" s="193" t="str">
        <x:f>INDEX(Chantiers!$G$6:$G$805,MATCH($A10&amp;"/sauvegarde",Chantiers!$A$6:$A$805,0))</x:f>
        <x:v>En cours</x:v>
      </x:c>
      <x:c r="L10" s="193" t="str">
        <x:f>INDEX(Chantiers!$G$6:$G$805,MATCH($A10&amp;"/qa",Chantiers!$A$6:$A$805,0))</x:f>
        <x:v>En cours</x:v>
      </x:c>
      <x:c r="M10" s="193" t="n">
        <x:f>COUNTIF(C10:L10,"Validé")</x:f>
        <x:v>0</x:v>
      </x:c>
      <x:c r="N10" s="193" t="n">
        <x:f>COLUMNS(C10:L10)-M10</x:f>
        <x:v>10</x:v>
      </x:c>
    </x:row>
    <x:row r="11" ht="34" customHeight="1">
      <x:c r="A11" s="193" t="str">
        <x:v>EXT-MONDE-T006</x:v>
      </x:c>
      <x:c r="B11" s="194" t="str">
        <x:v>Pétrolier océanique</x:v>
      </x:c>
      <x:c r="C11" s="193" t="str">
        <x:f>INDEX(Chantiers!$G$6:$G$805,MATCH($A11&amp;"/dimensions",Chantiers!$A$6:$A$805,0))</x:f>
        <x:v>En cours</x:v>
      </x:c>
      <x:c r="D11" s="193" t="str">
        <x:f>INDEX(Chantiers!$G$6:$G$805,MATCH($A11&amp;"/architecture",Chantiers!$A$6:$A$805,0))</x:f>
        <x:v>En cours</x:v>
      </x:c>
      <x:c r="E11" s="193" t="str">
        <x:f>INDEX(Chantiers!$G$6:$G$805,MATCH($A11&amp;"/seed",Chantiers!$A$6:$A$805,0))</x:f>
        <x:v>À faire</x:v>
      </x:c>
      <x:c r="F11" s="193" t="str">
        <x:f>INDEX(Chantiers!$G$6:$G$805,MATCH($A11&amp;"/props",Chantiers!$A$6:$A$805,0))</x:f>
        <x:v>En cours</x:v>
      </x:c>
      <x:c r="G11" s="193" t="str">
        <x:f>INDEX(Chantiers!$G$6:$G$805,MATCH($A11&amp;"/loot",Chantiers!$A$6:$A$805,0))</x:f>
        <x:v>À faire</x:v>
      </x:c>
      <x:c r="H11" s="193" t="str">
        <x:f>INDEX(Chantiers!$G$6:$G$805,MATCH($A11&amp;"/rencontres",Chantiers!$A$6:$A$805,0))</x:f>
        <x:v>À faire</x:v>
      </x:c>
      <x:c r="I11" s="193" t="str">
        <x:f>INDEX(Chantiers!$G$6:$G$805,MATCH($A11&amp;"/services",Chantiers!$A$6:$A$805,0))</x:f>
        <x:v>À faire</x:v>
      </x:c>
      <x:c r="J11" s="193" t="str">
        <x:f>INDEX(Chantiers!$G$6:$G$805,MATCH($A11&amp;"/art",Chantiers!$A$6:$A$805,0))</x:f>
        <x:v>À faire</x:v>
      </x:c>
      <x:c r="K11" s="193" t="str">
        <x:f>INDEX(Chantiers!$G$6:$G$805,MATCH($A11&amp;"/sauvegarde",Chantiers!$A$6:$A$805,0))</x:f>
        <x:v>En cours</x:v>
      </x:c>
      <x:c r="L11" s="193" t="str">
        <x:f>INDEX(Chantiers!$G$6:$G$805,MATCH($A11&amp;"/qa",Chantiers!$A$6:$A$805,0))</x:f>
        <x:v>En cours</x:v>
      </x:c>
      <x:c r="M11" s="193" t="n">
        <x:f>COUNTIF(C11:L11,"Validé")</x:f>
        <x:v>0</x:v>
      </x:c>
      <x:c r="N11" s="193" t="n">
        <x:f>COLUMNS(C11:L11)-M11</x:f>
        <x:v>10</x:v>
      </x:c>
    </x:row>
    <x:row r="12" ht="34" customHeight="1">
      <x:c r="A12" s="193" t="str">
        <x:v>EXT-MONDE-T007</x:v>
      </x:c>
      <x:c r="B12" s="194" t="str">
        <x:v>Croiseur militaire abandonné</x:v>
      </x:c>
      <x:c r="C12" s="193" t="str">
        <x:f>INDEX(Chantiers!$G$6:$G$805,MATCH($A12&amp;"/dimensions",Chantiers!$A$6:$A$805,0))</x:f>
        <x:v>En cours</x:v>
      </x:c>
      <x:c r="D12" s="193" t="str">
        <x:f>INDEX(Chantiers!$G$6:$G$805,MATCH($A12&amp;"/architecture",Chantiers!$A$6:$A$805,0))</x:f>
        <x:v>En cours</x:v>
      </x:c>
      <x:c r="E12" s="193" t="str">
        <x:f>INDEX(Chantiers!$G$6:$G$805,MATCH($A12&amp;"/seed",Chantiers!$A$6:$A$805,0))</x:f>
        <x:v>À faire</x:v>
      </x:c>
      <x:c r="F12" s="193" t="str">
        <x:f>INDEX(Chantiers!$G$6:$G$805,MATCH($A12&amp;"/props",Chantiers!$A$6:$A$805,0))</x:f>
        <x:v>En cours</x:v>
      </x:c>
      <x:c r="G12" s="193" t="str">
        <x:f>INDEX(Chantiers!$G$6:$G$805,MATCH($A12&amp;"/loot",Chantiers!$A$6:$A$805,0))</x:f>
        <x:v>À faire</x:v>
      </x:c>
      <x:c r="H12" s="193" t="str">
        <x:f>INDEX(Chantiers!$G$6:$G$805,MATCH($A12&amp;"/rencontres",Chantiers!$A$6:$A$805,0))</x:f>
        <x:v>À faire</x:v>
      </x:c>
      <x:c r="I12" s="193" t="str">
        <x:f>INDEX(Chantiers!$G$6:$G$805,MATCH($A12&amp;"/services",Chantiers!$A$6:$A$805,0))</x:f>
        <x:v>À faire</x:v>
      </x:c>
      <x:c r="J12" s="193" t="str">
        <x:f>INDEX(Chantiers!$G$6:$G$805,MATCH($A12&amp;"/art",Chantiers!$A$6:$A$805,0))</x:f>
        <x:v>À faire</x:v>
      </x:c>
      <x:c r="K12" s="193" t="str">
        <x:f>INDEX(Chantiers!$G$6:$G$805,MATCH($A12&amp;"/sauvegarde",Chantiers!$A$6:$A$805,0))</x:f>
        <x:v>En cours</x:v>
      </x:c>
      <x:c r="L12" s="193" t="str">
        <x:f>INDEX(Chantiers!$G$6:$G$805,MATCH($A12&amp;"/qa",Chantiers!$A$6:$A$805,0))</x:f>
        <x:v>En cours</x:v>
      </x:c>
      <x:c r="M12" s="193" t="n">
        <x:f>COUNTIF(C12:L12,"Validé")</x:f>
        <x:v>0</x:v>
      </x:c>
      <x:c r="N12" s="193" t="n">
        <x:f>COLUMNS(C12:L12)-M12</x:f>
        <x:v>10</x:v>
      </x:c>
    </x:row>
    <x:row r="13" ht="34" customHeight="1">
      <x:c r="A13" s="193" t="str">
        <x:v>EXT-MONDE-T008</x:v>
      </x:c>
      <x:c r="B13" s="194" t="str">
        <x:v>Sous-marin en surface</x:v>
      </x:c>
      <x:c r="C13" s="193" t="str">
        <x:f>INDEX(Chantiers!$G$6:$G$805,MATCH($A13&amp;"/dimensions",Chantiers!$A$6:$A$805,0))</x:f>
        <x:v>En cours</x:v>
      </x:c>
      <x:c r="D13" s="193" t="str">
        <x:f>INDEX(Chantiers!$G$6:$G$805,MATCH($A13&amp;"/architecture",Chantiers!$A$6:$A$805,0))</x:f>
        <x:v>En cours</x:v>
      </x:c>
      <x:c r="E13" s="193" t="str">
        <x:f>INDEX(Chantiers!$G$6:$G$805,MATCH($A13&amp;"/seed",Chantiers!$A$6:$A$805,0))</x:f>
        <x:v>À faire</x:v>
      </x:c>
      <x:c r="F13" s="193" t="str">
        <x:f>INDEX(Chantiers!$G$6:$G$805,MATCH($A13&amp;"/props",Chantiers!$A$6:$A$805,0))</x:f>
        <x:v>En cours</x:v>
      </x:c>
      <x:c r="G13" s="193" t="str">
        <x:f>INDEX(Chantiers!$G$6:$G$805,MATCH($A13&amp;"/loot",Chantiers!$A$6:$A$805,0))</x:f>
        <x:v>À faire</x:v>
      </x:c>
      <x:c r="H13" s="193" t="str">
        <x:f>INDEX(Chantiers!$G$6:$G$805,MATCH($A13&amp;"/rencontres",Chantiers!$A$6:$A$805,0))</x:f>
        <x:v>À faire</x:v>
      </x:c>
      <x:c r="I13" s="193" t="str">
        <x:f>INDEX(Chantiers!$G$6:$G$805,MATCH($A13&amp;"/services",Chantiers!$A$6:$A$805,0))</x:f>
        <x:v>À faire</x:v>
      </x:c>
      <x:c r="J13" s="193" t="str">
        <x:f>INDEX(Chantiers!$G$6:$G$805,MATCH($A13&amp;"/art",Chantiers!$A$6:$A$805,0))</x:f>
        <x:v>À faire</x:v>
      </x:c>
      <x:c r="K13" s="193" t="str">
        <x:f>INDEX(Chantiers!$G$6:$G$805,MATCH($A13&amp;"/sauvegarde",Chantiers!$A$6:$A$805,0))</x:f>
        <x:v>En cours</x:v>
      </x:c>
      <x:c r="L13" s="193" t="str">
        <x:f>INDEX(Chantiers!$G$6:$G$805,MATCH($A13&amp;"/qa",Chantiers!$A$6:$A$805,0))</x:f>
        <x:v>En cours</x:v>
      </x:c>
      <x:c r="M13" s="193" t="n">
        <x:f>COUNTIF(C13:L13,"Validé")</x:f>
        <x:v>0</x:v>
      </x:c>
      <x:c r="N13" s="193" t="n">
        <x:f>COLUMNS(C13:L13)-M13</x:f>
        <x:v>10</x:v>
      </x:c>
    </x:row>
    <x:row r="14" ht="34" customHeight="1">
      <x:c r="A14" s="193" t="str">
        <x:v>EXT-MONDE-T009</x:v>
      </x:c>
      <x:c r="B14" s="194" t="str">
        <x:v>Plateforme pétrolière fixe</x:v>
      </x:c>
      <x:c r="C14" s="193" t="str">
        <x:f>INDEX(Chantiers!$G$6:$G$805,MATCH($A14&amp;"/dimensions",Chantiers!$A$6:$A$805,0))</x:f>
        <x:v>En cours</x:v>
      </x:c>
      <x:c r="D14" s="193" t="str">
        <x:f>INDEX(Chantiers!$G$6:$G$805,MATCH($A14&amp;"/architecture",Chantiers!$A$6:$A$805,0))</x:f>
        <x:v>En cours</x:v>
      </x:c>
      <x:c r="E14" s="193" t="str">
        <x:f>INDEX(Chantiers!$G$6:$G$805,MATCH($A14&amp;"/seed",Chantiers!$A$6:$A$805,0))</x:f>
        <x:v>À faire</x:v>
      </x:c>
      <x:c r="F14" s="193" t="str">
        <x:f>INDEX(Chantiers!$G$6:$G$805,MATCH($A14&amp;"/props",Chantiers!$A$6:$A$805,0))</x:f>
        <x:v>En cours</x:v>
      </x:c>
      <x:c r="G14" s="193" t="str">
        <x:f>INDEX(Chantiers!$G$6:$G$805,MATCH($A14&amp;"/loot",Chantiers!$A$6:$A$805,0))</x:f>
        <x:v>À faire</x:v>
      </x:c>
      <x:c r="H14" s="193" t="str">
        <x:f>INDEX(Chantiers!$G$6:$G$805,MATCH($A14&amp;"/rencontres",Chantiers!$A$6:$A$805,0))</x:f>
        <x:v>À faire</x:v>
      </x:c>
      <x:c r="I14" s="193" t="str">
        <x:f>INDEX(Chantiers!$G$6:$G$805,MATCH($A14&amp;"/services",Chantiers!$A$6:$A$805,0))</x:f>
        <x:v>À faire</x:v>
      </x:c>
      <x:c r="J14" s="193" t="str">
        <x:f>INDEX(Chantiers!$G$6:$G$805,MATCH($A14&amp;"/art",Chantiers!$A$6:$A$805,0))</x:f>
        <x:v>À faire</x:v>
      </x:c>
      <x:c r="K14" s="193" t="str">
        <x:f>INDEX(Chantiers!$G$6:$G$805,MATCH($A14&amp;"/sauvegarde",Chantiers!$A$6:$A$805,0))</x:f>
        <x:v>En cours</x:v>
      </x:c>
      <x:c r="L14" s="193" t="str">
        <x:f>INDEX(Chantiers!$G$6:$G$805,MATCH($A14&amp;"/qa",Chantiers!$A$6:$A$805,0))</x:f>
        <x:v>En cours</x:v>
      </x:c>
      <x:c r="M14" s="193" t="n">
        <x:f>COUNTIF(C14:L14,"Validé")</x:f>
        <x:v>0</x:v>
      </x:c>
      <x:c r="N14" s="193" t="n">
        <x:f>COLUMNS(C14:L14)-M14</x:f>
        <x:v>10</x:v>
      </x:c>
    </x:row>
    <x:row r="15" ht="34" customHeight="1">
      <x:c r="A15" s="193" t="str">
        <x:v>EXT-MONDE-T010</x:v>
      </x:c>
      <x:c r="B15" s="194" t="str">
        <x:v>Plateforme semi-submersible</x:v>
      </x:c>
      <x:c r="C15" s="193" t="str">
        <x:f>INDEX(Chantiers!$G$6:$G$805,MATCH($A15&amp;"/dimensions",Chantiers!$A$6:$A$805,0))</x:f>
        <x:v>En cours</x:v>
      </x:c>
      <x:c r="D15" s="193" t="str">
        <x:f>INDEX(Chantiers!$G$6:$G$805,MATCH($A15&amp;"/architecture",Chantiers!$A$6:$A$805,0))</x:f>
        <x:v>En cours</x:v>
      </x:c>
      <x:c r="E15" s="193" t="str">
        <x:f>INDEX(Chantiers!$G$6:$G$805,MATCH($A15&amp;"/seed",Chantiers!$A$6:$A$805,0))</x:f>
        <x:v>À faire</x:v>
      </x:c>
      <x:c r="F15" s="193" t="str">
        <x:f>INDEX(Chantiers!$G$6:$G$805,MATCH($A15&amp;"/props",Chantiers!$A$6:$A$805,0))</x:f>
        <x:v>En cours</x:v>
      </x:c>
      <x:c r="G15" s="193" t="str">
        <x:f>INDEX(Chantiers!$G$6:$G$805,MATCH($A15&amp;"/loot",Chantiers!$A$6:$A$805,0))</x:f>
        <x:v>À faire</x:v>
      </x:c>
      <x:c r="H15" s="193" t="str">
        <x:f>INDEX(Chantiers!$G$6:$G$805,MATCH($A15&amp;"/rencontres",Chantiers!$A$6:$A$805,0))</x:f>
        <x:v>À faire</x:v>
      </x:c>
      <x:c r="I15" s="193" t="str">
        <x:f>INDEX(Chantiers!$G$6:$G$805,MATCH($A15&amp;"/services",Chantiers!$A$6:$A$805,0))</x:f>
        <x:v>À faire</x:v>
      </x:c>
      <x:c r="J15" s="193" t="str">
        <x:f>INDEX(Chantiers!$G$6:$G$805,MATCH($A15&amp;"/art",Chantiers!$A$6:$A$805,0))</x:f>
        <x:v>À faire</x:v>
      </x:c>
      <x:c r="K15" s="193" t="str">
        <x:f>INDEX(Chantiers!$G$6:$G$805,MATCH($A15&amp;"/sauvegarde",Chantiers!$A$6:$A$805,0))</x:f>
        <x:v>En cours</x:v>
      </x:c>
      <x:c r="L15" s="193" t="str">
        <x:f>INDEX(Chantiers!$G$6:$G$805,MATCH($A15&amp;"/qa",Chantiers!$A$6:$A$805,0))</x:f>
        <x:v>En cours</x:v>
      </x:c>
      <x:c r="M15" s="193" t="n">
        <x:f>COUNTIF(C15:L15,"Validé")</x:f>
        <x:v>0</x:v>
      </x:c>
      <x:c r="N15" s="193" t="n">
        <x:f>COLUMNS(C15:L15)-M15</x:f>
        <x:v>10</x:v>
      </x:c>
    </x:row>
    <x:row r="16" ht="34" customHeight="1">
      <x:c r="A16" s="193" t="str">
        <x:v>EXT-MONDE-T011</x:v>
      </x:c>
      <x:c r="B16" s="194" t="str">
        <x:v>Navire de soutien offshore</x:v>
      </x:c>
      <x:c r="C16" s="193" t="str">
        <x:f>INDEX(Chantiers!$G$6:$G$805,MATCH($A16&amp;"/dimensions",Chantiers!$A$6:$A$805,0))</x:f>
        <x:v>En cours</x:v>
      </x:c>
      <x:c r="D16" s="193" t="str">
        <x:f>INDEX(Chantiers!$G$6:$G$805,MATCH($A16&amp;"/architecture",Chantiers!$A$6:$A$805,0))</x:f>
        <x:v>En cours</x:v>
      </x:c>
      <x:c r="E16" s="193" t="str">
        <x:f>INDEX(Chantiers!$G$6:$G$805,MATCH($A16&amp;"/seed",Chantiers!$A$6:$A$805,0))</x:f>
        <x:v>À faire</x:v>
      </x:c>
      <x:c r="F16" s="193" t="str">
        <x:f>INDEX(Chantiers!$G$6:$G$805,MATCH($A16&amp;"/props",Chantiers!$A$6:$A$805,0))</x:f>
        <x:v>En cours</x:v>
      </x:c>
      <x:c r="G16" s="193" t="str">
        <x:f>INDEX(Chantiers!$G$6:$G$805,MATCH($A16&amp;"/loot",Chantiers!$A$6:$A$805,0))</x:f>
        <x:v>À faire</x:v>
      </x:c>
      <x:c r="H16" s="193" t="str">
        <x:f>INDEX(Chantiers!$G$6:$G$805,MATCH($A16&amp;"/rencontres",Chantiers!$A$6:$A$805,0))</x:f>
        <x:v>À faire</x:v>
      </x:c>
      <x:c r="I16" s="193" t="str">
        <x:f>INDEX(Chantiers!$G$6:$G$805,MATCH($A16&amp;"/services",Chantiers!$A$6:$A$805,0))</x:f>
        <x:v>À faire</x:v>
      </x:c>
      <x:c r="J16" s="193" t="str">
        <x:f>INDEX(Chantiers!$G$6:$G$805,MATCH($A16&amp;"/art",Chantiers!$A$6:$A$805,0))</x:f>
        <x:v>À faire</x:v>
      </x:c>
      <x:c r="K16" s="193" t="str">
        <x:f>INDEX(Chantiers!$G$6:$G$805,MATCH($A16&amp;"/sauvegarde",Chantiers!$A$6:$A$805,0))</x:f>
        <x:v>En cours</x:v>
      </x:c>
      <x:c r="L16" s="193" t="str">
        <x:f>INDEX(Chantiers!$G$6:$G$805,MATCH($A16&amp;"/qa",Chantiers!$A$6:$A$805,0))</x:f>
        <x:v>En cours</x:v>
      </x:c>
      <x:c r="M16" s="193" t="n">
        <x:f>COUNTIF(C16:L16,"Validé")</x:f>
        <x:v>0</x:v>
      </x:c>
      <x:c r="N16" s="193" t="n">
        <x:f>COLUMNS(C16:L16)-M16</x:f>
        <x:v>10</x:v>
      </x:c>
    </x:row>
    <x:row r="17" ht="34" customHeight="1">
      <x:c r="A17" s="193" t="str">
        <x:v>EXT-MONDE-T012</x:v>
      </x:c>
      <x:c r="B17" s="194" t="str">
        <x:v>Station scientifique marine</x:v>
      </x:c>
      <x:c r="C17" s="193" t="str">
        <x:f>INDEX(Chantiers!$G$6:$G$805,MATCH($A17&amp;"/dimensions",Chantiers!$A$6:$A$805,0))</x:f>
        <x:v>En cours</x:v>
      </x:c>
      <x:c r="D17" s="193" t="str">
        <x:f>INDEX(Chantiers!$G$6:$G$805,MATCH($A17&amp;"/architecture",Chantiers!$A$6:$A$805,0))</x:f>
        <x:v>En cours</x:v>
      </x:c>
      <x:c r="E17" s="193" t="str">
        <x:f>INDEX(Chantiers!$G$6:$G$805,MATCH($A17&amp;"/seed",Chantiers!$A$6:$A$805,0))</x:f>
        <x:v>À faire</x:v>
      </x:c>
      <x:c r="F17" s="193" t="str">
        <x:f>INDEX(Chantiers!$G$6:$G$805,MATCH($A17&amp;"/props",Chantiers!$A$6:$A$805,0))</x:f>
        <x:v>En cours</x:v>
      </x:c>
      <x:c r="G17" s="193" t="str">
        <x:f>INDEX(Chantiers!$G$6:$G$805,MATCH($A17&amp;"/loot",Chantiers!$A$6:$A$805,0))</x:f>
        <x:v>À faire</x:v>
      </x:c>
      <x:c r="H17" s="193" t="str">
        <x:f>INDEX(Chantiers!$G$6:$G$805,MATCH($A17&amp;"/rencontres",Chantiers!$A$6:$A$805,0))</x:f>
        <x:v>À faire</x:v>
      </x:c>
      <x:c r="I17" s="193" t="str">
        <x:f>INDEX(Chantiers!$G$6:$G$805,MATCH($A17&amp;"/services",Chantiers!$A$6:$A$805,0))</x:f>
        <x:v>À faire</x:v>
      </x:c>
      <x:c r="J17" s="193" t="str">
        <x:f>INDEX(Chantiers!$G$6:$G$805,MATCH($A17&amp;"/art",Chantiers!$A$6:$A$805,0))</x:f>
        <x:v>À faire</x:v>
      </x:c>
      <x:c r="K17" s="193" t="str">
        <x:f>INDEX(Chantiers!$G$6:$G$805,MATCH($A17&amp;"/sauvegarde",Chantiers!$A$6:$A$805,0))</x:f>
        <x:v>En cours</x:v>
      </x:c>
      <x:c r="L17" s="193" t="str">
        <x:f>INDEX(Chantiers!$G$6:$G$805,MATCH($A17&amp;"/qa",Chantiers!$A$6:$A$805,0))</x:f>
        <x:v>En cours</x:v>
      </x:c>
      <x:c r="M17" s="193" t="n">
        <x:f>COUNTIF(C17:L17,"Validé")</x:f>
        <x:v>0</x:v>
      </x:c>
      <x:c r="N17" s="193" t="n">
        <x:f>COLUMNS(C17:L17)-M17</x:f>
        <x:v>10</x:v>
      </x:c>
    </x:row>
    <x:row r="18" ht="34" customHeight="1">
      <x:c r="A18" s="193" t="str">
        <x:v>EXT-MONDE-T013</x:v>
      </x:c>
      <x:c r="B18" s="194" t="str">
        <x:v>Port de pêche</x:v>
      </x:c>
      <x:c r="C18" s="193" t="str">
        <x:f>INDEX(Chantiers!$G$6:$G$805,MATCH($A18&amp;"/dimensions",Chantiers!$A$6:$A$805,0))</x:f>
        <x:v>En cours</x:v>
      </x:c>
      <x:c r="D18" s="193" t="str">
        <x:f>INDEX(Chantiers!$G$6:$G$805,MATCH($A18&amp;"/architecture",Chantiers!$A$6:$A$805,0))</x:f>
        <x:v>En cours</x:v>
      </x:c>
      <x:c r="E18" s="193" t="str">
        <x:f>INDEX(Chantiers!$G$6:$G$805,MATCH($A18&amp;"/seed",Chantiers!$A$6:$A$805,0))</x:f>
        <x:v>À faire</x:v>
      </x:c>
      <x:c r="F18" s="193" t="str">
        <x:f>INDEX(Chantiers!$G$6:$G$805,MATCH($A18&amp;"/props",Chantiers!$A$6:$A$805,0))</x:f>
        <x:v>En cours</x:v>
      </x:c>
      <x:c r="G18" s="193" t="str">
        <x:f>INDEX(Chantiers!$G$6:$G$805,MATCH($A18&amp;"/loot",Chantiers!$A$6:$A$805,0))</x:f>
        <x:v>À faire</x:v>
      </x:c>
      <x:c r="H18" s="193" t="str">
        <x:f>INDEX(Chantiers!$G$6:$G$805,MATCH($A18&amp;"/rencontres",Chantiers!$A$6:$A$805,0))</x:f>
        <x:v>À faire</x:v>
      </x:c>
      <x:c r="I18" s="193" t="str">
        <x:f>INDEX(Chantiers!$G$6:$G$805,MATCH($A18&amp;"/services",Chantiers!$A$6:$A$805,0))</x:f>
        <x:v>À faire</x:v>
      </x:c>
      <x:c r="J18" s="193" t="str">
        <x:f>INDEX(Chantiers!$G$6:$G$805,MATCH($A18&amp;"/art",Chantiers!$A$6:$A$805,0))</x:f>
        <x:v>À faire</x:v>
      </x:c>
      <x:c r="K18" s="193" t="str">
        <x:f>INDEX(Chantiers!$G$6:$G$805,MATCH($A18&amp;"/sauvegarde",Chantiers!$A$6:$A$805,0))</x:f>
        <x:v>En cours</x:v>
      </x:c>
      <x:c r="L18" s="193" t="str">
        <x:f>INDEX(Chantiers!$G$6:$G$805,MATCH($A18&amp;"/qa",Chantiers!$A$6:$A$805,0))</x:f>
        <x:v>En cours</x:v>
      </x:c>
      <x:c r="M18" s="193" t="n">
        <x:f>COUNTIF(C18:L18,"Validé")</x:f>
        <x:v>0</x:v>
      </x:c>
      <x:c r="N18" s="193" t="n">
        <x:f>COLUMNS(C18:L18)-M18</x:f>
        <x:v>10</x:v>
      </x:c>
    </x:row>
    <x:row r="19" ht="34" customHeight="1">
      <x:c r="A19" s="193" t="str">
        <x:v>EXT-MONDE-T014</x:v>
      </x:c>
      <x:c r="B19" s="194" t="str">
        <x:v>Marina</x:v>
      </x:c>
      <x:c r="C19" s="193" t="str">
        <x:f>INDEX(Chantiers!$G$6:$G$805,MATCH($A19&amp;"/dimensions",Chantiers!$A$6:$A$805,0))</x:f>
        <x:v>En cours</x:v>
      </x:c>
      <x:c r="D19" s="193" t="str">
        <x:f>INDEX(Chantiers!$G$6:$G$805,MATCH($A19&amp;"/architecture",Chantiers!$A$6:$A$805,0))</x:f>
        <x:v>En cours</x:v>
      </x:c>
      <x:c r="E19" s="193" t="str">
        <x:f>INDEX(Chantiers!$G$6:$G$805,MATCH($A19&amp;"/seed",Chantiers!$A$6:$A$805,0))</x:f>
        <x:v>À faire</x:v>
      </x:c>
      <x:c r="F19" s="193" t="str">
        <x:f>INDEX(Chantiers!$G$6:$G$805,MATCH($A19&amp;"/props",Chantiers!$A$6:$A$805,0))</x:f>
        <x:v>En cours</x:v>
      </x:c>
      <x:c r="G19" s="193" t="str">
        <x:f>INDEX(Chantiers!$G$6:$G$805,MATCH($A19&amp;"/loot",Chantiers!$A$6:$A$805,0))</x:f>
        <x:v>À faire</x:v>
      </x:c>
      <x:c r="H19" s="193" t="str">
        <x:f>INDEX(Chantiers!$G$6:$G$805,MATCH($A19&amp;"/rencontres",Chantiers!$A$6:$A$805,0))</x:f>
        <x:v>À faire</x:v>
      </x:c>
      <x:c r="I19" s="193" t="str">
        <x:f>INDEX(Chantiers!$G$6:$G$805,MATCH($A19&amp;"/services",Chantiers!$A$6:$A$805,0))</x:f>
        <x:v>À faire</x:v>
      </x:c>
      <x:c r="J19" s="193" t="str">
        <x:f>INDEX(Chantiers!$G$6:$G$805,MATCH($A19&amp;"/art",Chantiers!$A$6:$A$805,0))</x:f>
        <x:v>À faire</x:v>
      </x:c>
      <x:c r="K19" s="193" t="str">
        <x:f>INDEX(Chantiers!$G$6:$G$805,MATCH($A19&amp;"/sauvegarde",Chantiers!$A$6:$A$805,0))</x:f>
        <x:v>En cours</x:v>
      </x:c>
      <x:c r="L19" s="193" t="str">
        <x:f>INDEX(Chantiers!$G$6:$G$805,MATCH($A19&amp;"/qa",Chantiers!$A$6:$A$805,0))</x:f>
        <x:v>En cours</x:v>
      </x:c>
      <x:c r="M19" s="193" t="n">
        <x:f>COUNTIF(C19:L19,"Validé")</x:f>
        <x:v>0</x:v>
      </x:c>
      <x:c r="N19" s="193" t="n">
        <x:f>COLUMNS(C19:L19)-M19</x:f>
        <x:v>10</x:v>
      </x:c>
    </x:row>
    <x:row r="20" ht="34" customHeight="1">
      <x:c r="A20" s="193" t="str">
        <x:v>EXT-MONDE-T015</x:v>
      </x:c>
      <x:c r="B20" s="194" t="str">
        <x:v>Terminal conteneurs</x:v>
      </x:c>
      <x:c r="C20" s="193" t="str">
        <x:f>INDEX(Chantiers!$G$6:$G$805,MATCH($A20&amp;"/dimensions",Chantiers!$A$6:$A$805,0))</x:f>
        <x:v>En cours</x:v>
      </x:c>
      <x:c r="D20" s="193" t="str">
        <x:f>INDEX(Chantiers!$G$6:$G$805,MATCH($A20&amp;"/architecture",Chantiers!$A$6:$A$805,0))</x:f>
        <x:v>En cours</x:v>
      </x:c>
      <x:c r="E20" s="193" t="str">
        <x:f>INDEX(Chantiers!$G$6:$G$805,MATCH($A20&amp;"/seed",Chantiers!$A$6:$A$805,0))</x:f>
        <x:v>À faire</x:v>
      </x:c>
      <x:c r="F20" s="193" t="str">
        <x:f>INDEX(Chantiers!$G$6:$G$805,MATCH($A20&amp;"/props",Chantiers!$A$6:$A$805,0))</x:f>
        <x:v>En cours</x:v>
      </x:c>
      <x:c r="G20" s="193" t="str">
        <x:f>INDEX(Chantiers!$G$6:$G$805,MATCH($A20&amp;"/loot",Chantiers!$A$6:$A$805,0))</x:f>
        <x:v>À faire</x:v>
      </x:c>
      <x:c r="H20" s="193" t="str">
        <x:f>INDEX(Chantiers!$G$6:$G$805,MATCH($A20&amp;"/rencontres",Chantiers!$A$6:$A$805,0))</x:f>
        <x:v>À faire</x:v>
      </x:c>
      <x:c r="I20" s="193" t="str">
        <x:f>INDEX(Chantiers!$G$6:$G$805,MATCH($A20&amp;"/services",Chantiers!$A$6:$A$805,0))</x:f>
        <x:v>À faire</x:v>
      </x:c>
      <x:c r="J20" s="193" t="str">
        <x:f>INDEX(Chantiers!$G$6:$G$805,MATCH($A20&amp;"/art",Chantiers!$A$6:$A$805,0))</x:f>
        <x:v>À faire</x:v>
      </x:c>
      <x:c r="K20" s="193" t="str">
        <x:f>INDEX(Chantiers!$G$6:$G$805,MATCH($A20&amp;"/sauvegarde",Chantiers!$A$6:$A$805,0))</x:f>
        <x:v>En cours</x:v>
      </x:c>
      <x:c r="L20" s="193" t="str">
        <x:f>INDEX(Chantiers!$G$6:$G$805,MATCH($A20&amp;"/qa",Chantiers!$A$6:$A$805,0))</x:f>
        <x:v>En cours</x:v>
      </x:c>
      <x:c r="M20" s="193" t="n">
        <x:f>COUNTIF(C20:L20,"Validé")</x:f>
        <x:v>0</x:v>
      </x:c>
      <x:c r="N20" s="193" t="n">
        <x:f>COLUMNS(C20:L20)-M20</x:f>
        <x:v>10</x:v>
      </x:c>
    </x:row>
    <x:row r="21" ht="34" customHeight="1">
      <x:c r="A21" s="193" t="str">
        <x:v>EXT-MONDE-T016</x:v>
      </x:c>
      <x:c r="B21" s="194" t="str">
        <x:v>Terminal ferry</x:v>
      </x:c>
      <x:c r="C21" s="193" t="str">
        <x:f>INDEX(Chantiers!$G$6:$G$805,MATCH($A21&amp;"/dimensions",Chantiers!$A$6:$A$805,0))</x:f>
        <x:v>En cours</x:v>
      </x:c>
      <x:c r="D21" s="193" t="str">
        <x:f>INDEX(Chantiers!$G$6:$G$805,MATCH($A21&amp;"/architecture",Chantiers!$A$6:$A$805,0))</x:f>
        <x:v>En cours</x:v>
      </x:c>
      <x:c r="E21" s="193" t="str">
        <x:f>INDEX(Chantiers!$G$6:$G$805,MATCH($A21&amp;"/seed",Chantiers!$A$6:$A$805,0))</x:f>
        <x:v>À faire</x:v>
      </x:c>
      <x:c r="F21" s="193" t="str">
        <x:f>INDEX(Chantiers!$G$6:$G$805,MATCH($A21&amp;"/props",Chantiers!$A$6:$A$805,0))</x:f>
        <x:v>En cours</x:v>
      </x:c>
      <x:c r="G21" s="193" t="str">
        <x:f>INDEX(Chantiers!$G$6:$G$805,MATCH($A21&amp;"/loot",Chantiers!$A$6:$A$805,0))</x:f>
        <x:v>À faire</x:v>
      </x:c>
      <x:c r="H21" s="193" t="str">
        <x:f>INDEX(Chantiers!$G$6:$G$805,MATCH($A21&amp;"/rencontres",Chantiers!$A$6:$A$805,0))</x:f>
        <x:v>À faire</x:v>
      </x:c>
      <x:c r="I21" s="193" t="str">
        <x:f>INDEX(Chantiers!$G$6:$G$805,MATCH($A21&amp;"/services",Chantiers!$A$6:$A$805,0))</x:f>
        <x:v>À faire</x:v>
      </x:c>
      <x:c r="J21" s="193" t="str">
        <x:f>INDEX(Chantiers!$G$6:$G$805,MATCH($A21&amp;"/art",Chantiers!$A$6:$A$805,0))</x:f>
        <x:v>À faire</x:v>
      </x:c>
      <x:c r="K21" s="193" t="str">
        <x:f>INDEX(Chantiers!$G$6:$G$805,MATCH($A21&amp;"/sauvegarde",Chantiers!$A$6:$A$805,0))</x:f>
        <x:v>En cours</x:v>
      </x:c>
      <x:c r="L21" s="193" t="str">
        <x:f>INDEX(Chantiers!$G$6:$G$805,MATCH($A21&amp;"/qa",Chantiers!$A$6:$A$805,0))</x:f>
        <x:v>En cours</x:v>
      </x:c>
      <x:c r="M21" s="193" t="n">
        <x:f>COUNTIF(C21:L21,"Validé")</x:f>
        <x:v>0</x:v>
      </x:c>
      <x:c r="N21" s="193" t="n">
        <x:f>COLUMNS(C21:L21)-M21</x:f>
        <x:v>10</x:v>
      </x:c>
    </x:row>
    <x:row r="22" ht="34" customHeight="1">
      <x:c r="A22" s="193" t="str">
        <x:v>EXT-MONDE-T017</x:v>
      </x:c>
      <x:c r="B22" s="194" t="str">
        <x:v>Phare et logements</x:v>
      </x:c>
      <x:c r="C22" s="193" t="str">
        <x:f>INDEX(Chantiers!$G$6:$G$805,MATCH($A22&amp;"/dimensions",Chantiers!$A$6:$A$805,0))</x:f>
        <x:v>En cours</x:v>
      </x:c>
      <x:c r="D22" s="193" t="str">
        <x:f>INDEX(Chantiers!$G$6:$G$805,MATCH($A22&amp;"/architecture",Chantiers!$A$6:$A$805,0))</x:f>
        <x:v>En cours</x:v>
      </x:c>
      <x:c r="E22" s="193" t="str">
        <x:f>INDEX(Chantiers!$G$6:$G$805,MATCH($A22&amp;"/seed",Chantiers!$A$6:$A$805,0))</x:f>
        <x:v>À faire</x:v>
      </x:c>
      <x:c r="F22" s="193" t="str">
        <x:f>INDEX(Chantiers!$G$6:$G$805,MATCH($A22&amp;"/props",Chantiers!$A$6:$A$805,0))</x:f>
        <x:v>En cours</x:v>
      </x:c>
      <x:c r="G22" s="193" t="str">
        <x:f>INDEX(Chantiers!$G$6:$G$805,MATCH($A22&amp;"/loot",Chantiers!$A$6:$A$805,0))</x:f>
        <x:v>À faire</x:v>
      </x:c>
      <x:c r="H22" s="193" t="str">
        <x:f>INDEX(Chantiers!$G$6:$G$805,MATCH($A22&amp;"/rencontres",Chantiers!$A$6:$A$805,0))</x:f>
        <x:v>À faire</x:v>
      </x:c>
      <x:c r="I22" s="193" t="str">
        <x:f>INDEX(Chantiers!$G$6:$G$805,MATCH($A22&amp;"/services",Chantiers!$A$6:$A$805,0))</x:f>
        <x:v>À faire</x:v>
      </x:c>
      <x:c r="J22" s="193" t="str">
        <x:f>INDEX(Chantiers!$G$6:$G$805,MATCH($A22&amp;"/art",Chantiers!$A$6:$A$805,0))</x:f>
        <x:v>À faire</x:v>
      </x:c>
      <x:c r="K22" s="193" t="str">
        <x:f>INDEX(Chantiers!$G$6:$G$805,MATCH($A22&amp;"/sauvegarde",Chantiers!$A$6:$A$805,0))</x:f>
        <x:v>En cours</x:v>
      </x:c>
      <x:c r="L22" s="193" t="str">
        <x:f>INDEX(Chantiers!$G$6:$G$805,MATCH($A22&amp;"/qa",Chantiers!$A$6:$A$805,0))</x:f>
        <x:v>En cours</x:v>
      </x:c>
      <x:c r="M22" s="193" t="n">
        <x:f>COUNTIF(C22:L22,"Validé")</x:f>
        <x:v>0</x:v>
      </x:c>
      <x:c r="N22" s="193" t="n">
        <x:f>COLUMNS(C22:L22)-M22</x:f>
        <x:v>10</x:v>
      </x:c>
    </x:row>
    <x:row r="23" ht="34" customHeight="1">
      <x:c r="A23" s="193" t="str">
        <x:v>EXT-MONDE-T018</x:v>
      </x:c>
      <x:c r="B23" s="194" t="str">
        <x:v>Fête foraine portuaire</x:v>
      </x:c>
      <x:c r="C23" s="193" t="str">
        <x:f>INDEX(Chantiers!$G$6:$G$805,MATCH($A23&amp;"/dimensions",Chantiers!$A$6:$A$805,0))</x:f>
        <x:v>En cours</x:v>
      </x:c>
      <x:c r="D23" s="193" t="str">
        <x:f>INDEX(Chantiers!$G$6:$G$805,MATCH($A23&amp;"/architecture",Chantiers!$A$6:$A$805,0))</x:f>
        <x:v>En cours</x:v>
      </x:c>
      <x:c r="E23" s="193" t="str">
        <x:f>INDEX(Chantiers!$G$6:$G$805,MATCH($A23&amp;"/seed",Chantiers!$A$6:$A$805,0))</x:f>
        <x:v>À faire</x:v>
      </x:c>
      <x:c r="F23" s="193" t="str">
        <x:f>INDEX(Chantiers!$G$6:$G$805,MATCH($A23&amp;"/props",Chantiers!$A$6:$A$805,0))</x:f>
        <x:v>En cours</x:v>
      </x:c>
      <x:c r="G23" s="193" t="str">
        <x:f>INDEX(Chantiers!$G$6:$G$805,MATCH($A23&amp;"/loot",Chantiers!$A$6:$A$805,0))</x:f>
        <x:v>À faire</x:v>
      </x:c>
      <x:c r="H23" s="193" t="str">
        <x:f>INDEX(Chantiers!$G$6:$G$805,MATCH($A23&amp;"/rencontres",Chantiers!$A$6:$A$805,0))</x:f>
        <x:v>À faire</x:v>
      </x:c>
      <x:c r="I23" s="193" t="str">
        <x:f>INDEX(Chantiers!$G$6:$G$805,MATCH($A23&amp;"/services",Chantiers!$A$6:$A$805,0))</x:f>
        <x:v>À faire</x:v>
      </x:c>
      <x:c r="J23" s="193" t="str">
        <x:f>INDEX(Chantiers!$G$6:$G$805,MATCH($A23&amp;"/art",Chantiers!$A$6:$A$805,0))</x:f>
        <x:v>À faire</x:v>
      </x:c>
      <x:c r="K23" s="193" t="str">
        <x:f>INDEX(Chantiers!$G$6:$G$805,MATCH($A23&amp;"/sauvegarde",Chantiers!$A$6:$A$805,0))</x:f>
        <x:v>En cours</x:v>
      </x:c>
      <x:c r="L23" s="193" t="str">
        <x:f>INDEX(Chantiers!$G$6:$G$805,MATCH($A23&amp;"/qa",Chantiers!$A$6:$A$805,0))</x:f>
        <x:v>En cours</x:v>
      </x:c>
      <x:c r="M23" s="193" t="n">
        <x:f>COUNTIF(C23:L23,"Validé")</x:f>
        <x:v>0</x:v>
      </x:c>
      <x:c r="N23" s="193" t="n">
        <x:f>COLUMNS(C23:L23)-M23</x:f>
        <x:v>10</x:v>
      </x:c>
    </x:row>
    <x:row r="24" ht="34" customHeight="1">
      <x:c r="A24" s="193" t="str">
        <x:v>EXT-MONDE-T019</x:v>
      </x:c>
      <x:c r="B24" s="194" t="str">
        <x:v>Chantier naval côtier</x:v>
      </x:c>
      <x:c r="C24" s="193" t="str">
        <x:f>INDEX(Chantiers!$G$6:$G$805,MATCH($A24&amp;"/dimensions",Chantiers!$A$6:$A$805,0))</x:f>
        <x:v>En cours</x:v>
      </x:c>
      <x:c r="D24" s="193" t="str">
        <x:f>INDEX(Chantiers!$G$6:$G$805,MATCH($A24&amp;"/architecture",Chantiers!$A$6:$A$805,0))</x:f>
        <x:v>En cours</x:v>
      </x:c>
      <x:c r="E24" s="193" t="str">
        <x:f>INDEX(Chantiers!$G$6:$G$805,MATCH($A24&amp;"/seed",Chantiers!$A$6:$A$805,0))</x:f>
        <x:v>À faire</x:v>
      </x:c>
      <x:c r="F24" s="193" t="str">
        <x:f>INDEX(Chantiers!$G$6:$G$805,MATCH($A24&amp;"/props",Chantiers!$A$6:$A$805,0))</x:f>
        <x:v>En cours</x:v>
      </x:c>
      <x:c r="G24" s="193" t="str">
        <x:f>INDEX(Chantiers!$G$6:$G$805,MATCH($A24&amp;"/loot",Chantiers!$A$6:$A$805,0))</x:f>
        <x:v>À faire</x:v>
      </x:c>
      <x:c r="H24" s="193" t="str">
        <x:f>INDEX(Chantiers!$G$6:$G$805,MATCH($A24&amp;"/rencontres",Chantiers!$A$6:$A$805,0))</x:f>
        <x:v>À faire</x:v>
      </x:c>
      <x:c r="I24" s="193" t="str">
        <x:f>INDEX(Chantiers!$G$6:$G$805,MATCH($A24&amp;"/services",Chantiers!$A$6:$A$805,0))</x:f>
        <x:v>À faire</x:v>
      </x:c>
      <x:c r="J24" s="193" t="str">
        <x:f>INDEX(Chantiers!$G$6:$G$805,MATCH($A24&amp;"/art",Chantiers!$A$6:$A$805,0))</x:f>
        <x:v>À faire</x:v>
      </x:c>
      <x:c r="K24" s="193" t="str">
        <x:f>INDEX(Chantiers!$G$6:$G$805,MATCH($A24&amp;"/sauvegarde",Chantiers!$A$6:$A$805,0))</x:f>
        <x:v>En cours</x:v>
      </x:c>
      <x:c r="L24" s="193" t="str">
        <x:f>INDEX(Chantiers!$G$6:$G$805,MATCH($A24&amp;"/qa",Chantiers!$A$6:$A$805,0))</x:f>
        <x:v>En cours</x:v>
      </x:c>
      <x:c r="M24" s="193" t="n">
        <x:f>COUNTIF(C24:L24,"Validé")</x:f>
        <x:v>0</x:v>
      </x:c>
      <x:c r="N24" s="193" t="n">
        <x:f>COLUMNS(C24:L24)-M24</x:f>
        <x:v>10</x:v>
      </x:c>
    </x:row>
    <x:row r="25" ht="34" customHeight="1">
      <x:c r="A25" s="193" t="str">
        <x:v>EXT-MONDE-T020</x:v>
      </x:c>
      <x:c r="B25" s="194" t="str">
        <x:v>Baie avec village côtier</x:v>
      </x:c>
      <x:c r="C25" s="193" t="str">
        <x:f>INDEX(Chantiers!$G$6:$G$805,MATCH($A25&amp;"/dimensions",Chantiers!$A$6:$A$805,0))</x:f>
        <x:v>En cours</x:v>
      </x:c>
      <x:c r="D25" s="193" t="str">
        <x:f>INDEX(Chantiers!$G$6:$G$805,MATCH($A25&amp;"/architecture",Chantiers!$A$6:$A$805,0))</x:f>
        <x:v>En cours</x:v>
      </x:c>
      <x:c r="E25" s="193" t="str">
        <x:f>INDEX(Chantiers!$G$6:$G$805,MATCH($A25&amp;"/seed",Chantiers!$A$6:$A$805,0))</x:f>
        <x:v>À faire</x:v>
      </x:c>
      <x:c r="F25" s="193" t="str">
        <x:f>INDEX(Chantiers!$G$6:$G$805,MATCH($A25&amp;"/props",Chantiers!$A$6:$A$805,0))</x:f>
        <x:v>En cours</x:v>
      </x:c>
      <x:c r="G25" s="193" t="str">
        <x:f>INDEX(Chantiers!$G$6:$G$805,MATCH($A25&amp;"/loot",Chantiers!$A$6:$A$805,0))</x:f>
        <x:v>À faire</x:v>
      </x:c>
      <x:c r="H25" s="193" t="str">
        <x:f>INDEX(Chantiers!$G$6:$G$805,MATCH($A25&amp;"/rencontres",Chantiers!$A$6:$A$805,0))</x:f>
        <x:v>À faire</x:v>
      </x:c>
      <x:c r="I25" s="193" t="str">
        <x:f>INDEX(Chantiers!$G$6:$G$805,MATCH($A25&amp;"/services",Chantiers!$A$6:$A$805,0))</x:f>
        <x:v>À faire</x:v>
      </x:c>
      <x:c r="J25" s="193" t="str">
        <x:f>INDEX(Chantiers!$G$6:$G$805,MATCH($A25&amp;"/art",Chantiers!$A$6:$A$805,0))</x:f>
        <x:v>À faire</x:v>
      </x:c>
      <x:c r="K25" s="193" t="str">
        <x:f>INDEX(Chantiers!$G$6:$G$805,MATCH($A25&amp;"/sauvegarde",Chantiers!$A$6:$A$805,0))</x:f>
        <x:v>En cours</x:v>
      </x:c>
      <x:c r="L25" s="193" t="str">
        <x:f>INDEX(Chantiers!$G$6:$G$805,MATCH($A25&amp;"/qa",Chantiers!$A$6:$A$805,0))</x:f>
        <x:v>En cours</x:v>
      </x:c>
      <x:c r="M25" s="193" t="n">
        <x:f>COUNTIF(C25:L25,"Validé")</x:f>
        <x:v>0</x:v>
      </x:c>
      <x:c r="N25" s="193" t="n">
        <x:f>COLUMNS(C25:L25)-M25</x:f>
        <x:v>10</x:v>
      </x:c>
    </x:row>
    <x:row r="26" ht="34" customHeight="1">
      <x:c r="A26" s="193" t="str">
        <x:v>EXT-MONDE-T021</x:v>
      </x:c>
      <x:c r="B26" s="194" t="str">
        <x:v>Ferme laitière</x:v>
      </x:c>
      <x:c r="C26" s="193" t="str">
        <x:f>INDEX(Chantiers!$G$6:$G$805,MATCH($A26&amp;"/dimensions",Chantiers!$A$6:$A$805,0))</x:f>
        <x:v>En cours</x:v>
      </x:c>
      <x:c r="D26" s="193" t="str">
        <x:f>INDEX(Chantiers!$G$6:$G$805,MATCH($A26&amp;"/architecture",Chantiers!$A$6:$A$805,0))</x:f>
        <x:v>En cours</x:v>
      </x:c>
      <x:c r="E26" s="193" t="str">
        <x:f>INDEX(Chantiers!$G$6:$G$805,MATCH($A26&amp;"/seed",Chantiers!$A$6:$A$805,0))</x:f>
        <x:v>À faire</x:v>
      </x:c>
      <x:c r="F26" s="193" t="str">
        <x:f>INDEX(Chantiers!$G$6:$G$805,MATCH($A26&amp;"/props",Chantiers!$A$6:$A$805,0))</x:f>
        <x:v>En cours</x:v>
      </x:c>
      <x:c r="G26" s="193" t="str">
        <x:f>INDEX(Chantiers!$G$6:$G$805,MATCH($A26&amp;"/loot",Chantiers!$A$6:$A$805,0))</x:f>
        <x:v>À faire</x:v>
      </x:c>
      <x:c r="H26" s="193" t="str">
        <x:f>INDEX(Chantiers!$G$6:$G$805,MATCH($A26&amp;"/rencontres",Chantiers!$A$6:$A$805,0))</x:f>
        <x:v>À faire</x:v>
      </x:c>
      <x:c r="I26" s="193" t="str">
        <x:f>INDEX(Chantiers!$G$6:$G$805,MATCH($A26&amp;"/services",Chantiers!$A$6:$A$805,0))</x:f>
        <x:v>À faire</x:v>
      </x:c>
      <x:c r="J26" s="193" t="str">
        <x:f>INDEX(Chantiers!$G$6:$G$805,MATCH($A26&amp;"/art",Chantiers!$A$6:$A$805,0))</x:f>
        <x:v>À faire</x:v>
      </x:c>
      <x:c r="K26" s="193" t="str">
        <x:f>INDEX(Chantiers!$G$6:$G$805,MATCH($A26&amp;"/sauvegarde",Chantiers!$A$6:$A$805,0))</x:f>
        <x:v>En cours</x:v>
      </x:c>
      <x:c r="L26" s="193" t="str">
        <x:f>INDEX(Chantiers!$G$6:$G$805,MATCH($A26&amp;"/qa",Chantiers!$A$6:$A$805,0))</x:f>
        <x:v>En cours</x:v>
      </x:c>
      <x:c r="M26" s="193" t="n">
        <x:f>COUNTIF(C26:L26,"Validé")</x:f>
        <x:v>0</x:v>
      </x:c>
      <x:c r="N26" s="193" t="n">
        <x:f>COLUMNS(C26:L26)-M26</x:f>
        <x:v>10</x:v>
      </x:c>
    </x:row>
    <x:row r="27" ht="34" customHeight="1">
      <x:c r="A27" s="193" t="str">
        <x:v>EXT-MONDE-T022</x:v>
      </x:c>
      <x:c r="B27" s="194" t="str">
        <x:v>Élevage ovin</x:v>
      </x:c>
      <x:c r="C27" s="193" t="str">
        <x:f>INDEX(Chantiers!$G$6:$G$805,MATCH($A27&amp;"/dimensions",Chantiers!$A$6:$A$805,0))</x:f>
        <x:v>En cours</x:v>
      </x:c>
      <x:c r="D27" s="193" t="str">
        <x:f>INDEX(Chantiers!$G$6:$G$805,MATCH($A27&amp;"/architecture",Chantiers!$A$6:$A$805,0))</x:f>
        <x:v>En cours</x:v>
      </x:c>
      <x:c r="E27" s="193" t="str">
        <x:f>INDEX(Chantiers!$G$6:$G$805,MATCH($A27&amp;"/seed",Chantiers!$A$6:$A$805,0))</x:f>
        <x:v>À faire</x:v>
      </x:c>
      <x:c r="F27" s="193" t="str">
        <x:f>INDEX(Chantiers!$G$6:$G$805,MATCH($A27&amp;"/props",Chantiers!$A$6:$A$805,0))</x:f>
        <x:v>En cours</x:v>
      </x:c>
      <x:c r="G27" s="193" t="str">
        <x:f>INDEX(Chantiers!$G$6:$G$805,MATCH($A27&amp;"/loot",Chantiers!$A$6:$A$805,0))</x:f>
        <x:v>À faire</x:v>
      </x:c>
      <x:c r="H27" s="193" t="str">
        <x:f>INDEX(Chantiers!$G$6:$G$805,MATCH($A27&amp;"/rencontres",Chantiers!$A$6:$A$805,0))</x:f>
        <x:v>À faire</x:v>
      </x:c>
      <x:c r="I27" s="193" t="str">
        <x:f>INDEX(Chantiers!$G$6:$G$805,MATCH($A27&amp;"/services",Chantiers!$A$6:$A$805,0))</x:f>
        <x:v>À faire</x:v>
      </x:c>
      <x:c r="J27" s="193" t="str">
        <x:f>INDEX(Chantiers!$G$6:$G$805,MATCH($A27&amp;"/art",Chantiers!$A$6:$A$805,0))</x:f>
        <x:v>À faire</x:v>
      </x:c>
      <x:c r="K27" s="193" t="str">
        <x:f>INDEX(Chantiers!$G$6:$G$805,MATCH($A27&amp;"/sauvegarde",Chantiers!$A$6:$A$805,0))</x:f>
        <x:v>En cours</x:v>
      </x:c>
      <x:c r="L27" s="193" t="str">
        <x:f>INDEX(Chantiers!$G$6:$G$805,MATCH($A27&amp;"/qa",Chantiers!$A$6:$A$805,0))</x:f>
        <x:v>En cours</x:v>
      </x:c>
      <x:c r="M27" s="193" t="n">
        <x:f>COUNTIF(C27:L27,"Validé")</x:f>
        <x:v>0</x:v>
      </x:c>
      <x:c r="N27" s="193" t="n">
        <x:f>COLUMNS(C27:L27)-M27</x:f>
        <x:v>10</x:v>
      </x:c>
    </x:row>
    <x:row r="28" ht="34" customHeight="1">
      <x:c r="A28" s="193" t="str">
        <x:v>EXT-MONDE-T023</x:v>
      </x:c>
      <x:c r="B28" s="194" t="str">
        <x:v>Ferme avicole</x:v>
      </x:c>
      <x:c r="C28" s="193" t="str">
        <x:f>INDEX(Chantiers!$G$6:$G$805,MATCH($A28&amp;"/dimensions",Chantiers!$A$6:$A$805,0))</x:f>
        <x:v>En cours</x:v>
      </x:c>
      <x:c r="D28" s="193" t="str">
        <x:f>INDEX(Chantiers!$G$6:$G$805,MATCH($A28&amp;"/architecture",Chantiers!$A$6:$A$805,0))</x:f>
        <x:v>En cours</x:v>
      </x:c>
      <x:c r="E28" s="193" t="str">
        <x:f>INDEX(Chantiers!$G$6:$G$805,MATCH($A28&amp;"/seed",Chantiers!$A$6:$A$805,0))</x:f>
        <x:v>À faire</x:v>
      </x:c>
      <x:c r="F28" s="193" t="str">
        <x:f>INDEX(Chantiers!$G$6:$G$805,MATCH($A28&amp;"/props",Chantiers!$A$6:$A$805,0))</x:f>
        <x:v>En cours</x:v>
      </x:c>
      <x:c r="G28" s="193" t="str">
        <x:f>INDEX(Chantiers!$G$6:$G$805,MATCH($A28&amp;"/loot",Chantiers!$A$6:$A$805,0))</x:f>
        <x:v>À faire</x:v>
      </x:c>
      <x:c r="H28" s="193" t="str">
        <x:f>INDEX(Chantiers!$G$6:$G$805,MATCH($A28&amp;"/rencontres",Chantiers!$A$6:$A$805,0))</x:f>
        <x:v>À faire</x:v>
      </x:c>
      <x:c r="I28" s="193" t="str">
        <x:f>INDEX(Chantiers!$G$6:$G$805,MATCH($A28&amp;"/services",Chantiers!$A$6:$A$805,0))</x:f>
        <x:v>À faire</x:v>
      </x:c>
      <x:c r="J28" s="193" t="str">
        <x:f>INDEX(Chantiers!$G$6:$G$805,MATCH($A28&amp;"/art",Chantiers!$A$6:$A$805,0))</x:f>
        <x:v>À faire</x:v>
      </x:c>
      <x:c r="K28" s="193" t="str">
        <x:f>INDEX(Chantiers!$G$6:$G$805,MATCH($A28&amp;"/sauvegarde",Chantiers!$A$6:$A$805,0))</x:f>
        <x:v>En cours</x:v>
      </x:c>
      <x:c r="L28" s="193" t="str">
        <x:f>INDEX(Chantiers!$G$6:$G$805,MATCH($A28&amp;"/qa",Chantiers!$A$6:$A$805,0))</x:f>
        <x:v>En cours</x:v>
      </x:c>
      <x:c r="M28" s="193" t="n">
        <x:f>COUNTIF(C28:L28,"Validé")</x:f>
        <x:v>0</x:v>
      </x:c>
      <x:c r="N28" s="193" t="n">
        <x:f>COLUMNS(C28:L28)-M28</x:f>
        <x:v>10</x:v>
      </x:c>
    </x:row>
    <x:row r="29" ht="34" customHeight="1">
      <x:c r="A29" s="193" t="str">
        <x:v>EXT-MONDE-T024</x:v>
      </x:c>
      <x:c r="B29" s="194" t="str">
        <x:v>Centre équestre rural</x:v>
      </x:c>
      <x:c r="C29" s="193" t="str">
        <x:f>INDEX(Chantiers!$G$6:$G$805,MATCH($A29&amp;"/dimensions",Chantiers!$A$6:$A$805,0))</x:f>
        <x:v>En cours</x:v>
      </x:c>
      <x:c r="D29" s="193" t="str">
        <x:f>INDEX(Chantiers!$G$6:$G$805,MATCH($A29&amp;"/architecture",Chantiers!$A$6:$A$805,0))</x:f>
        <x:v>En cours</x:v>
      </x:c>
      <x:c r="E29" s="193" t="str">
        <x:f>INDEX(Chantiers!$G$6:$G$805,MATCH($A29&amp;"/seed",Chantiers!$A$6:$A$805,0))</x:f>
        <x:v>À faire</x:v>
      </x:c>
      <x:c r="F29" s="193" t="str">
        <x:f>INDEX(Chantiers!$G$6:$G$805,MATCH($A29&amp;"/props",Chantiers!$A$6:$A$805,0))</x:f>
        <x:v>En cours</x:v>
      </x:c>
      <x:c r="G29" s="193" t="str">
        <x:f>INDEX(Chantiers!$G$6:$G$805,MATCH($A29&amp;"/loot",Chantiers!$A$6:$A$805,0))</x:f>
        <x:v>À faire</x:v>
      </x:c>
      <x:c r="H29" s="193" t="str">
        <x:f>INDEX(Chantiers!$G$6:$G$805,MATCH($A29&amp;"/rencontres",Chantiers!$A$6:$A$805,0))</x:f>
        <x:v>À faire</x:v>
      </x:c>
      <x:c r="I29" s="193" t="str">
        <x:f>INDEX(Chantiers!$G$6:$G$805,MATCH($A29&amp;"/services",Chantiers!$A$6:$A$805,0))</x:f>
        <x:v>À faire</x:v>
      </x:c>
      <x:c r="J29" s="193" t="str">
        <x:f>INDEX(Chantiers!$G$6:$G$805,MATCH($A29&amp;"/art",Chantiers!$A$6:$A$805,0))</x:f>
        <x:v>À faire</x:v>
      </x:c>
      <x:c r="K29" s="193" t="str">
        <x:f>INDEX(Chantiers!$G$6:$G$805,MATCH($A29&amp;"/sauvegarde",Chantiers!$A$6:$A$805,0))</x:f>
        <x:v>En cours</x:v>
      </x:c>
      <x:c r="L29" s="193" t="str">
        <x:f>INDEX(Chantiers!$G$6:$G$805,MATCH($A29&amp;"/qa",Chantiers!$A$6:$A$805,0))</x:f>
        <x:v>En cours</x:v>
      </x:c>
      <x:c r="M29" s="193" t="n">
        <x:f>COUNTIF(C29:L29,"Validé")</x:f>
        <x:v>0</x:v>
      </x:c>
      <x:c r="N29" s="193" t="n">
        <x:f>COLUMNS(C29:L29)-M29</x:f>
        <x:v>10</x:v>
      </x:c>
    </x:row>
    <x:row r="30" ht="34" customHeight="1">
      <x:c r="A30" s="193" t="str">
        <x:v>EXT-MONDE-T025</x:v>
      </x:c>
      <x:c r="B30" s="194" t="str">
        <x:v>Exploitation céréalière</x:v>
      </x:c>
      <x:c r="C30" s="193" t="str">
        <x:f>INDEX(Chantiers!$G$6:$G$805,MATCH($A30&amp;"/dimensions",Chantiers!$A$6:$A$805,0))</x:f>
        <x:v>En cours</x:v>
      </x:c>
      <x:c r="D30" s="193" t="str">
        <x:f>INDEX(Chantiers!$G$6:$G$805,MATCH($A30&amp;"/architecture",Chantiers!$A$6:$A$805,0))</x:f>
        <x:v>En cours</x:v>
      </x:c>
      <x:c r="E30" s="193" t="str">
        <x:f>INDEX(Chantiers!$G$6:$G$805,MATCH($A30&amp;"/seed",Chantiers!$A$6:$A$805,0))</x:f>
        <x:v>À faire</x:v>
      </x:c>
      <x:c r="F30" s="193" t="str">
        <x:f>INDEX(Chantiers!$G$6:$G$805,MATCH($A30&amp;"/props",Chantiers!$A$6:$A$805,0))</x:f>
        <x:v>En cours</x:v>
      </x:c>
      <x:c r="G30" s="193" t="str">
        <x:f>INDEX(Chantiers!$G$6:$G$805,MATCH($A30&amp;"/loot",Chantiers!$A$6:$A$805,0))</x:f>
        <x:v>À faire</x:v>
      </x:c>
      <x:c r="H30" s="193" t="str">
        <x:f>INDEX(Chantiers!$G$6:$G$805,MATCH($A30&amp;"/rencontres",Chantiers!$A$6:$A$805,0))</x:f>
        <x:v>À faire</x:v>
      </x:c>
      <x:c r="I30" s="193" t="str">
        <x:f>INDEX(Chantiers!$G$6:$G$805,MATCH($A30&amp;"/services",Chantiers!$A$6:$A$805,0))</x:f>
        <x:v>À faire</x:v>
      </x:c>
      <x:c r="J30" s="193" t="str">
        <x:f>INDEX(Chantiers!$G$6:$G$805,MATCH($A30&amp;"/art",Chantiers!$A$6:$A$805,0))</x:f>
        <x:v>À faire</x:v>
      </x:c>
      <x:c r="K30" s="193" t="str">
        <x:f>INDEX(Chantiers!$G$6:$G$805,MATCH($A30&amp;"/sauvegarde",Chantiers!$A$6:$A$805,0))</x:f>
        <x:v>En cours</x:v>
      </x:c>
      <x:c r="L30" s="193" t="str">
        <x:f>INDEX(Chantiers!$G$6:$G$805,MATCH($A30&amp;"/qa",Chantiers!$A$6:$A$805,0))</x:f>
        <x:v>En cours</x:v>
      </x:c>
      <x:c r="M30" s="193" t="n">
        <x:f>COUNTIF(C30:L30,"Validé")</x:f>
        <x:v>0</x:v>
      </x:c>
      <x:c r="N30" s="193" t="n">
        <x:f>COLUMNS(C30:L30)-M30</x:f>
        <x:v>10</x:v>
      </x:c>
    </x:row>
    <x:row r="31" ht="34" customHeight="1">
      <x:c r="A31" s="193" t="str">
        <x:v>EXT-MONDE-T026</x:v>
      </x:c>
      <x:c r="B31" s="194" t="str">
        <x:v>Domaine viticole</x:v>
      </x:c>
      <x:c r="C31" s="193" t="str">
        <x:f>INDEX(Chantiers!$G$6:$G$805,MATCH($A31&amp;"/dimensions",Chantiers!$A$6:$A$805,0))</x:f>
        <x:v>En cours</x:v>
      </x:c>
      <x:c r="D31" s="193" t="str">
        <x:f>INDEX(Chantiers!$G$6:$G$805,MATCH($A31&amp;"/architecture",Chantiers!$A$6:$A$805,0))</x:f>
        <x:v>En cours</x:v>
      </x:c>
      <x:c r="E31" s="193" t="str">
        <x:f>INDEX(Chantiers!$G$6:$G$805,MATCH($A31&amp;"/seed",Chantiers!$A$6:$A$805,0))</x:f>
        <x:v>À faire</x:v>
      </x:c>
      <x:c r="F31" s="193" t="str">
        <x:f>INDEX(Chantiers!$G$6:$G$805,MATCH($A31&amp;"/props",Chantiers!$A$6:$A$805,0))</x:f>
        <x:v>En cours</x:v>
      </x:c>
      <x:c r="G31" s="193" t="str">
        <x:f>INDEX(Chantiers!$G$6:$G$805,MATCH($A31&amp;"/loot",Chantiers!$A$6:$A$805,0))</x:f>
        <x:v>À faire</x:v>
      </x:c>
      <x:c r="H31" s="193" t="str">
        <x:f>INDEX(Chantiers!$G$6:$G$805,MATCH($A31&amp;"/rencontres",Chantiers!$A$6:$A$805,0))</x:f>
        <x:v>À faire</x:v>
      </x:c>
      <x:c r="I31" s="193" t="str">
        <x:f>INDEX(Chantiers!$G$6:$G$805,MATCH($A31&amp;"/services",Chantiers!$A$6:$A$805,0))</x:f>
        <x:v>À faire</x:v>
      </x:c>
      <x:c r="J31" s="193" t="str">
        <x:f>INDEX(Chantiers!$G$6:$G$805,MATCH($A31&amp;"/art",Chantiers!$A$6:$A$805,0))</x:f>
        <x:v>À faire</x:v>
      </x:c>
      <x:c r="K31" s="193" t="str">
        <x:f>INDEX(Chantiers!$G$6:$G$805,MATCH($A31&amp;"/sauvegarde",Chantiers!$A$6:$A$805,0))</x:f>
        <x:v>En cours</x:v>
      </x:c>
      <x:c r="L31" s="193" t="str">
        <x:f>INDEX(Chantiers!$G$6:$G$805,MATCH($A31&amp;"/qa",Chantiers!$A$6:$A$805,0))</x:f>
        <x:v>En cours</x:v>
      </x:c>
      <x:c r="M31" s="193" t="n">
        <x:f>COUNTIF(C31:L31,"Validé")</x:f>
        <x:v>0</x:v>
      </x:c>
      <x:c r="N31" s="193" t="n">
        <x:f>COLUMNS(C31:L31)-M31</x:f>
        <x:v>10</x:v>
      </x:c>
    </x:row>
    <x:row r="32" ht="34" customHeight="1">
      <x:c r="A32" s="193" t="str">
        <x:v>EXT-MONDE-T027</x:v>
      </x:c>
      <x:c r="B32" s="194" t="str">
        <x:v>Ferme maraîchère</x:v>
      </x:c>
      <x:c r="C32" s="193" t="str">
        <x:f>INDEX(Chantiers!$G$6:$G$805,MATCH($A32&amp;"/dimensions",Chantiers!$A$6:$A$805,0))</x:f>
        <x:v>En cours</x:v>
      </x:c>
      <x:c r="D32" s="193" t="str">
        <x:f>INDEX(Chantiers!$G$6:$G$805,MATCH($A32&amp;"/architecture",Chantiers!$A$6:$A$805,0))</x:f>
        <x:v>En cours</x:v>
      </x:c>
      <x:c r="E32" s="193" t="str">
        <x:f>INDEX(Chantiers!$G$6:$G$805,MATCH($A32&amp;"/seed",Chantiers!$A$6:$A$805,0))</x:f>
        <x:v>À faire</x:v>
      </x:c>
      <x:c r="F32" s="193" t="str">
        <x:f>INDEX(Chantiers!$G$6:$G$805,MATCH($A32&amp;"/props",Chantiers!$A$6:$A$805,0))</x:f>
        <x:v>En cours</x:v>
      </x:c>
      <x:c r="G32" s="193" t="str">
        <x:f>INDEX(Chantiers!$G$6:$G$805,MATCH($A32&amp;"/loot",Chantiers!$A$6:$A$805,0))</x:f>
        <x:v>À faire</x:v>
      </x:c>
      <x:c r="H32" s="193" t="str">
        <x:f>INDEX(Chantiers!$G$6:$G$805,MATCH($A32&amp;"/rencontres",Chantiers!$A$6:$A$805,0))</x:f>
        <x:v>À faire</x:v>
      </x:c>
      <x:c r="I32" s="193" t="str">
        <x:f>INDEX(Chantiers!$G$6:$G$805,MATCH($A32&amp;"/services",Chantiers!$A$6:$A$805,0))</x:f>
        <x:v>À faire</x:v>
      </x:c>
      <x:c r="J32" s="193" t="str">
        <x:f>INDEX(Chantiers!$G$6:$G$805,MATCH($A32&amp;"/art",Chantiers!$A$6:$A$805,0))</x:f>
        <x:v>À faire</x:v>
      </x:c>
      <x:c r="K32" s="193" t="str">
        <x:f>INDEX(Chantiers!$G$6:$G$805,MATCH($A32&amp;"/sauvegarde",Chantiers!$A$6:$A$805,0))</x:f>
        <x:v>En cours</x:v>
      </x:c>
      <x:c r="L32" s="193" t="str">
        <x:f>INDEX(Chantiers!$G$6:$G$805,MATCH($A32&amp;"/qa",Chantiers!$A$6:$A$805,0))</x:f>
        <x:v>En cours</x:v>
      </x:c>
      <x:c r="M32" s="193" t="n">
        <x:f>COUNTIF(C32:L32,"Validé")</x:f>
        <x:v>0</x:v>
      </x:c>
      <x:c r="N32" s="193" t="n">
        <x:f>COLUMNS(C32:L32)-M32</x:f>
        <x:v>10</x:v>
      </x:c>
    </x:row>
    <x:row r="33" ht="34" customHeight="1">
      <x:c r="A33" s="193" t="str">
        <x:v>EXT-MONDE-T028</x:v>
      </x:c>
      <x:c r="B33" s="194" t="str">
        <x:v>Verger avec conditionnement</x:v>
      </x:c>
      <x:c r="C33" s="193" t="str">
        <x:f>INDEX(Chantiers!$G$6:$G$805,MATCH($A33&amp;"/dimensions",Chantiers!$A$6:$A$805,0))</x:f>
        <x:v>En cours</x:v>
      </x:c>
      <x:c r="D33" s="193" t="str">
        <x:f>INDEX(Chantiers!$G$6:$G$805,MATCH($A33&amp;"/architecture",Chantiers!$A$6:$A$805,0))</x:f>
        <x:v>En cours</x:v>
      </x:c>
      <x:c r="E33" s="193" t="str">
        <x:f>INDEX(Chantiers!$G$6:$G$805,MATCH($A33&amp;"/seed",Chantiers!$A$6:$A$805,0))</x:f>
        <x:v>À faire</x:v>
      </x:c>
      <x:c r="F33" s="193" t="str">
        <x:f>INDEX(Chantiers!$G$6:$G$805,MATCH($A33&amp;"/props",Chantiers!$A$6:$A$805,0))</x:f>
        <x:v>En cours</x:v>
      </x:c>
      <x:c r="G33" s="193" t="str">
        <x:f>INDEX(Chantiers!$G$6:$G$805,MATCH($A33&amp;"/loot",Chantiers!$A$6:$A$805,0))</x:f>
        <x:v>À faire</x:v>
      </x:c>
      <x:c r="H33" s="193" t="str">
        <x:f>INDEX(Chantiers!$G$6:$G$805,MATCH($A33&amp;"/rencontres",Chantiers!$A$6:$A$805,0))</x:f>
        <x:v>À faire</x:v>
      </x:c>
      <x:c r="I33" s="193" t="str">
        <x:f>INDEX(Chantiers!$G$6:$G$805,MATCH($A33&amp;"/services",Chantiers!$A$6:$A$805,0))</x:f>
        <x:v>À faire</x:v>
      </x:c>
      <x:c r="J33" s="193" t="str">
        <x:f>INDEX(Chantiers!$G$6:$G$805,MATCH($A33&amp;"/art",Chantiers!$A$6:$A$805,0))</x:f>
        <x:v>À faire</x:v>
      </x:c>
      <x:c r="K33" s="193" t="str">
        <x:f>INDEX(Chantiers!$G$6:$G$805,MATCH($A33&amp;"/sauvegarde",Chantiers!$A$6:$A$805,0))</x:f>
        <x:v>En cours</x:v>
      </x:c>
      <x:c r="L33" s="193" t="str">
        <x:f>INDEX(Chantiers!$G$6:$G$805,MATCH($A33&amp;"/qa",Chantiers!$A$6:$A$805,0))</x:f>
        <x:v>En cours</x:v>
      </x:c>
      <x:c r="M33" s="193" t="n">
        <x:f>COUNTIF(C33:L33,"Validé")</x:f>
        <x:v>0</x:v>
      </x:c>
      <x:c r="N33" s="193" t="n">
        <x:f>COLUMNS(C33:L33)-M33</x:f>
        <x:v>10</x:v>
      </x:c>
    </x:row>
    <x:row r="34" ht="34" customHeight="1">
      <x:c r="A34" s="193" t="str">
        <x:v>EXT-MONDE-T029</x:v>
      </x:c>
      <x:c r="B34" s="194" t="str">
        <x:v>Pont routier à poutres</x:v>
      </x:c>
      <x:c r="C34" s="193" t="str">
        <x:f>INDEX(Chantiers!$G$6:$G$805,MATCH($A34&amp;"/dimensions",Chantiers!$A$6:$A$805,0))</x:f>
        <x:v>En cours</x:v>
      </x:c>
      <x:c r="D34" s="193" t="str">
        <x:f>INDEX(Chantiers!$G$6:$G$805,MATCH($A34&amp;"/architecture",Chantiers!$A$6:$A$805,0))</x:f>
        <x:v>En cours</x:v>
      </x:c>
      <x:c r="E34" s="193" t="str">
        <x:f>INDEX(Chantiers!$G$6:$G$805,MATCH($A34&amp;"/seed",Chantiers!$A$6:$A$805,0))</x:f>
        <x:v>À faire</x:v>
      </x:c>
      <x:c r="F34" s="193" t="str">
        <x:f>INDEX(Chantiers!$G$6:$G$805,MATCH($A34&amp;"/props",Chantiers!$A$6:$A$805,0))</x:f>
        <x:v>En cours</x:v>
      </x:c>
      <x:c r="G34" s="193" t="str">
        <x:f>INDEX(Chantiers!$G$6:$G$805,MATCH($A34&amp;"/loot",Chantiers!$A$6:$A$805,0))</x:f>
        <x:v>À faire</x:v>
      </x:c>
      <x:c r="H34" s="193" t="str">
        <x:f>INDEX(Chantiers!$G$6:$G$805,MATCH($A34&amp;"/rencontres",Chantiers!$A$6:$A$805,0))</x:f>
        <x:v>À faire</x:v>
      </x:c>
      <x:c r="I34" s="193" t="str">
        <x:f>INDEX(Chantiers!$G$6:$G$805,MATCH($A34&amp;"/services",Chantiers!$A$6:$A$805,0))</x:f>
        <x:v>À faire</x:v>
      </x:c>
      <x:c r="J34" s="193" t="str">
        <x:f>INDEX(Chantiers!$G$6:$G$805,MATCH($A34&amp;"/art",Chantiers!$A$6:$A$805,0))</x:f>
        <x:v>À faire</x:v>
      </x:c>
      <x:c r="K34" s="193" t="str">
        <x:f>INDEX(Chantiers!$G$6:$G$805,MATCH($A34&amp;"/sauvegarde",Chantiers!$A$6:$A$805,0))</x:f>
        <x:v>En cours</x:v>
      </x:c>
      <x:c r="L34" s="193" t="str">
        <x:f>INDEX(Chantiers!$G$6:$G$805,MATCH($A34&amp;"/qa",Chantiers!$A$6:$A$805,0))</x:f>
        <x:v>En cours</x:v>
      </x:c>
      <x:c r="M34" s="193" t="n">
        <x:f>COUNTIF(C34:L34,"Validé")</x:f>
        <x:v>0</x:v>
      </x:c>
      <x:c r="N34" s="193" t="n">
        <x:f>COLUMNS(C34:L34)-M34</x:f>
        <x:v>10</x:v>
      </x:c>
    </x:row>
    <x:row r="35" ht="34" customHeight="1">
      <x:c r="A35" s="193" t="str">
        <x:v>EXT-MONDE-T030</x:v>
      </x:c>
      <x:c r="B35" s="194" t="str">
        <x:v>Pont à arches</x:v>
      </x:c>
      <x:c r="C35" s="193" t="str">
        <x:f>INDEX(Chantiers!$G$6:$G$805,MATCH($A35&amp;"/dimensions",Chantiers!$A$6:$A$805,0))</x:f>
        <x:v>En cours</x:v>
      </x:c>
      <x:c r="D35" s="193" t="str">
        <x:f>INDEX(Chantiers!$G$6:$G$805,MATCH($A35&amp;"/architecture",Chantiers!$A$6:$A$805,0))</x:f>
        <x:v>En cours</x:v>
      </x:c>
      <x:c r="E35" s="193" t="str">
        <x:f>INDEX(Chantiers!$G$6:$G$805,MATCH($A35&amp;"/seed",Chantiers!$A$6:$A$805,0))</x:f>
        <x:v>À faire</x:v>
      </x:c>
      <x:c r="F35" s="193" t="str">
        <x:f>INDEX(Chantiers!$G$6:$G$805,MATCH($A35&amp;"/props",Chantiers!$A$6:$A$805,0))</x:f>
        <x:v>En cours</x:v>
      </x:c>
      <x:c r="G35" s="193" t="str">
        <x:f>INDEX(Chantiers!$G$6:$G$805,MATCH($A35&amp;"/loot",Chantiers!$A$6:$A$805,0))</x:f>
        <x:v>À faire</x:v>
      </x:c>
      <x:c r="H35" s="193" t="str">
        <x:f>INDEX(Chantiers!$G$6:$G$805,MATCH($A35&amp;"/rencontres",Chantiers!$A$6:$A$805,0))</x:f>
        <x:v>À faire</x:v>
      </x:c>
      <x:c r="I35" s="193" t="str">
        <x:f>INDEX(Chantiers!$G$6:$G$805,MATCH($A35&amp;"/services",Chantiers!$A$6:$A$805,0))</x:f>
        <x:v>À faire</x:v>
      </x:c>
      <x:c r="J35" s="193" t="str">
        <x:f>INDEX(Chantiers!$G$6:$G$805,MATCH($A35&amp;"/art",Chantiers!$A$6:$A$805,0))</x:f>
        <x:v>À faire</x:v>
      </x:c>
      <x:c r="K35" s="193" t="str">
        <x:f>INDEX(Chantiers!$G$6:$G$805,MATCH($A35&amp;"/sauvegarde",Chantiers!$A$6:$A$805,0))</x:f>
        <x:v>En cours</x:v>
      </x:c>
      <x:c r="L35" s="193" t="str">
        <x:f>INDEX(Chantiers!$G$6:$G$805,MATCH($A35&amp;"/qa",Chantiers!$A$6:$A$805,0))</x:f>
        <x:v>En cours</x:v>
      </x:c>
      <x:c r="M35" s="193" t="n">
        <x:f>COUNTIF(C35:L35,"Validé")</x:f>
        <x:v>0</x:v>
      </x:c>
      <x:c r="N35" s="193" t="n">
        <x:f>COLUMNS(C35:L35)-M35</x:f>
        <x:v>10</x:v>
      </x:c>
    </x:row>
    <x:row r="36" ht="34" customHeight="1">
      <x:c r="A36" s="193" t="str">
        <x:v>EXT-MONDE-T031</x:v>
      </x:c>
      <x:c r="B36" s="194" t="str">
        <x:v>Pont levant portuaire</x:v>
      </x:c>
      <x:c r="C36" s="193" t="str">
        <x:f>INDEX(Chantiers!$G$6:$G$805,MATCH($A36&amp;"/dimensions",Chantiers!$A$6:$A$805,0))</x:f>
        <x:v>En cours</x:v>
      </x:c>
      <x:c r="D36" s="193" t="str">
        <x:f>INDEX(Chantiers!$G$6:$G$805,MATCH($A36&amp;"/architecture",Chantiers!$A$6:$A$805,0))</x:f>
        <x:v>En cours</x:v>
      </x:c>
      <x:c r="E36" s="193" t="str">
        <x:f>INDEX(Chantiers!$G$6:$G$805,MATCH($A36&amp;"/seed",Chantiers!$A$6:$A$805,0))</x:f>
        <x:v>À faire</x:v>
      </x:c>
      <x:c r="F36" s="193" t="str">
        <x:f>INDEX(Chantiers!$G$6:$G$805,MATCH($A36&amp;"/props",Chantiers!$A$6:$A$805,0))</x:f>
        <x:v>En cours</x:v>
      </x:c>
      <x:c r="G36" s="193" t="str">
        <x:f>INDEX(Chantiers!$G$6:$G$805,MATCH($A36&amp;"/loot",Chantiers!$A$6:$A$805,0))</x:f>
        <x:v>À faire</x:v>
      </x:c>
      <x:c r="H36" s="193" t="str">
        <x:f>INDEX(Chantiers!$G$6:$G$805,MATCH($A36&amp;"/rencontres",Chantiers!$A$6:$A$805,0))</x:f>
        <x:v>À faire</x:v>
      </x:c>
      <x:c r="I36" s="193" t="str">
        <x:f>INDEX(Chantiers!$G$6:$G$805,MATCH($A36&amp;"/services",Chantiers!$A$6:$A$805,0))</x:f>
        <x:v>À faire</x:v>
      </x:c>
      <x:c r="J36" s="193" t="str">
        <x:f>INDEX(Chantiers!$G$6:$G$805,MATCH($A36&amp;"/art",Chantiers!$A$6:$A$805,0))</x:f>
        <x:v>À faire</x:v>
      </x:c>
      <x:c r="K36" s="193" t="str">
        <x:f>INDEX(Chantiers!$G$6:$G$805,MATCH($A36&amp;"/sauvegarde",Chantiers!$A$6:$A$805,0))</x:f>
        <x:v>En cours</x:v>
      </x:c>
      <x:c r="L36" s="193" t="str">
        <x:f>INDEX(Chantiers!$G$6:$G$805,MATCH($A36&amp;"/qa",Chantiers!$A$6:$A$805,0))</x:f>
        <x:v>En cours</x:v>
      </x:c>
      <x:c r="M36" s="193" t="n">
        <x:f>COUNTIF(C36:L36,"Validé")</x:f>
        <x:v>0</x:v>
      </x:c>
      <x:c r="N36" s="193" t="n">
        <x:f>COLUMNS(C36:L36)-M36</x:f>
        <x:v>10</x:v>
      </x:c>
    </x:row>
    <x:row r="37" ht="34" customHeight="1">
      <x:c r="A37" s="193" t="str">
        <x:v>EXT-MONDE-T032</x:v>
      </x:c>
      <x:c r="B37" s="194" t="str">
        <x:v>Viaduc ferroviaire</x:v>
      </x:c>
      <x:c r="C37" s="193" t="str">
        <x:f>INDEX(Chantiers!$G$6:$G$805,MATCH($A37&amp;"/dimensions",Chantiers!$A$6:$A$805,0))</x:f>
        <x:v>En cours</x:v>
      </x:c>
      <x:c r="D37" s="193" t="str">
        <x:f>INDEX(Chantiers!$G$6:$G$805,MATCH($A37&amp;"/architecture",Chantiers!$A$6:$A$805,0))</x:f>
        <x:v>En cours</x:v>
      </x:c>
      <x:c r="E37" s="193" t="str">
        <x:f>INDEX(Chantiers!$G$6:$G$805,MATCH($A37&amp;"/seed",Chantiers!$A$6:$A$805,0))</x:f>
        <x:v>À faire</x:v>
      </x:c>
      <x:c r="F37" s="193" t="str">
        <x:f>INDEX(Chantiers!$G$6:$G$805,MATCH($A37&amp;"/props",Chantiers!$A$6:$A$805,0))</x:f>
        <x:v>En cours</x:v>
      </x:c>
      <x:c r="G37" s="193" t="str">
        <x:f>INDEX(Chantiers!$G$6:$G$805,MATCH($A37&amp;"/loot",Chantiers!$A$6:$A$805,0))</x:f>
        <x:v>À faire</x:v>
      </x:c>
      <x:c r="H37" s="193" t="str">
        <x:f>INDEX(Chantiers!$G$6:$G$805,MATCH($A37&amp;"/rencontres",Chantiers!$A$6:$A$805,0))</x:f>
        <x:v>À faire</x:v>
      </x:c>
      <x:c r="I37" s="193" t="str">
        <x:f>INDEX(Chantiers!$G$6:$G$805,MATCH($A37&amp;"/services",Chantiers!$A$6:$A$805,0))</x:f>
        <x:v>À faire</x:v>
      </x:c>
      <x:c r="J37" s="193" t="str">
        <x:f>INDEX(Chantiers!$G$6:$G$805,MATCH($A37&amp;"/art",Chantiers!$A$6:$A$805,0))</x:f>
        <x:v>À faire</x:v>
      </x:c>
      <x:c r="K37" s="193" t="str">
        <x:f>INDEX(Chantiers!$G$6:$G$805,MATCH($A37&amp;"/sauvegarde",Chantiers!$A$6:$A$805,0))</x:f>
        <x:v>En cours</x:v>
      </x:c>
      <x:c r="L37" s="193" t="str">
        <x:f>INDEX(Chantiers!$G$6:$G$805,MATCH($A37&amp;"/qa",Chantiers!$A$6:$A$805,0))</x:f>
        <x:v>En cours</x:v>
      </x:c>
      <x:c r="M37" s="193" t="n">
        <x:f>COUNTIF(C37:L37,"Validé")</x:f>
        <x:v>0</x:v>
      </x:c>
      <x:c r="N37" s="193" t="n">
        <x:f>COLUMNS(C37:L37)-M37</x:f>
        <x:v>10</x:v>
      </x:c>
    </x:row>
    <x:row r="38" ht="34" customHeight="1">
      <x:c r="A38" s="193" t="str">
        <x:v>EXT-MONDE-T033</x:v>
      </x:c>
      <x:c r="B38" s="194" t="str">
        <x:v>Échangeur en losange</x:v>
      </x:c>
      <x:c r="C38" s="193" t="str">
        <x:f>INDEX(Chantiers!$G$6:$G$805,MATCH($A38&amp;"/dimensions",Chantiers!$A$6:$A$805,0))</x:f>
        <x:v>En cours</x:v>
      </x:c>
      <x:c r="D38" s="193" t="str">
        <x:f>INDEX(Chantiers!$G$6:$G$805,MATCH($A38&amp;"/architecture",Chantiers!$A$6:$A$805,0))</x:f>
        <x:v>En cours</x:v>
      </x:c>
      <x:c r="E38" s="193" t="str">
        <x:f>INDEX(Chantiers!$G$6:$G$805,MATCH($A38&amp;"/seed",Chantiers!$A$6:$A$805,0))</x:f>
        <x:v>À faire</x:v>
      </x:c>
      <x:c r="F38" s="193" t="str">
        <x:f>INDEX(Chantiers!$G$6:$G$805,MATCH($A38&amp;"/props",Chantiers!$A$6:$A$805,0))</x:f>
        <x:v>En cours</x:v>
      </x:c>
      <x:c r="G38" s="193" t="str">
        <x:f>INDEX(Chantiers!$G$6:$G$805,MATCH($A38&amp;"/loot",Chantiers!$A$6:$A$805,0))</x:f>
        <x:v>À faire</x:v>
      </x:c>
      <x:c r="H38" s="193" t="str">
        <x:f>INDEX(Chantiers!$G$6:$G$805,MATCH($A38&amp;"/rencontres",Chantiers!$A$6:$A$805,0))</x:f>
        <x:v>À faire</x:v>
      </x:c>
      <x:c r="I38" s="193" t="str">
        <x:f>INDEX(Chantiers!$G$6:$G$805,MATCH($A38&amp;"/services",Chantiers!$A$6:$A$805,0))</x:f>
        <x:v>À faire</x:v>
      </x:c>
      <x:c r="J38" s="193" t="str">
        <x:f>INDEX(Chantiers!$G$6:$G$805,MATCH($A38&amp;"/art",Chantiers!$A$6:$A$805,0))</x:f>
        <x:v>À faire</x:v>
      </x:c>
      <x:c r="K38" s="193" t="str">
        <x:f>INDEX(Chantiers!$G$6:$G$805,MATCH($A38&amp;"/sauvegarde",Chantiers!$A$6:$A$805,0))</x:f>
        <x:v>En cours</x:v>
      </x:c>
      <x:c r="L38" s="193" t="str">
        <x:f>INDEX(Chantiers!$G$6:$G$805,MATCH($A38&amp;"/qa",Chantiers!$A$6:$A$805,0))</x:f>
        <x:v>En cours</x:v>
      </x:c>
      <x:c r="M38" s="193" t="n">
        <x:f>COUNTIF(C38:L38,"Validé")</x:f>
        <x:v>0</x:v>
      </x:c>
      <x:c r="N38" s="193" t="n">
        <x:f>COLUMNS(C38:L38)-M38</x:f>
        <x:v>10</x:v>
      </x:c>
    </x:row>
    <x:row r="39" ht="34" customHeight="1">
      <x:c r="A39" s="193" t="str">
        <x:v>EXT-MONDE-T034</x:v>
      </x:c>
      <x:c r="B39" s="194" t="str">
        <x:v>Échangeur en trompette</x:v>
      </x:c>
      <x:c r="C39" s="193" t="str">
        <x:f>INDEX(Chantiers!$G$6:$G$805,MATCH($A39&amp;"/dimensions",Chantiers!$A$6:$A$805,0))</x:f>
        <x:v>En cours</x:v>
      </x:c>
      <x:c r="D39" s="193" t="str">
        <x:f>INDEX(Chantiers!$G$6:$G$805,MATCH($A39&amp;"/architecture",Chantiers!$A$6:$A$805,0))</x:f>
        <x:v>En cours</x:v>
      </x:c>
      <x:c r="E39" s="193" t="str">
        <x:f>INDEX(Chantiers!$G$6:$G$805,MATCH($A39&amp;"/seed",Chantiers!$A$6:$A$805,0))</x:f>
        <x:v>À faire</x:v>
      </x:c>
      <x:c r="F39" s="193" t="str">
        <x:f>INDEX(Chantiers!$G$6:$G$805,MATCH($A39&amp;"/props",Chantiers!$A$6:$A$805,0))</x:f>
        <x:v>En cours</x:v>
      </x:c>
      <x:c r="G39" s="193" t="str">
        <x:f>INDEX(Chantiers!$G$6:$G$805,MATCH($A39&amp;"/loot",Chantiers!$A$6:$A$805,0))</x:f>
        <x:v>À faire</x:v>
      </x:c>
      <x:c r="H39" s="193" t="str">
        <x:f>INDEX(Chantiers!$G$6:$G$805,MATCH($A39&amp;"/rencontres",Chantiers!$A$6:$A$805,0))</x:f>
        <x:v>À faire</x:v>
      </x:c>
      <x:c r="I39" s="193" t="str">
        <x:f>INDEX(Chantiers!$G$6:$G$805,MATCH($A39&amp;"/services",Chantiers!$A$6:$A$805,0))</x:f>
        <x:v>À faire</x:v>
      </x:c>
      <x:c r="J39" s="193" t="str">
        <x:f>INDEX(Chantiers!$G$6:$G$805,MATCH($A39&amp;"/art",Chantiers!$A$6:$A$805,0))</x:f>
        <x:v>À faire</x:v>
      </x:c>
      <x:c r="K39" s="193" t="str">
        <x:f>INDEX(Chantiers!$G$6:$G$805,MATCH($A39&amp;"/sauvegarde",Chantiers!$A$6:$A$805,0))</x:f>
        <x:v>En cours</x:v>
      </x:c>
      <x:c r="L39" s="193" t="str">
        <x:f>INDEX(Chantiers!$G$6:$G$805,MATCH($A39&amp;"/qa",Chantiers!$A$6:$A$805,0))</x:f>
        <x:v>En cours</x:v>
      </x:c>
      <x:c r="M39" s="193" t="n">
        <x:f>COUNTIF(C39:L39,"Validé")</x:f>
        <x:v>0</x:v>
      </x:c>
      <x:c r="N39" s="193" t="n">
        <x:f>COLUMNS(C39:L39)-M39</x:f>
        <x:v>10</x:v>
      </x:c>
    </x:row>
    <x:row r="40" ht="34" customHeight="1">
      <x:c r="A40" s="193" t="str">
        <x:v>EXT-MONDE-T035</x:v>
      </x:c>
      <x:c r="B40" s="194" t="str">
        <x:v>Trèfle autoroutier</x:v>
      </x:c>
      <x:c r="C40" s="193" t="str">
        <x:f>INDEX(Chantiers!$G$6:$G$805,MATCH($A40&amp;"/dimensions",Chantiers!$A$6:$A$805,0))</x:f>
        <x:v>En cours</x:v>
      </x:c>
      <x:c r="D40" s="193" t="str">
        <x:f>INDEX(Chantiers!$G$6:$G$805,MATCH($A40&amp;"/architecture",Chantiers!$A$6:$A$805,0))</x:f>
        <x:v>En cours</x:v>
      </x:c>
      <x:c r="E40" s="193" t="str">
        <x:f>INDEX(Chantiers!$G$6:$G$805,MATCH($A40&amp;"/seed",Chantiers!$A$6:$A$805,0))</x:f>
        <x:v>À faire</x:v>
      </x:c>
      <x:c r="F40" s="193" t="str">
        <x:f>INDEX(Chantiers!$G$6:$G$805,MATCH($A40&amp;"/props",Chantiers!$A$6:$A$805,0))</x:f>
        <x:v>En cours</x:v>
      </x:c>
      <x:c r="G40" s="193" t="str">
        <x:f>INDEX(Chantiers!$G$6:$G$805,MATCH($A40&amp;"/loot",Chantiers!$A$6:$A$805,0))</x:f>
        <x:v>À faire</x:v>
      </x:c>
      <x:c r="H40" s="193" t="str">
        <x:f>INDEX(Chantiers!$G$6:$G$805,MATCH($A40&amp;"/rencontres",Chantiers!$A$6:$A$805,0))</x:f>
        <x:v>À faire</x:v>
      </x:c>
      <x:c r="I40" s="193" t="str">
        <x:f>INDEX(Chantiers!$G$6:$G$805,MATCH($A40&amp;"/services",Chantiers!$A$6:$A$805,0))</x:f>
        <x:v>À faire</x:v>
      </x:c>
      <x:c r="J40" s="193" t="str">
        <x:f>INDEX(Chantiers!$G$6:$G$805,MATCH($A40&amp;"/art",Chantiers!$A$6:$A$805,0))</x:f>
        <x:v>À faire</x:v>
      </x:c>
      <x:c r="K40" s="193" t="str">
        <x:f>INDEX(Chantiers!$G$6:$G$805,MATCH($A40&amp;"/sauvegarde",Chantiers!$A$6:$A$805,0))</x:f>
        <x:v>En cours</x:v>
      </x:c>
      <x:c r="L40" s="193" t="str">
        <x:f>INDEX(Chantiers!$G$6:$G$805,MATCH($A40&amp;"/qa",Chantiers!$A$6:$A$805,0))</x:f>
        <x:v>En cours</x:v>
      </x:c>
      <x:c r="M40" s="193" t="n">
        <x:f>COUNTIF(C40:L40,"Validé")</x:f>
        <x:v>0</x:v>
      </x:c>
      <x:c r="N40" s="193" t="n">
        <x:f>COLUMNS(C40:L40)-M40</x:f>
        <x:v>10</x:v>
      </x:c>
    </x:row>
    <x:row r="41" ht="34" customHeight="1">
      <x:c r="A41" s="193" t="str">
        <x:v>EXT-MONDE-T036</x:v>
      </x:c>
      <x:c r="B41" s="194" t="str">
        <x:v>Échangeur directionnel</x:v>
      </x:c>
      <x:c r="C41" s="193" t="str">
        <x:f>INDEX(Chantiers!$G$6:$G$805,MATCH($A41&amp;"/dimensions",Chantiers!$A$6:$A$805,0))</x:f>
        <x:v>En cours</x:v>
      </x:c>
      <x:c r="D41" s="193" t="str">
        <x:f>INDEX(Chantiers!$G$6:$G$805,MATCH($A41&amp;"/architecture",Chantiers!$A$6:$A$805,0))</x:f>
        <x:v>En cours</x:v>
      </x:c>
      <x:c r="E41" s="193" t="str">
        <x:f>INDEX(Chantiers!$G$6:$G$805,MATCH($A41&amp;"/seed",Chantiers!$A$6:$A$805,0))</x:f>
        <x:v>À faire</x:v>
      </x:c>
      <x:c r="F41" s="193" t="str">
        <x:f>INDEX(Chantiers!$G$6:$G$805,MATCH($A41&amp;"/props",Chantiers!$A$6:$A$805,0))</x:f>
        <x:v>En cours</x:v>
      </x:c>
      <x:c r="G41" s="193" t="str">
        <x:f>INDEX(Chantiers!$G$6:$G$805,MATCH($A41&amp;"/loot",Chantiers!$A$6:$A$805,0))</x:f>
        <x:v>À faire</x:v>
      </x:c>
      <x:c r="H41" s="193" t="str">
        <x:f>INDEX(Chantiers!$G$6:$G$805,MATCH($A41&amp;"/rencontres",Chantiers!$A$6:$A$805,0))</x:f>
        <x:v>À faire</x:v>
      </x:c>
      <x:c r="I41" s="193" t="str">
        <x:f>INDEX(Chantiers!$G$6:$G$805,MATCH($A41&amp;"/services",Chantiers!$A$6:$A$805,0))</x:f>
        <x:v>À faire</x:v>
      </x:c>
      <x:c r="J41" s="193" t="str">
        <x:f>INDEX(Chantiers!$G$6:$G$805,MATCH($A41&amp;"/art",Chantiers!$A$6:$A$805,0))</x:f>
        <x:v>À faire</x:v>
      </x:c>
      <x:c r="K41" s="193" t="str">
        <x:f>INDEX(Chantiers!$G$6:$G$805,MATCH($A41&amp;"/sauvegarde",Chantiers!$A$6:$A$805,0))</x:f>
        <x:v>En cours</x:v>
      </x:c>
      <x:c r="L41" s="193" t="str">
        <x:f>INDEX(Chantiers!$G$6:$G$805,MATCH($A41&amp;"/qa",Chantiers!$A$6:$A$805,0))</x:f>
        <x:v>En cours</x:v>
      </x:c>
      <x:c r="M41" s="193" t="n">
        <x:f>COUNTIF(C41:L41,"Validé")</x:f>
        <x:v>0</x:v>
      </x:c>
      <x:c r="N41" s="193" t="n">
        <x:f>COLUMNS(C41:L41)-M41</x:f>
        <x:v>10</x:v>
      </x:c>
    </x:row>
    <x:row r="42" ht="34" customHeight="1">
      <x:c r="A42" s="193" t="str">
        <x:v>EXT-MONDE-T037</x:v>
      </x:c>
      <x:c r="B42" s="194" t="str">
        <x:v>Collecteur urbain</x:v>
      </x:c>
      <x:c r="C42" s="193" t="str">
        <x:f>INDEX(Chantiers!$G$6:$G$805,MATCH($A42&amp;"/dimensions",Chantiers!$A$6:$A$805,0))</x:f>
        <x:v>En cours</x:v>
      </x:c>
      <x:c r="D42" s="193" t="str">
        <x:f>INDEX(Chantiers!$G$6:$G$805,MATCH($A42&amp;"/architecture",Chantiers!$A$6:$A$805,0))</x:f>
        <x:v>En cours</x:v>
      </x:c>
      <x:c r="E42" s="193" t="str">
        <x:f>INDEX(Chantiers!$G$6:$G$805,MATCH($A42&amp;"/seed",Chantiers!$A$6:$A$805,0))</x:f>
        <x:v>À faire</x:v>
      </x:c>
      <x:c r="F42" s="193" t="str">
        <x:f>INDEX(Chantiers!$G$6:$G$805,MATCH($A42&amp;"/props",Chantiers!$A$6:$A$805,0))</x:f>
        <x:v>En cours</x:v>
      </x:c>
      <x:c r="G42" s="193" t="str">
        <x:f>INDEX(Chantiers!$G$6:$G$805,MATCH($A42&amp;"/loot",Chantiers!$A$6:$A$805,0))</x:f>
        <x:v>À faire</x:v>
      </x:c>
      <x:c r="H42" s="193" t="str">
        <x:f>INDEX(Chantiers!$G$6:$G$805,MATCH($A42&amp;"/rencontres",Chantiers!$A$6:$A$805,0))</x:f>
        <x:v>À faire</x:v>
      </x:c>
      <x:c r="I42" s="193" t="str">
        <x:f>INDEX(Chantiers!$G$6:$G$805,MATCH($A42&amp;"/services",Chantiers!$A$6:$A$805,0))</x:f>
        <x:v>À faire</x:v>
      </x:c>
      <x:c r="J42" s="193" t="str">
        <x:f>INDEX(Chantiers!$G$6:$G$805,MATCH($A42&amp;"/art",Chantiers!$A$6:$A$805,0))</x:f>
        <x:v>À faire</x:v>
      </x:c>
      <x:c r="K42" s="193" t="str">
        <x:f>INDEX(Chantiers!$G$6:$G$805,MATCH($A42&amp;"/sauvegarde",Chantiers!$A$6:$A$805,0))</x:f>
        <x:v>En cours</x:v>
      </x:c>
      <x:c r="L42" s="193" t="str">
        <x:f>INDEX(Chantiers!$G$6:$G$805,MATCH($A42&amp;"/qa",Chantiers!$A$6:$A$805,0))</x:f>
        <x:v>En cours</x:v>
      </x:c>
      <x:c r="M42" s="193" t="n">
        <x:f>COUNTIF(C42:L42,"Validé")</x:f>
        <x:v>0</x:v>
      </x:c>
      <x:c r="N42" s="193" t="n">
        <x:f>COLUMNS(C42:L42)-M42</x:f>
        <x:v>10</x:v>
      </x:c>
    </x:row>
    <x:row r="43" ht="34" customHeight="1">
      <x:c r="A43" s="193" t="str">
        <x:v>EXT-MONDE-T038</x:v>
      </x:c>
      <x:c r="B43" s="194" t="str">
        <x:v>Réseau unitaire ancien</x:v>
      </x:c>
      <x:c r="C43" s="193" t="str">
        <x:f>INDEX(Chantiers!$G$6:$G$805,MATCH($A43&amp;"/dimensions",Chantiers!$A$6:$A$805,0))</x:f>
        <x:v>En cours</x:v>
      </x:c>
      <x:c r="D43" s="193" t="str">
        <x:f>INDEX(Chantiers!$G$6:$G$805,MATCH($A43&amp;"/architecture",Chantiers!$A$6:$A$805,0))</x:f>
        <x:v>En cours</x:v>
      </x:c>
      <x:c r="E43" s="193" t="str">
        <x:f>INDEX(Chantiers!$G$6:$G$805,MATCH($A43&amp;"/seed",Chantiers!$A$6:$A$805,0))</x:f>
        <x:v>À faire</x:v>
      </x:c>
      <x:c r="F43" s="193" t="str">
        <x:f>INDEX(Chantiers!$G$6:$G$805,MATCH($A43&amp;"/props",Chantiers!$A$6:$A$805,0))</x:f>
        <x:v>En cours</x:v>
      </x:c>
      <x:c r="G43" s="193" t="str">
        <x:f>INDEX(Chantiers!$G$6:$G$805,MATCH($A43&amp;"/loot",Chantiers!$A$6:$A$805,0))</x:f>
        <x:v>À faire</x:v>
      </x:c>
      <x:c r="H43" s="193" t="str">
        <x:f>INDEX(Chantiers!$G$6:$G$805,MATCH($A43&amp;"/rencontres",Chantiers!$A$6:$A$805,0))</x:f>
        <x:v>À faire</x:v>
      </x:c>
      <x:c r="I43" s="193" t="str">
        <x:f>INDEX(Chantiers!$G$6:$G$805,MATCH($A43&amp;"/services",Chantiers!$A$6:$A$805,0))</x:f>
        <x:v>À faire</x:v>
      </x:c>
      <x:c r="J43" s="193" t="str">
        <x:f>INDEX(Chantiers!$G$6:$G$805,MATCH($A43&amp;"/art",Chantiers!$A$6:$A$805,0))</x:f>
        <x:v>À faire</x:v>
      </x:c>
      <x:c r="K43" s="193" t="str">
        <x:f>INDEX(Chantiers!$G$6:$G$805,MATCH($A43&amp;"/sauvegarde",Chantiers!$A$6:$A$805,0))</x:f>
        <x:v>En cours</x:v>
      </x:c>
      <x:c r="L43" s="193" t="str">
        <x:f>INDEX(Chantiers!$G$6:$G$805,MATCH($A43&amp;"/qa",Chantiers!$A$6:$A$805,0))</x:f>
        <x:v>En cours</x:v>
      </x:c>
      <x:c r="M43" s="193" t="n">
        <x:f>COUNTIF(C43:L43,"Validé")</x:f>
        <x:v>0</x:v>
      </x:c>
      <x:c r="N43" s="193" t="n">
        <x:f>COLUMNS(C43:L43)-M43</x:f>
        <x:v>10</x:v>
      </x:c>
    </x:row>
    <x:row r="44" ht="34" customHeight="1">
      <x:c r="A44" s="193" t="str">
        <x:v>EXT-MONDE-T039</x:v>
      </x:c>
      <x:c r="B44" s="194" t="str">
        <x:v>Galerie pluviale</x:v>
      </x:c>
      <x:c r="C44" s="193" t="str">
        <x:f>INDEX(Chantiers!$G$6:$G$805,MATCH($A44&amp;"/dimensions",Chantiers!$A$6:$A$805,0))</x:f>
        <x:v>En cours</x:v>
      </x:c>
      <x:c r="D44" s="193" t="str">
        <x:f>INDEX(Chantiers!$G$6:$G$805,MATCH($A44&amp;"/architecture",Chantiers!$A$6:$A$805,0))</x:f>
        <x:v>En cours</x:v>
      </x:c>
      <x:c r="E44" s="193" t="str">
        <x:f>INDEX(Chantiers!$G$6:$G$805,MATCH($A44&amp;"/seed",Chantiers!$A$6:$A$805,0))</x:f>
        <x:v>À faire</x:v>
      </x:c>
      <x:c r="F44" s="193" t="str">
        <x:f>INDEX(Chantiers!$G$6:$G$805,MATCH($A44&amp;"/props",Chantiers!$A$6:$A$805,0))</x:f>
        <x:v>En cours</x:v>
      </x:c>
      <x:c r="G44" s="193" t="str">
        <x:f>INDEX(Chantiers!$G$6:$G$805,MATCH($A44&amp;"/loot",Chantiers!$A$6:$A$805,0))</x:f>
        <x:v>À faire</x:v>
      </x:c>
      <x:c r="H44" s="193" t="str">
        <x:f>INDEX(Chantiers!$G$6:$G$805,MATCH($A44&amp;"/rencontres",Chantiers!$A$6:$A$805,0))</x:f>
        <x:v>À faire</x:v>
      </x:c>
      <x:c r="I44" s="193" t="str">
        <x:f>INDEX(Chantiers!$G$6:$G$805,MATCH($A44&amp;"/services",Chantiers!$A$6:$A$805,0))</x:f>
        <x:v>À faire</x:v>
      </x:c>
      <x:c r="J44" s="193" t="str">
        <x:f>INDEX(Chantiers!$G$6:$G$805,MATCH($A44&amp;"/art",Chantiers!$A$6:$A$805,0))</x:f>
        <x:v>À faire</x:v>
      </x:c>
      <x:c r="K44" s="193" t="str">
        <x:f>INDEX(Chantiers!$G$6:$G$805,MATCH($A44&amp;"/sauvegarde",Chantiers!$A$6:$A$805,0))</x:f>
        <x:v>En cours</x:v>
      </x:c>
      <x:c r="L44" s="193" t="str">
        <x:f>INDEX(Chantiers!$G$6:$G$805,MATCH($A44&amp;"/qa",Chantiers!$A$6:$A$805,0))</x:f>
        <x:v>En cours</x:v>
      </x:c>
      <x:c r="M44" s="193" t="n">
        <x:f>COUNTIF(C44:L44,"Validé")</x:f>
        <x:v>0</x:v>
      </x:c>
      <x:c r="N44" s="193" t="n">
        <x:f>COLUMNS(C44:L44)-M44</x:f>
        <x:v>10</x:v>
      </x:c>
    </x:row>
    <x:row r="45" ht="34" customHeight="1">
      <x:c r="A45" s="193" t="str">
        <x:v>EXT-MONDE-T040</x:v>
      </x:c>
      <x:c r="B45" s="194" t="str">
        <x:v>Station souterraine de relevage</x:v>
      </x:c>
      <x:c r="C45" s="193" t="str">
        <x:f>INDEX(Chantiers!$G$6:$G$805,MATCH($A45&amp;"/dimensions",Chantiers!$A$6:$A$805,0))</x:f>
        <x:v>En cours</x:v>
      </x:c>
      <x:c r="D45" s="193" t="str">
        <x:f>INDEX(Chantiers!$G$6:$G$805,MATCH($A45&amp;"/architecture",Chantiers!$A$6:$A$805,0))</x:f>
        <x:v>En cours</x:v>
      </x:c>
      <x:c r="E45" s="193" t="str">
        <x:f>INDEX(Chantiers!$G$6:$G$805,MATCH($A45&amp;"/seed",Chantiers!$A$6:$A$805,0))</x:f>
        <x:v>À faire</x:v>
      </x:c>
      <x:c r="F45" s="193" t="str">
        <x:f>INDEX(Chantiers!$G$6:$G$805,MATCH($A45&amp;"/props",Chantiers!$A$6:$A$805,0))</x:f>
        <x:v>En cours</x:v>
      </x:c>
      <x:c r="G45" s="193" t="str">
        <x:f>INDEX(Chantiers!$G$6:$G$805,MATCH($A45&amp;"/loot",Chantiers!$A$6:$A$805,0))</x:f>
        <x:v>À faire</x:v>
      </x:c>
      <x:c r="H45" s="193" t="str">
        <x:f>INDEX(Chantiers!$G$6:$G$805,MATCH($A45&amp;"/rencontres",Chantiers!$A$6:$A$805,0))</x:f>
        <x:v>À faire</x:v>
      </x:c>
      <x:c r="I45" s="193" t="str">
        <x:f>INDEX(Chantiers!$G$6:$G$805,MATCH($A45&amp;"/services",Chantiers!$A$6:$A$805,0))</x:f>
        <x:v>À faire</x:v>
      </x:c>
      <x:c r="J45" s="193" t="str">
        <x:f>INDEX(Chantiers!$G$6:$G$805,MATCH($A45&amp;"/art",Chantiers!$A$6:$A$805,0))</x:f>
        <x:v>À faire</x:v>
      </x:c>
      <x:c r="K45" s="193" t="str">
        <x:f>INDEX(Chantiers!$G$6:$G$805,MATCH($A45&amp;"/sauvegarde",Chantiers!$A$6:$A$805,0))</x:f>
        <x:v>En cours</x:v>
      </x:c>
      <x:c r="L45" s="193" t="str">
        <x:f>INDEX(Chantiers!$G$6:$G$805,MATCH($A45&amp;"/qa",Chantiers!$A$6:$A$805,0))</x:f>
        <x:v>En cours</x:v>
      </x:c>
      <x:c r="M45" s="193" t="n">
        <x:f>COUNTIF(C45:L45,"Validé")</x:f>
        <x:v>0</x:v>
      </x:c>
      <x:c r="N45" s="193" t="n">
        <x:f>COLUMNS(C45:L45)-M45</x:f>
        <x:v>10</x:v>
      </x:c>
    </x:row>
    <x:row r="46" ht="34" customHeight="1">
      <x:c r="A46" s="193" t="str">
        <x:v>EXT-MONDE-T041</x:v>
      </x:c>
      <x:c r="B46" s="194" t="str">
        <x:v>Barre HLM</x:v>
      </x:c>
      <x:c r="C46" s="193" t="str">
        <x:f>INDEX(Chantiers!$G$6:$G$805,MATCH($A46&amp;"/dimensions",Chantiers!$A$6:$A$805,0))</x:f>
        <x:v>En cours</x:v>
      </x:c>
      <x:c r="D46" s="193" t="str">
        <x:f>INDEX(Chantiers!$G$6:$G$805,MATCH($A46&amp;"/architecture",Chantiers!$A$6:$A$805,0))</x:f>
        <x:v>En cours</x:v>
      </x:c>
      <x:c r="E46" s="193" t="str">
        <x:f>INDEX(Chantiers!$G$6:$G$805,MATCH($A46&amp;"/seed",Chantiers!$A$6:$A$805,0))</x:f>
        <x:v>À faire</x:v>
      </x:c>
      <x:c r="F46" s="193" t="str">
        <x:f>INDEX(Chantiers!$G$6:$G$805,MATCH($A46&amp;"/props",Chantiers!$A$6:$A$805,0))</x:f>
        <x:v>En cours</x:v>
      </x:c>
      <x:c r="G46" s="193" t="str">
        <x:f>INDEX(Chantiers!$G$6:$G$805,MATCH($A46&amp;"/loot",Chantiers!$A$6:$A$805,0))</x:f>
        <x:v>À faire</x:v>
      </x:c>
      <x:c r="H46" s="193" t="str">
        <x:f>INDEX(Chantiers!$G$6:$G$805,MATCH($A46&amp;"/rencontres",Chantiers!$A$6:$A$805,0))</x:f>
        <x:v>À faire</x:v>
      </x:c>
      <x:c r="I46" s="193" t="str">
        <x:f>INDEX(Chantiers!$G$6:$G$805,MATCH($A46&amp;"/services",Chantiers!$A$6:$A$805,0))</x:f>
        <x:v>À faire</x:v>
      </x:c>
      <x:c r="J46" s="193" t="str">
        <x:f>INDEX(Chantiers!$G$6:$G$805,MATCH($A46&amp;"/art",Chantiers!$A$6:$A$805,0))</x:f>
        <x:v>À faire</x:v>
      </x:c>
      <x:c r="K46" s="193" t="str">
        <x:f>INDEX(Chantiers!$G$6:$G$805,MATCH($A46&amp;"/sauvegarde",Chantiers!$A$6:$A$805,0))</x:f>
        <x:v>En cours</x:v>
      </x:c>
      <x:c r="L46" s="193" t="str">
        <x:f>INDEX(Chantiers!$G$6:$G$805,MATCH($A46&amp;"/qa",Chantiers!$A$6:$A$805,0))</x:f>
        <x:v>En cours</x:v>
      </x:c>
      <x:c r="M46" s="193" t="n">
        <x:f>COUNTIF(C46:L46,"Validé")</x:f>
        <x:v>0</x:v>
      </x:c>
      <x:c r="N46" s="193" t="n">
        <x:f>COLUMNS(C46:L46)-M46</x:f>
        <x:v>10</x:v>
      </x:c>
    </x:row>
    <x:row r="47" ht="34" customHeight="1">
      <x:c r="A47" s="193" t="str">
        <x:v>EXT-MONDE-T042</x:v>
      </x:c>
      <x:c r="B47" s="194" t="str">
        <x:v>Tour HLM</x:v>
      </x:c>
      <x:c r="C47" s="193" t="str">
        <x:f>INDEX(Chantiers!$G$6:$G$805,MATCH($A47&amp;"/dimensions",Chantiers!$A$6:$A$805,0))</x:f>
        <x:v>En cours</x:v>
      </x:c>
      <x:c r="D47" s="193" t="str">
        <x:f>INDEX(Chantiers!$G$6:$G$805,MATCH($A47&amp;"/architecture",Chantiers!$A$6:$A$805,0))</x:f>
        <x:v>En cours</x:v>
      </x:c>
      <x:c r="E47" s="193" t="str">
        <x:f>INDEX(Chantiers!$G$6:$G$805,MATCH($A47&amp;"/seed",Chantiers!$A$6:$A$805,0))</x:f>
        <x:v>À faire</x:v>
      </x:c>
      <x:c r="F47" s="193" t="str">
        <x:f>INDEX(Chantiers!$G$6:$G$805,MATCH($A47&amp;"/props",Chantiers!$A$6:$A$805,0))</x:f>
        <x:v>En cours</x:v>
      </x:c>
      <x:c r="G47" s="193" t="str">
        <x:f>INDEX(Chantiers!$G$6:$G$805,MATCH($A47&amp;"/loot",Chantiers!$A$6:$A$805,0))</x:f>
        <x:v>À faire</x:v>
      </x:c>
      <x:c r="H47" s="193" t="str">
        <x:f>INDEX(Chantiers!$G$6:$G$805,MATCH($A47&amp;"/rencontres",Chantiers!$A$6:$A$805,0))</x:f>
        <x:v>À faire</x:v>
      </x:c>
      <x:c r="I47" s="193" t="str">
        <x:f>INDEX(Chantiers!$G$6:$G$805,MATCH($A47&amp;"/services",Chantiers!$A$6:$A$805,0))</x:f>
        <x:v>À faire</x:v>
      </x:c>
      <x:c r="J47" s="193" t="str">
        <x:f>INDEX(Chantiers!$G$6:$G$805,MATCH($A47&amp;"/art",Chantiers!$A$6:$A$805,0))</x:f>
        <x:v>À faire</x:v>
      </x:c>
      <x:c r="K47" s="193" t="str">
        <x:f>INDEX(Chantiers!$G$6:$G$805,MATCH($A47&amp;"/sauvegarde",Chantiers!$A$6:$A$805,0))</x:f>
        <x:v>En cours</x:v>
      </x:c>
      <x:c r="L47" s="193" t="str">
        <x:f>INDEX(Chantiers!$G$6:$G$805,MATCH($A47&amp;"/qa",Chantiers!$A$6:$A$805,0))</x:f>
        <x:v>En cours</x:v>
      </x:c>
      <x:c r="M47" s="193" t="n">
        <x:f>COUNTIF(C47:L47,"Validé")</x:f>
        <x:v>0</x:v>
      </x:c>
      <x:c r="N47" s="193" t="n">
        <x:f>COLUMNS(C47:L47)-M47</x:f>
        <x:v>10</x:v>
      </x:c>
    </x:row>
    <x:row r="48" ht="34" customHeight="1">
      <x:c r="A48" s="193" t="str">
        <x:v>EXT-MONDE-T043</x:v>
      </x:c>
      <x:c r="B48" s="194" t="str">
        <x:v>Résidence en cour</x:v>
      </x:c>
      <x:c r="C48" s="193" t="str">
        <x:f>INDEX(Chantiers!$G$6:$G$805,MATCH($A48&amp;"/dimensions",Chantiers!$A$6:$A$805,0))</x:f>
        <x:v>En cours</x:v>
      </x:c>
      <x:c r="D48" s="193" t="str">
        <x:f>INDEX(Chantiers!$G$6:$G$805,MATCH($A48&amp;"/architecture",Chantiers!$A$6:$A$805,0))</x:f>
        <x:v>En cours</x:v>
      </x:c>
      <x:c r="E48" s="193" t="str">
        <x:f>INDEX(Chantiers!$G$6:$G$805,MATCH($A48&amp;"/seed",Chantiers!$A$6:$A$805,0))</x:f>
        <x:v>À faire</x:v>
      </x:c>
      <x:c r="F48" s="193" t="str">
        <x:f>INDEX(Chantiers!$G$6:$G$805,MATCH($A48&amp;"/props",Chantiers!$A$6:$A$805,0))</x:f>
        <x:v>En cours</x:v>
      </x:c>
      <x:c r="G48" s="193" t="str">
        <x:f>INDEX(Chantiers!$G$6:$G$805,MATCH($A48&amp;"/loot",Chantiers!$A$6:$A$805,0))</x:f>
        <x:v>À faire</x:v>
      </x:c>
      <x:c r="H48" s="193" t="str">
        <x:f>INDEX(Chantiers!$G$6:$G$805,MATCH($A48&amp;"/rencontres",Chantiers!$A$6:$A$805,0))</x:f>
        <x:v>À faire</x:v>
      </x:c>
      <x:c r="I48" s="193" t="str">
        <x:f>INDEX(Chantiers!$G$6:$G$805,MATCH($A48&amp;"/services",Chantiers!$A$6:$A$805,0))</x:f>
        <x:v>À faire</x:v>
      </x:c>
      <x:c r="J48" s="193" t="str">
        <x:f>INDEX(Chantiers!$G$6:$G$805,MATCH($A48&amp;"/art",Chantiers!$A$6:$A$805,0))</x:f>
        <x:v>À faire</x:v>
      </x:c>
      <x:c r="K48" s="193" t="str">
        <x:f>INDEX(Chantiers!$G$6:$G$805,MATCH($A48&amp;"/sauvegarde",Chantiers!$A$6:$A$805,0))</x:f>
        <x:v>En cours</x:v>
      </x:c>
      <x:c r="L48" s="193" t="str">
        <x:f>INDEX(Chantiers!$G$6:$G$805,MATCH($A48&amp;"/qa",Chantiers!$A$6:$A$805,0))</x:f>
        <x:v>En cours</x:v>
      </x:c>
      <x:c r="M48" s="193" t="n">
        <x:f>COUNTIF(C48:L48,"Validé")</x:f>
        <x:v>0</x:v>
      </x:c>
      <x:c r="N48" s="193" t="n">
        <x:f>COLUMNS(C48:L48)-M48</x:f>
        <x:v>10</x:v>
      </x:c>
    </x:row>
    <x:row r="49" ht="34" customHeight="1">
      <x:c r="A49" s="193" t="str">
        <x:v>EXT-MONDE-T044</x:v>
      </x:c>
      <x:c r="B49" s="194" t="str">
        <x:v>Ensemble HLM mixte</x:v>
      </x:c>
      <x:c r="C49" s="193" t="str">
        <x:f>INDEX(Chantiers!$G$6:$G$805,MATCH($A49&amp;"/dimensions",Chantiers!$A$6:$A$805,0))</x:f>
        <x:v>En cours</x:v>
      </x:c>
      <x:c r="D49" s="193" t="str">
        <x:f>INDEX(Chantiers!$G$6:$G$805,MATCH($A49&amp;"/architecture",Chantiers!$A$6:$A$805,0))</x:f>
        <x:v>En cours</x:v>
      </x:c>
      <x:c r="E49" s="193" t="str">
        <x:f>INDEX(Chantiers!$G$6:$G$805,MATCH($A49&amp;"/seed",Chantiers!$A$6:$A$805,0))</x:f>
        <x:v>À faire</x:v>
      </x:c>
      <x:c r="F49" s="193" t="str">
        <x:f>INDEX(Chantiers!$G$6:$G$805,MATCH($A49&amp;"/props",Chantiers!$A$6:$A$805,0))</x:f>
        <x:v>En cours</x:v>
      </x:c>
      <x:c r="G49" s="193" t="str">
        <x:f>INDEX(Chantiers!$G$6:$G$805,MATCH($A49&amp;"/loot",Chantiers!$A$6:$A$805,0))</x:f>
        <x:v>À faire</x:v>
      </x:c>
      <x:c r="H49" s="193" t="str">
        <x:f>INDEX(Chantiers!$G$6:$G$805,MATCH($A49&amp;"/rencontres",Chantiers!$A$6:$A$805,0))</x:f>
        <x:v>À faire</x:v>
      </x:c>
      <x:c r="I49" s="193" t="str">
        <x:f>INDEX(Chantiers!$G$6:$G$805,MATCH($A49&amp;"/services",Chantiers!$A$6:$A$805,0))</x:f>
        <x:v>À faire</x:v>
      </x:c>
      <x:c r="J49" s="193" t="str">
        <x:f>INDEX(Chantiers!$G$6:$G$805,MATCH($A49&amp;"/art",Chantiers!$A$6:$A$805,0))</x:f>
        <x:v>À faire</x:v>
      </x:c>
      <x:c r="K49" s="193" t="str">
        <x:f>INDEX(Chantiers!$G$6:$G$805,MATCH($A49&amp;"/sauvegarde",Chantiers!$A$6:$A$805,0))</x:f>
        <x:v>En cours</x:v>
      </x:c>
      <x:c r="L49" s="193" t="str">
        <x:f>INDEX(Chantiers!$G$6:$G$805,MATCH($A49&amp;"/qa",Chantiers!$A$6:$A$805,0))</x:f>
        <x:v>En cours</x:v>
      </x:c>
      <x:c r="M49" s="193" t="n">
        <x:f>COUNTIF(C49:L49,"Validé")</x:f>
        <x:v>0</x:v>
      </x:c>
      <x:c r="N49" s="193" t="n">
        <x:f>COLUMNS(C49:L49)-M49</x:f>
        <x:v>10</x:v>
      </x:c>
    </x:row>
    <x:row r="50" ht="34" customHeight="1">
      <x:c r="A50" s="193" t="str">
        <x:v>EXT-MONDE-T045</x:v>
      </x:c>
      <x:c r="B50" s="194" t="str">
        <x:v>Parc résidentiel de mobil-homes</x:v>
      </x:c>
      <x:c r="C50" s="193" t="str">
        <x:f>INDEX(Chantiers!$G$6:$G$805,MATCH($A50&amp;"/dimensions",Chantiers!$A$6:$A$805,0))</x:f>
        <x:v>En cours</x:v>
      </x:c>
      <x:c r="D50" s="193" t="str">
        <x:f>INDEX(Chantiers!$G$6:$G$805,MATCH($A50&amp;"/architecture",Chantiers!$A$6:$A$805,0))</x:f>
        <x:v>En cours</x:v>
      </x:c>
      <x:c r="E50" s="193" t="str">
        <x:f>INDEX(Chantiers!$G$6:$G$805,MATCH($A50&amp;"/seed",Chantiers!$A$6:$A$805,0))</x:f>
        <x:v>À faire</x:v>
      </x:c>
      <x:c r="F50" s="193" t="str">
        <x:f>INDEX(Chantiers!$G$6:$G$805,MATCH($A50&amp;"/props",Chantiers!$A$6:$A$805,0))</x:f>
        <x:v>En cours</x:v>
      </x:c>
      <x:c r="G50" s="193" t="str">
        <x:f>INDEX(Chantiers!$G$6:$G$805,MATCH($A50&amp;"/loot",Chantiers!$A$6:$A$805,0))</x:f>
        <x:v>À faire</x:v>
      </x:c>
      <x:c r="H50" s="193" t="str">
        <x:f>INDEX(Chantiers!$G$6:$G$805,MATCH($A50&amp;"/rencontres",Chantiers!$A$6:$A$805,0))</x:f>
        <x:v>À faire</x:v>
      </x:c>
      <x:c r="I50" s="193" t="str">
        <x:f>INDEX(Chantiers!$G$6:$G$805,MATCH($A50&amp;"/services",Chantiers!$A$6:$A$805,0))</x:f>
        <x:v>À faire</x:v>
      </x:c>
      <x:c r="J50" s="193" t="str">
        <x:f>INDEX(Chantiers!$G$6:$G$805,MATCH($A50&amp;"/art",Chantiers!$A$6:$A$805,0))</x:f>
        <x:v>À faire</x:v>
      </x:c>
      <x:c r="K50" s="193" t="str">
        <x:f>INDEX(Chantiers!$G$6:$G$805,MATCH($A50&amp;"/sauvegarde",Chantiers!$A$6:$A$805,0))</x:f>
        <x:v>En cours</x:v>
      </x:c>
      <x:c r="L50" s="193" t="str">
        <x:f>INDEX(Chantiers!$G$6:$G$805,MATCH($A50&amp;"/qa",Chantiers!$A$6:$A$805,0))</x:f>
        <x:v>En cours</x:v>
      </x:c>
      <x:c r="M50" s="193" t="n">
        <x:f>COUNTIF(C50:L50,"Validé")</x:f>
        <x:v>0</x:v>
      </x:c>
      <x:c r="N50" s="193" t="n">
        <x:f>COLUMNS(C50:L50)-M50</x:f>
        <x:v>10</x:v>
      </x:c>
    </x:row>
    <x:row r="51" ht="34" customHeight="1">
      <x:c r="A51" s="193" t="str">
        <x:v>EXT-MONDE-T046</x:v>
      </x:c>
      <x:c r="B51" s="194" t="str">
        <x:v>Camping caravanes</x:v>
      </x:c>
      <x:c r="C51" s="193" t="str">
        <x:f>INDEX(Chantiers!$G$6:$G$805,MATCH($A51&amp;"/dimensions",Chantiers!$A$6:$A$805,0))</x:f>
        <x:v>En cours</x:v>
      </x:c>
      <x:c r="D51" s="193" t="str">
        <x:f>INDEX(Chantiers!$G$6:$G$805,MATCH($A51&amp;"/architecture",Chantiers!$A$6:$A$805,0))</x:f>
        <x:v>En cours</x:v>
      </x:c>
      <x:c r="E51" s="193" t="str">
        <x:f>INDEX(Chantiers!$G$6:$G$805,MATCH($A51&amp;"/seed",Chantiers!$A$6:$A$805,0))</x:f>
        <x:v>À faire</x:v>
      </x:c>
      <x:c r="F51" s="193" t="str">
        <x:f>INDEX(Chantiers!$G$6:$G$805,MATCH($A51&amp;"/props",Chantiers!$A$6:$A$805,0))</x:f>
        <x:v>En cours</x:v>
      </x:c>
      <x:c r="G51" s="193" t="str">
        <x:f>INDEX(Chantiers!$G$6:$G$805,MATCH($A51&amp;"/loot",Chantiers!$A$6:$A$805,0))</x:f>
        <x:v>À faire</x:v>
      </x:c>
      <x:c r="H51" s="193" t="str">
        <x:f>INDEX(Chantiers!$G$6:$G$805,MATCH($A51&amp;"/rencontres",Chantiers!$A$6:$A$805,0))</x:f>
        <x:v>À faire</x:v>
      </x:c>
      <x:c r="I51" s="193" t="str">
        <x:f>INDEX(Chantiers!$G$6:$G$805,MATCH($A51&amp;"/services",Chantiers!$A$6:$A$805,0))</x:f>
        <x:v>À faire</x:v>
      </x:c>
      <x:c r="J51" s="193" t="str">
        <x:f>INDEX(Chantiers!$G$6:$G$805,MATCH($A51&amp;"/art",Chantiers!$A$6:$A$805,0))</x:f>
        <x:v>À faire</x:v>
      </x:c>
      <x:c r="K51" s="193" t="str">
        <x:f>INDEX(Chantiers!$G$6:$G$805,MATCH($A51&amp;"/sauvegarde",Chantiers!$A$6:$A$805,0))</x:f>
        <x:v>En cours</x:v>
      </x:c>
      <x:c r="L51" s="193" t="str">
        <x:f>INDEX(Chantiers!$G$6:$G$805,MATCH($A51&amp;"/qa",Chantiers!$A$6:$A$805,0))</x:f>
        <x:v>En cours</x:v>
      </x:c>
      <x:c r="M51" s="193" t="n">
        <x:f>COUNTIF(C51:L51,"Validé")</x:f>
        <x:v>0</x:v>
      </x:c>
      <x:c r="N51" s="193" t="n">
        <x:f>COLUMNS(C51:L51)-M51</x:f>
        <x:v>10</x:v>
      </x:c>
    </x:row>
    <x:row r="52" ht="34" customHeight="1">
      <x:c r="A52" s="193" t="str">
        <x:v>EXT-MONDE-T047</x:v>
      </x:c>
      <x:c r="B52" s="194" t="str">
        <x:v>Camp de travailleurs</x:v>
      </x:c>
      <x:c r="C52" s="193" t="str">
        <x:f>INDEX(Chantiers!$G$6:$G$805,MATCH($A52&amp;"/dimensions",Chantiers!$A$6:$A$805,0))</x:f>
        <x:v>En cours</x:v>
      </x:c>
      <x:c r="D52" s="193" t="str">
        <x:f>INDEX(Chantiers!$G$6:$G$805,MATCH($A52&amp;"/architecture",Chantiers!$A$6:$A$805,0))</x:f>
        <x:v>En cours</x:v>
      </x:c>
      <x:c r="E52" s="193" t="str">
        <x:f>INDEX(Chantiers!$G$6:$G$805,MATCH($A52&amp;"/seed",Chantiers!$A$6:$A$805,0))</x:f>
        <x:v>À faire</x:v>
      </x:c>
      <x:c r="F52" s="193" t="str">
        <x:f>INDEX(Chantiers!$G$6:$G$805,MATCH($A52&amp;"/props",Chantiers!$A$6:$A$805,0))</x:f>
        <x:v>En cours</x:v>
      </x:c>
      <x:c r="G52" s="193" t="str">
        <x:f>INDEX(Chantiers!$G$6:$G$805,MATCH($A52&amp;"/loot",Chantiers!$A$6:$A$805,0))</x:f>
        <x:v>À faire</x:v>
      </x:c>
      <x:c r="H52" s="193" t="str">
        <x:f>INDEX(Chantiers!$G$6:$G$805,MATCH($A52&amp;"/rencontres",Chantiers!$A$6:$A$805,0))</x:f>
        <x:v>À faire</x:v>
      </x:c>
      <x:c r="I52" s="193" t="str">
        <x:f>INDEX(Chantiers!$G$6:$G$805,MATCH($A52&amp;"/services",Chantiers!$A$6:$A$805,0))</x:f>
        <x:v>À faire</x:v>
      </x:c>
      <x:c r="J52" s="193" t="str">
        <x:f>INDEX(Chantiers!$G$6:$G$805,MATCH($A52&amp;"/art",Chantiers!$A$6:$A$805,0))</x:f>
        <x:v>À faire</x:v>
      </x:c>
      <x:c r="K52" s="193" t="str">
        <x:f>INDEX(Chantiers!$G$6:$G$805,MATCH($A52&amp;"/sauvegarde",Chantiers!$A$6:$A$805,0))</x:f>
        <x:v>En cours</x:v>
      </x:c>
      <x:c r="L52" s="193" t="str">
        <x:f>INDEX(Chantiers!$G$6:$G$805,MATCH($A52&amp;"/qa",Chantiers!$A$6:$A$805,0))</x:f>
        <x:v>En cours</x:v>
      </x:c>
      <x:c r="M52" s="193" t="n">
        <x:f>COUNTIF(C52:L52,"Validé")</x:f>
        <x:v>0</x:v>
      </x:c>
      <x:c r="N52" s="193" t="n">
        <x:f>COLUMNS(C52:L52)-M52</x:f>
        <x:v>10</x:v>
      </x:c>
    </x:row>
    <x:row r="53" ht="34" customHeight="1">
      <x:c r="A53" s="193" t="str">
        <x:v>EXT-MONDE-T048</x:v>
      </x:c>
      <x:c r="B53" s="194" t="str">
        <x:v>Parc de caravanes abandonné</x:v>
      </x:c>
      <x:c r="C53" s="193" t="str">
        <x:f>INDEX(Chantiers!$G$6:$G$805,MATCH($A53&amp;"/dimensions",Chantiers!$A$6:$A$805,0))</x:f>
        <x:v>En cours</x:v>
      </x:c>
      <x:c r="D53" s="193" t="str">
        <x:f>INDEX(Chantiers!$G$6:$G$805,MATCH($A53&amp;"/architecture",Chantiers!$A$6:$A$805,0))</x:f>
        <x:v>En cours</x:v>
      </x:c>
      <x:c r="E53" s="193" t="str">
        <x:f>INDEX(Chantiers!$G$6:$G$805,MATCH($A53&amp;"/seed",Chantiers!$A$6:$A$805,0))</x:f>
        <x:v>À faire</x:v>
      </x:c>
      <x:c r="F53" s="193" t="str">
        <x:f>INDEX(Chantiers!$G$6:$G$805,MATCH($A53&amp;"/props",Chantiers!$A$6:$A$805,0))</x:f>
        <x:v>En cours</x:v>
      </x:c>
      <x:c r="G53" s="193" t="str">
        <x:f>INDEX(Chantiers!$G$6:$G$805,MATCH($A53&amp;"/loot",Chantiers!$A$6:$A$805,0))</x:f>
        <x:v>À faire</x:v>
      </x:c>
      <x:c r="H53" s="193" t="str">
        <x:f>INDEX(Chantiers!$G$6:$G$805,MATCH($A53&amp;"/rencontres",Chantiers!$A$6:$A$805,0))</x:f>
        <x:v>À faire</x:v>
      </x:c>
      <x:c r="I53" s="193" t="str">
        <x:f>INDEX(Chantiers!$G$6:$G$805,MATCH($A53&amp;"/services",Chantiers!$A$6:$A$805,0))</x:f>
        <x:v>À faire</x:v>
      </x:c>
      <x:c r="J53" s="193" t="str">
        <x:f>INDEX(Chantiers!$G$6:$G$805,MATCH($A53&amp;"/art",Chantiers!$A$6:$A$805,0))</x:f>
        <x:v>À faire</x:v>
      </x:c>
      <x:c r="K53" s="193" t="str">
        <x:f>INDEX(Chantiers!$G$6:$G$805,MATCH($A53&amp;"/sauvegarde",Chantiers!$A$6:$A$805,0))</x:f>
        <x:v>En cours</x:v>
      </x:c>
      <x:c r="L53" s="193" t="str">
        <x:f>INDEX(Chantiers!$G$6:$G$805,MATCH($A53&amp;"/qa",Chantiers!$A$6:$A$805,0))</x:f>
        <x:v>En cours</x:v>
      </x:c>
      <x:c r="M53" s="193" t="n">
        <x:f>COUNTIF(C53:L53,"Validé")</x:f>
        <x:v>0</x:v>
      </x:c>
      <x:c r="N53" s="193" t="n">
        <x:f>COLUMNS(C53:L53)-M53</x:f>
        <x:v>10</x:v>
      </x:c>
    </x:row>
    <x:row r="54" ht="34" customHeight="1">
      <x:c r="A54" s="193" t="str">
        <x:v>EXT-MONDE-T049</x:v>
      </x:c>
      <x:c r="B54" s="194" t="str">
        <x:v>Parc familial</x:v>
      </x:c>
      <x:c r="C54" s="193" t="str">
        <x:f>INDEX(Chantiers!$G$6:$G$805,MATCH($A54&amp;"/dimensions",Chantiers!$A$6:$A$805,0))</x:f>
        <x:v>En cours</x:v>
      </x:c>
      <x:c r="D54" s="193" t="str">
        <x:f>INDEX(Chantiers!$G$6:$G$805,MATCH($A54&amp;"/architecture",Chantiers!$A$6:$A$805,0))</x:f>
        <x:v>En cours</x:v>
      </x:c>
      <x:c r="E54" s="193" t="str">
        <x:f>INDEX(Chantiers!$G$6:$G$805,MATCH($A54&amp;"/seed",Chantiers!$A$6:$A$805,0))</x:f>
        <x:v>À faire</x:v>
      </x:c>
      <x:c r="F54" s="193" t="str">
        <x:f>INDEX(Chantiers!$G$6:$G$805,MATCH($A54&amp;"/props",Chantiers!$A$6:$A$805,0))</x:f>
        <x:v>En cours</x:v>
      </x:c>
      <x:c r="G54" s="193" t="str">
        <x:f>INDEX(Chantiers!$G$6:$G$805,MATCH($A54&amp;"/loot",Chantiers!$A$6:$A$805,0))</x:f>
        <x:v>À faire</x:v>
      </x:c>
      <x:c r="H54" s="193" t="str">
        <x:f>INDEX(Chantiers!$G$6:$G$805,MATCH($A54&amp;"/rencontres",Chantiers!$A$6:$A$805,0))</x:f>
        <x:v>À faire</x:v>
      </x:c>
      <x:c r="I54" s="193" t="str">
        <x:f>INDEX(Chantiers!$G$6:$G$805,MATCH($A54&amp;"/services",Chantiers!$A$6:$A$805,0))</x:f>
        <x:v>À faire</x:v>
      </x:c>
      <x:c r="J54" s="193" t="str">
        <x:f>INDEX(Chantiers!$G$6:$G$805,MATCH($A54&amp;"/art",Chantiers!$A$6:$A$805,0))</x:f>
        <x:v>À faire</x:v>
      </x:c>
      <x:c r="K54" s="193" t="str">
        <x:f>INDEX(Chantiers!$G$6:$G$805,MATCH($A54&amp;"/sauvegarde",Chantiers!$A$6:$A$805,0))</x:f>
        <x:v>En cours</x:v>
      </x:c>
      <x:c r="L54" s="193" t="str">
        <x:f>INDEX(Chantiers!$G$6:$G$805,MATCH($A54&amp;"/qa",Chantiers!$A$6:$A$805,0))</x:f>
        <x:v>En cours</x:v>
      </x:c>
      <x:c r="M54" s="193" t="n">
        <x:f>COUNTIF(C54:L54,"Validé")</x:f>
        <x:v>0</x:v>
      </x:c>
      <x:c r="N54" s="193" t="n">
        <x:f>COLUMNS(C54:L54)-M54</x:f>
        <x:v>10</x:v>
      </x:c>
    </x:row>
    <x:row r="55" ht="34" customHeight="1">
      <x:c r="A55" s="193" t="str">
        <x:v>EXT-MONDE-T050</x:v>
      </x:c>
      <x:c r="B55" s="194" t="str">
        <x:v>Parc à sensations</x:v>
      </x:c>
      <x:c r="C55" s="193" t="str">
        <x:f>INDEX(Chantiers!$G$6:$G$805,MATCH($A55&amp;"/dimensions",Chantiers!$A$6:$A$805,0))</x:f>
        <x:v>En cours</x:v>
      </x:c>
      <x:c r="D55" s="193" t="str">
        <x:f>INDEX(Chantiers!$G$6:$G$805,MATCH($A55&amp;"/architecture",Chantiers!$A$6:$A$805,0))</x:f>
        <x:v>En cours</x:v>
      </x:c>
      <x:c r="E55" s="193" t="str">
        <x:f>INDEX(Chantiers!$G$6:$G$805,MATCH($A55&amp;"/seed",Chantiers!$A$6:$A$805,0))</x:f>
        <x:v>À faire</x:v>
      </x:c>
      <x:c r="F55" s="193" t="str">
        <x:f>INDEX(Chantiers!$G$6:$G$805,MATCH($A55&amp;"/props",Chantiers!$A$6:$A$805,0))</x:f>
        <x:v>En cours</x:v>
      </x:c>
      <x:c r="G55" s="193" t="str">
        <x:f>INDEX(Chantiers!$G$6:$G$805,MATCH($A55&amp;"/loot",Chantiers!$A$6:$A$805,0))</x:f>
        <x:v>À faire</x:v>
      </x:c>
      <x:c r="H55" s="193" t="str">
        <x:f>INDEX(Chantiers!$G$6:$G$805,MATCH($A55&amp;"/rencontres",Chantiers!$A$6:$A$805,0))</x:f>
        <x:v>À faire</x:v>
      </x:c>
      <x:c r="I55" s="193" t="str">
        <x:f>INDEX(Chantiers!$G$6:$G$805,MATCH($A55&amp;"/services",Chantiers!$A$6:$A$805,0))</x:f>
        <x:v>À faire</x:v>
      </x:c>
      <x:c r="J55" s="193" t="str">
        <x:f>INDEX(Chantiers!$G$6:$G$805,MATCH($A55&amp;"/art",Chantiers!$A$6:$A$805,0))</x:f>
        <x:v>À faire</x:v>
      </x:c>
      <x:c r="K55" s="193" t="str">
        <x:f>INDEX(Chantiers!$G$6:$G$805,MATCH($A55&amp;"/sauvegarde",Chantiers!$A$6:$A$805,0))</x:f>
        <x:v>En cours</x:v>
      </x:c>
      <x:c r="L55" s="193" t="str">
        <x:f>INDEX(Chantiers!$G$6:$G$805,MATCH($A55&amp;"/qa",Chantiers!$A$6:$A$805,0))</x:f>
        <x:v>En cours</x:v>
      </x:c>
      <x:c r="M55" s="193" t="n">
        <x:f>COUNTIF(C55:L55,"Validé")</x:f>
        <x:v>0</x:v>
      </x:c>
      <x:c r="N55" s="193" t="n">
        <x:f>COLUMNS(C55:L55)-M55</x:f>
        <x:v>10</x:v>
      </x:c>
    </x:row>
    <x:row r="56" ht="34" customHeight="1">
      <x:c r="A56" s="193" t="str">
        <x:v>EXT-MONDE-T051</x:v>
      </x:c>
      <x:c r="B56" s="194" t="str">
        <x:v>Parc aquatique</x:v>
      </x:c>
      <x:c r="C56" s="193" t="str">
        <x:f>INDEX(Chantiers!$G$6:$G$805,MATCH($A56&amp;"/dimensions",Chantiers!$A$6:$A$805,0))</x:f>
        <x:v>En cours</x:v>
      </x:c>
      <x:c r="D56" s="193" t="str">
        <x:f>INDEX(Chantiers!$G$6:$G$805,MATCH($A56&amp;"/architecture",Chantiers!$A$6:$A$805,0))</x:f>
        <x:v>En cours</x:v>
      </x:c>
      <x:c r="E56" s="193" t="str">
        <x:f>INDEX(Chantiers!$G$6:$G$805,MATCH($A56&amp;"/seed",Chantiers!$A$6:$A$805,0))</x:f>
        <x:v>À faire</x:v>
      </x:c>
      <x:c r="F56" s="193" t="str">
        <x:f>INDEX(Chantiers!$G$6:$G$805,MATCH($A56&amp;"/props",Chantiers!$A$6:$A$805,0))</x:f>
        <x:v>En cours</x:v>
      </x:c>
      <x:c r="G56" s="193" t="str">
        <x:f>INDEX(Chantiers!$G$6:$G$805,MATCH($A56&amp;"/loot",Chantiers!$A$6:$A$805,0))</x:f>
        <x:v>À faire</x:v>
      </x:c>
      <x:c r="H56" s="193" t="str">
        <x:f>INDEX(Chantiers!$G$6:$G$805,MATCH($A56&amp;"/rencontres",Chantiers!$A$6:$A$805,0))</x:f>
        <x:v>À faire</x:v>
      </x:c>
      <x:c r="I56" s="193" t="str">
        <x:f>INDEX(Chantiers!$G$6:$G$805,MATCH($A56&amp;"/services",Chantiers!$A$6:$A$805,0))</x:f>
        <x:v>À faire</x:v>
      </x:c>
      <x:c r="J56" s="193" t="str">
        <x:f>INDEX(Chantiers!$G$6:$G$805,MATCH($A56&amp;"/art",Chantiers!$A$6:$A$805,0))</x:f>
        <x:v>À faire</x:v>
      </x:c>
      <x:c r="K56" s="193" t="str">
        <x:f>INDEX(Chantiers!$G$6:$G$805,MATCH($A56&amp;"/sauvegarde",Chantiers!$A$6:$A$805,0))</x:f>
        <x:v>En cours</x:v>
      </x:c>
      <x:c r="L56" s="193" t="str">
        <x:f>INDEX(Chantiers!$G$6:$G$805,MATCH($A56&amp;"/qa",Chantiers!$A$6:$A$805,0))</x:f>
        <x:v>En cours</x:v>
      </x:c>
      <x:c r="M56" s="193" t="n">
        <x:f>COUNTIF(C56:L56,"Validé")</x:f>
        <x:v>0</x:v>
      </x:c>
      <x:c r="N56" s="193" t="n">
        <x:f>COLUMNS(C56:L56)-M56</x:f>
        <x:v>10</x:v>
      </x:c>
    </x:row>
    <x:row r="57" ht="34" customHeight="1">
      <x:c r="A57" s="193" t="str">
        <x:v>EXT-MONDE-T052</x:v>
      </x:c>
      <x:c r="B57" s="194" t="str">
        <x:v>Parc thématique abandonné</x:v>
      </x:c>
      <x:c r="C57" s="193" t="str">
        <x:f>INDEX(Chantiers!$G$6:$G$805,MATCH($A57&amp;"/dimensions",Chantiers!$A$6:$A$805,0))</x:f>
        <x:v>En cours</x:v>
      </x:c>
      <x:c r="D57" s="193" t="str">
        <x:f>INDEX(Chantiers!$G$6:$G$805,MATCH($A57&amp;"/architecture",Chantiers!$A$6:$A$805,0))</x:f>
        <x:v>En cours</x:v>
      </x:c>
      <x:c r="E57" s="193" t="str">
        <x:f>INDEX(Chantiers!$G$6:$G$805,MATCH($A57&amp;"/seed",Chantiers!$A$6:$A$805,0))</x:f>
        <x:v>À faire</x:v>
      </x:c>
      <x:c r="F57" s="193" t="str">
        <x:f>INDEX(Chantiers!$G$6:$G$805,MATCH($A57&amp;"/props",Chantiers!$A$6:$A$805,0))</x:f>
        <x:v>En cours</x:v>
      </x:c>
      <x:c r="G57" s="193" t="str">
        <x:f>INDEX(Chantiers!$G$6:$G$805,MATCH($A57&amp;"/loot",Chantiers!$A$6:$A$805,0))</x:f>
        <x:v>À faire</x:v>
      </x:c>
      <x:c r="H57" s="193" t="str">
        <x:f>INDEX(Chantiers!$G$6:$G$805,MATCH($A57&amp;"/rencontres",Chantiers!$A$6:$A$805,0))</x:f>
        <x:v>À faire</x:v>
      </x:c>
      <x:c r="I57" s="193" t="str">
        <x:f>INDEX(Chantiers!$G$6:$G$805,MATCH($A57&amp;"/services",Chantiers!$A$6:$A$805,0))</x:f>
        <x:v>À faire</x:v>
      </x:c>
      <x:c r="J57" s="193" t="str">
        <x:f>INDEX(Chantiers!$G$6:$G$805,MATCH($A57&amp;"/art",Chantiers!$A$6:$A$805,0))</x:f>
        <x:v>À faire</x:v>
      </x:c>
      <x:c r="K57" s="193" t="str">
        <x:f>INDEX(Chantiers!$G$6:$G$805,MATCH($A57&amp;"/sauvegarde",Chantiers!$A$6:$A$805,0))</x:f>
        <x:v>En cours</x:v>
      </x:c>
      <x:c r="L57" s="193" t="str">
        <x:f>INDEX(Chantiers!$G$6:$G$805,MATCH($A57&amp;"/qa",Chantiers!$A$6:$A$805,0))</x:f>
        <x:v>En cours</x:v>
      </x:c>
      <x:c r="M57" s="193" t="n">
        <x:f>COUNTIF(C57:L57,"Validé")</x:f>
        <x:v>0</x:v>
      </x:c>
      <x:c r="N57" s="193" t="n">
        <x:f>COLUMNS(C57:L57)-M57</x:f>
        <x:v>10</x:v>
      </x:c>
    </x:row>
    <x:row r="58" ht="34" customHeight="1">
      <x:c r="A58" s="193" t="str">
        <x:v>EXT-MONDE-T053</x:v>
      </x:c>
      <x:c r="B58" s="194" t="str">
        <x:v>Usine agroalimentaire</x:v>
      </x:c>
      <x:c r="C58" s="193" t="str">
        <x:f>INDEX(Chantiers!$G$6:$G$805,MATCH($A58&amp;"/dimensions",Chantiers!$A$6:$A$805,0))</x:f>
        <x:v>En cours</x:v>
      </x:c>
      <x:c r="D58" s="193" t="str">
        <x:f>INDEX(Chantiers!$G$6:$G$805,MATCH($A58&amp;"/architecture",Chantiers!$A$6:$A$805,0))</x:f>
        <x:v>En cours</x:v>
      </x:c>
      <x:c r="E58" s="193" t="str">
        <x:f>INDEX(Chantiers!$G$6:$G$805,MATCH($A58&amp;"/seed",Chantiers!$A$6:$A$805,0))</x:f>
        <x:v>À faire</x:v>
      </x:c>
      <x:c r="F58" s="193" t="str">
        <x:f>INDEX(Chantiers!$G$6:$G$805,MATCH($A58&amp;"/props",Chantiers!$A$6:$A$805,0))</x:f>
        <x:v>En cours</x:v>
      </x:c>
      <x:c r="G58" s="193" t="str">
        <x:f>INDEX(Chantiers!$G$6:$G$805,MATCH($A58&amp;"/loot",Chantiers!$A$6:$A$805,0))</x:f>
        <x:v>À faire</x:v>
      </x:c>
      <x:c r="H58" s="193" t="str">
        <x:f>INDEX(Chantiers!$G$6:$G$805,MATCH($A58&amp;"/rencontres",Chantiers!$A$6:$A$805,0))</x:f>
        <x:v>À faire</x:v>
      </x:c>
      <x:c r="I58" s="193" t="str">
        <x:f>INDEX(Chantiers!$G$6:$G$805,MATCH($A58&amp;"/services",Chantiers!$A$6:$A$805,0))</x:f>
        <x:v>À faire</x:v>
      </x:c>
      <x:c r="J58" s="193" t="str">
        <x:f>INDEX(Chantiers!$G$6:$G$805,MATCH($A58&amp;"/art",Chantiers!$A$6:$A$805,0))</x:f>
        <x:v>À faire</x:v>
      </x:c>
      <x:c r="K58" s="193" t="str">
        <x:f>INDEX(Chantiers!$G$6:$G$805,MATCH($A58&amp;"/sauvegarde",Chantiers!$A$6:$A$805,0))</x:f>
        <x:v>En cours</x:v>
      </x:c>
      <x:c r="L58" s="193" t="str">
        <x:f>INDEX(Chantiers!$G$6:$G$805,MATCH($A58&amp;"/qa",Chantiers!$A$6:$A$805,0))</x:f>
        <x:v>En cours</x:v>
      </x:c>
      <x:c r="M58" s="193" t="n">
        <x:f>COUNTIF(C58:L58,"Validé")</x:f>
        <x:v>0</x:v>
      </x:c>
      <x:c r="N58" s="193" t="n">
        <x:f>COLUMNS(C58:L58)-M58</x:f>
        <x:v>10</x:v>
      </x:c>
    </x:row>
    <x:row r="59" ht="34" customHeight="1">
      <x:c r="A59" s="193" t="str">
        <x:v>EXT-MONDE-T054</x:v>
      </x:c>
      <x:c r="B59" s="194" t="str">
        <x:v>Usine de mécanique</x:v>
      </x:c>
      <x:c r="C59" s="193" t="str">
        <x:f>INDEX(Chantiers!$G$6:$G$805,MATCH($A59&amp;"/dimensions",Chantiers!$A$6:$A$805,0))</x:f>
        <x:v>En cours</x:v>
      </x:c>
      <x:c r="D59" s="193" t="str">
        <x:f>INDEX(Chantiers!$G$6:$G$805,MATCH($A59&amp;"/architecture",Chantiers!$A$6:$A$805,0))</x:f>
        <x:v>En cours</x:v>
      </x:c>
      <x:c r="E59" s="193" t="str">
        <x:f>INDEX(Chantiers!$G$6:$G$805,MATCH($A59&amp;"/seed",Chantiers!$A$6:$A$805,0))</x:f>
        <x:v>À faire</x:v>
      </x:c>
      <x:c r="F59" s="193" t="str">
        <x:f>INDEX(Chantiers!$G$6:$G$805,MATCH($A59&amp;"/props",Chantiers!$A$6:$A$805,0))</x:f>
        <x:v>En cours</x:v>
      </x:c>
      <x:c r="G59" s="193" t="str">
        <x:f>INDEX(Chantiers!$G$6:$G$805,MATCH($A59&amp;"/loot",Chantiers!$A$6:$A$805,0))</x:f>
        <x:v>À faire</x:v>
      </x:c>
      <x:c r="H59" s="193" t="str">
        <x:f>INDEX(Chantiers!$G$6:$G$805,MATCH($A59&amp;"/rencontres",Chantiers!$A$6:$A$805,0))</x:f>
        <x:v>À faire</x:v>
      </x:c>
      <x:c r="I59" s="193" t="str">
        <x:f>INDEX(Chantiers!$G$6:$G$805,MATCH($A59&amp;"/services",Chantiers!$A$6:$A$805,0))</x:f>
        <x:v>À faire</x:v>
      </x:c>
      <x:c r="J59" s="193" t="str">
        <x:f>INDEX(Chantiers!$G$6:$G$805,MATCH($A59&amp;"/art",Chantiers!$A$6:$A$805,0))</x:f>
        <x:v>À faire</x:v>
      </x:c>
      <x:c r="K59" s="193" t="str">
        <x:f>INDEX(Chantiers!$G$6:$G$805,MATCH($A59&amp;"/sauvegarde",Chantiers!$A$6:$A$805,0))</x:f>
        <x:v>En cours</x:v>
      </x:c>
      <x:c r="L59" s="193" t="str">
        <x:f>INDEX(Chantiers!$G$6:$G$805,MATCH($A59&amp;"/qa",Chantiers!$A$6:$A$805,0))</x:f>
        <x:v>En cours</x:v>
      </x:c>
      <x:c r="M59" s="193" t="n">
        <x:f>COUNTIF(C59:L59,"Validé")</x:f>
        <x:v>0</x:v>
      </x:c>
      <x:c r="N59" s="193" t="n">
        <x:f>COLUMNS(C59:L59)-M59</x:f>
        <x:v>10</x:v>
      </x:c>
    </x:row>
    <x:row r="60" ht="34" customHeight="1">
      <x:c r="A60" s="193" t="str">
        <x:v>EXT-MONDE-T055</x:v>
      </x:c>
      <x:c r="B60" s="194" t="str">
        <x:v>Usine textile</x:v>
      </x:c>
      <x:c r="C60" s="193" t="str">
        <x:f>INDEX(Chantiers!$G$6:$G$805,MATCH($A60&amp;"/dimensions",Chantiers!$A$6:$A$805,0))</x:f>
        <x:v>En cours</x:v>
      </x:c>
      <x:c r="D60" s="193" t="str">
        <x:f>INDEX(Chantiers!$G$6:$G$805,MATCH($A60&amp;"/architecture",Chantiers!$A$6:$A$805,0))</x:f>
        <x:v>En cours</x:v>
      </x:c>
      <x:c r="E60" s="193" t="str">
        <x:f>INDEX(Chantiers!$G$6:$G$805,MATCH($A60&amp;"/seed",Chantiers!$A$6:$A$805,0))</x:f>
        <x:v>À faire</x:v>
      </x:c>
      <x:c r="F60" s="193" t="str">
        <x:f>INDEX(Chantiers!$G$6:$G$805,MATCH($A60&amp;"/props",Chantiers!$A$6:$A$805,0))</x:f>
        <x:v>En cours</x:v>
      </x:c>
      <x:c r="G60" s="193" t="str">
        <x:f>INDEX(Chantiers!$G$6:$G$805,MATCH($A60&amp;"/loot",Chantiers!$A$6:$A$805,0))</x:f>
        <x:v>À faire</x:v>
      </x:c>
      <x:c r="H60" s="193" t="str">
        <x:f>INDEX(Chantiers!$G$6:$G$805,MATCH($A60&amp;"/rencontres",Chantiers!$A$6:$A$805,0))</x:f>
        <x:v>À faire</x:v>
      </x:c>
      <x:c r="I60" s="193" t="str">
        <x:f>INDEX(Chantiers!$G$6:$G$805,MATCH($A60&amp;"/services",Chantiers!$A$6:$A$805,0))</x:f>
        <x:v>À faire</x:v>
      </x:c>
      <x:c r="J60" s="193" t="str">
        <x:f>INDEX(Chantiers!$G$6:$G$805,MATCH($A60&amp;"/art",Chantiers!$A$6:$A$805,0))</x:f>
        <x:v>À faire</x:v>
      </x:c>
      <x:c r="K60" s="193" t="str">
        <x:f>INDEX(Chantiers!$G$6:$G$805,MATCH($A60&amp;"/sauvegarde",Chantiers!$A$6:$A$805,0))</x:f>
        <x:v>En cours</x:v>
      </x:c>
      <x:c r="L60" s="193" t="str">
        <x:f>INDEX(Chantiers!$G$6:$G$805,MATCH($A60&amp;"/qa",Chantiers!$A$6:$A$805,0))</x:f>
        <x:v>En cours</x:v>
      </x:c>
      <x:c r="M60" s="193" t="n">
        <x:f>COUNTIF(C60:L60,"Validé")</x:f>
        <x:v>0</x:v>
      </x:c>
      <x:c r="N60" s="193" t="n">
        <x:f>COLUMNS(C60:L60)-M60</x:f>
        <x:v>10</x:v>
      </x:c>
    </x:row>
    <x:row r="61" ht="34" customHeight="1">
      <x:c r="A61" s="193" t="str">
        <x:v>EXT-MONDE-T056</x:v>
      </x:c>
      <x:c r="B61" s="194" t="str">
        <x:v>Usine de matériaux</x:v>
      </x:c>
      <x:c r="C61" s="193" t="str">
        <x:f>INDEX(Chantiers!$G$6:$G$805,MATCH($A61&amp;"/dimensions",Chantiers!$A$6:$A$805,0))</x:f>
        <x:v>En cours</x:v>
      </x:c>
      <x:c r="D61" s="193" t="str">
        <x:f>INDEX(Chantiers!$G$6:$G$805,MATCH($A61&amp;"/architecture",Chantiers!$A$6:$A$805,0))</x:f>
        <x:v>En cours</x:v>
      </x:c>
      <x:c r="E61" s="193" t="str">
        <x:f>INDEX(Chantiers!$G$6:$G$805,MATCH($A61&amp;"/seed",Chantiers!$A$6:$A$805,0))</x:f>
        <x:v>À faire</x:v>
      </x:c>
      <x:c r="F61" s="193" t="str">
        <x:f>INDEX(Chantiers!$G$6:$G$805,MATCH($A61&amp;"/props",Chantiers!$A$6:$A$805,0))</x:f>
        <x:v>En cours</x:v>
      </x:c>
      <x:c r="G61" s="193" t="str">
        <x:f>INDEX(Chantiers!$G$6:$G$805,MATCH($A61&amp;"/loot",Chantiers!$A$6:$A$805,0))</x:f>
        <x:v>À faire</x:v>
      </x:c>
      <x:c r="H61" s="193" t="str">
        <x:f>INDEX(Chantiers!$G$6:$G$805,MATCH($A61&amp;"/rencontres",Chantiers!$A$6:$A$805,0))</x:f>
        <x:v>À faire</x:v>
      </x:c>
      <x:c r="I61" s="193" t="str">
        <x:f>INDEX(Chantiers!$G$6:$G$805,MATCH($A61&amp;"/services",Chantiers!$A$6:$A$805,0))</x:f>
        <x:v>À faire</x:v>
      </x:c>
      <x:c r="J61" s="193" t="str">
        <x:f>INDEX(Chantiers!$G$6:$G$805,MATCH($A61&amp;"/art",Chantiers!$A$6:$A$805,0))</x:f>
        <x:v>À faire</x:v>
      </x:c>
      <x:c r="K61" s="193" t="str">
        <x:f>INDEX(Chantiers!$G$6:$G$805,MATCH($A61&amp;"/sauvegarde",Chantiers!$A$6:$A$805,0))</x:f>
        <x:v>En cours</x:v>
      </x:c>
      <x:c r="L61" s="193" t="str">
        <x:f>INDEX(Chantiers!$G$6:$G$805,MATCH($A61&amp;"/qa",Chantiers!$A$6:$A$805,0))</x:f>
        <x:v>En cours</x:v>
      </x:c>
      <x:c r="M61" s="193" t="n">
        <x:f>COUNTIF(C61:L61,"Validé")</x:f>
        <x:v>0</x:v>
      </x:c>
      <x:c r="N61" s="193" t="n">
        <x:f>COLUMNS(C61:L61)-M61</x:f>
        <x:v>10</x:v>
      </x:c>
    </x:row>
    <x:row r="62" ht="34" customHeight="1">
      <x:c r="A62" s="193" t="str">
        <x:v>EXT-MONDE-T057</x:v>
      </x:c>
      <x:c r="B62" s="194" t="str">
        <x:v>Centrale thermique</x:v>
      </x:c>
      <x:c r="C62" s="193" t="str">
        <x:f>INDEX(Chantiers!$G$6:$G$805,MATCH($A62&amp;"/dimensions",Chantiers!$A$6:$A$805,0))</x:f>
        <x:v>En cours</x:v>
      </x:c>
      <x:c r="D62" s="193" t="str">
        <x:f>INDEX(Chantiers!$G$6:$G$805,MATCH($A62&amp;"/architecture",Chantiers!$A$6:$A$805,0))</x:f>
        <x:v>En cours</x:v>
      </x:c>
      <x:c r="E62" s="193" t="str">
        <x:f>INDEX(Chantiers!$G$6:$G$805,MATCH($A62&amp;"/seed",Chantiers!$A$6:$A$805,0))</x:f>
        <x:v>À faire</x:v>
      </x:c>
      <x:c r="F62" s="193" t="str">
        <x:f>INDEX(Chantiers!$G$6:$G$805,MATCH($A62&amp;"/props",Chantiers!$A$6:$A$805,0))</x:f>
        <x:v>En cours</x:v>
      </x:c>
      <x:c r="G62" s="193" t="str">
        <x:f>INDEX(Chantiers!$G$6:$G$805,MATCH($A62&amp;"/loot",Chantiers!$A$6:$A$805,0))</x:f>
        <x:v>À faire</x:v>
      </x:c>
      <x:c r="H62" s="193" t="str">
        <x:f>INDEX(Chantiers!$G$6:$G$805,MATCH($A62&amp;"/rencontres",Chantiers!$A$6:$A$805,0))</x:f>
        <x:v>À faire</x:v>
      </x:c>
      <x:c r="I62" s="193" t="str">
        <x:f>INDEX(Chantiers!$G$6:$G$805,MATCH($A62&amp;"/services",Chantiers!$A$6:$A$805,0))</x:f>
        <x:v>À faire</x:v>
      </x:c>
      <x:c r="J62" s="193" t="str">
        <x:f>INDEX(Chantiers!$G$6:$G$805,MATCH($A62&amp;"/art",Chantiers!$A$6:$A$805,0))</x:f>
        <x:v>À faire</x:v>
      </x:c>
      <x:c r="K62" s="193" t="str">
        <x:f>INDEX(Chantiers!$G$6:$G$805,MATCH($A62&amp;"/sauvegarde",Chantiers!$A$6:$A$805,0))</x:f>
        <x:v>En cours</x:v>
      </x:c>
      <x:c r="L62" s="193" t="str">
        <x:f>INDEX(Chantiers!$G$6:$G$805,MATCH($A62&amp;"/qa",Chantiers!$A$6:$A$805,0))</x:f>
        <x:v>En cours</x:v>
      </x:c>
      <x:c r="M62" s="193" t="n">
        <x:f>COUNTIF(C62:L62,"Validé")</x:f>
        <x:v>0</x:v>
      </x:c>
      <x:c r="N62" s="193" t="n">
        <x:f>COLUMNS(C62:L62)-M62</x:f>
        <x:v>10</x:v>
      </x:c>
    </x:row>
    <x:row r="63" ht="34" customHeight="1">
      <x:c r="A63" s="193" t="str">
        <x:v>EXT-MONDE-T058</x:v>
      </x:c>
      <x:c r="B63" s="194" t="str">
        <x:v>Centrale hydroélectrique</x:v>
      </x:c>
      <x:c r="C63" s="193" t="str">
        <x:f>INDEX(Chantiers!$G$6:$G$805,MATCH($A63&amp;"/dimensions",Chantiers!$A$6:$A$805,0))</x:f>
        <x:v>En cours</x:v>
      </x:c>
      <x:c r="D63" s="193" t="str">
        <x:f>INDEX(Chantiers!$G$6:$G$805,MATCH($A63&amp;"/architecture",Chantiers!$A$6:$A$805,0))</x:f>
        <x:v>En cours</x:v>
      </x:c>
      <x:c r="E63" s="193" t="str">
        <x:f>INDEX(Chantiers!$G$6:$G$805,MATCH($A63&amp;"/seed",Chantiers!$A$6:$A$805,0))</x:f>
        <x:v>À faire</x:v>
      </x:c>
      <x:c r="F63" s="193" t="str">
        <x:f>INDEX(Chantiers!$G$6:$G$805,MATCH($A63&amp;"/props",Chantiers!$A$6:$A$805,0))</x:f>
        <x:v>En cours</x:v>
      </x:c>
      <x:c r="G63" s="193" t="str">
        <x:f>INDEX(Chantiers!$G$6:$G$805,MATCH($A63&amp;"/loot",Chantiers!$A$6:$A$805,0))</x:f>
        <x:v>À faire</x:v>
      </x:c>
      <x:c r="H63" s="193" t="str">
        <x:f>INDEX(Chantiers!$G$6:$G$805,MATCH($A63&amp;"/rencontres",Chantiers!$A$6:$A$805,0))</x:f>
        <x:v>À faire</x:v>
      </x:c>
      <x:c r="I63" s="193" t="str">
        <x:f>INDEX(Chantiers!$G$6:$G$805,MATCH($A63&amp;"/services",Chantiers!$A$6:$A$805,0))</x:f>
        <x:v>À faire</x:v>
      </x:c>
      <x:c r="J63" s="193" t="str">
        <x:f>INDEX(Chantiers!$G$6:$G$805,MATCH($A63&amp;"/art",Chantiers!$A$6:$A$805,0))</x:f>
        <x:v>À faire</x:v>
      </x:c>
      <x:c r="K63" s="193" t="str">
        <x:f>INDEX(Chantiers!$G$6:$G$805,MATCH($A63&amp;"/sauvegarde",Chantiers!$A$6:$A$805,0))</x:f>
        <x:v>En cours</x:v>
      </x:c>
      <x:c r="L63" s="193" t="str">
        <x:f>INDEX(Chantiers!$G$6:$G$805,MATCH($A63&amp;"/qa",Chantiers!$A$6:$A$805,0))</x:f>
        <x:v>En cours</x:v>
      </x:c>
      <x:c r="M63" s="193" t="n">
        <x:f>COUNTIF(C63:L63,"Validé")</x:f>
        <x:v>0</x:v>
      </x:c>
      <x:c r="N63" s="193" t="n">
        <x:f>COLUMNS(C63:L63)-M63</x:f>
        <x:v>10</x:v>
      </x:c>
    </x:row>
    <x:row r="64" ht="34" customHeight="1">
      <x:c r="A64" s="193" t="str">
        <x:v>EXT-MONDE-T059</x:v>
      </x:c>
      <x:c r="B64" s="194" t="str">
        <x:v>Poste électrique régional</x:v>
      </x:c>
      <x:c r="C64" s="193" t="str">
        <x:f>INDEX(Chantiers!$G$6:$G$805,MATCH($A64&amp;"/dimensions",Chantiers!$A$6:$A$805,0))</x:f>
        <x:v>En cours</x:v>
      </x:c>
      <x:c r="D64" s="193" t="str">
        <x:f>INDEX(Chantiers!$G$6:$G$805,MATCH($A64&amp;"/architecture",Chantiers!$A$6:$A$805,0))</x:f>
        <x:v>En cours</x:v>
      </x:c>
      <x:c r="E64" s="193" t="str">
        <x:f>INDEX(Chantiers!$G$6:$G$805,MATCH($A64&amp;"/seed",Chantiers!$A$6:$A$805,0))</x:f>
        <x:v>À faire</x:v>
      </x:c>
      <x:c r="F64" s="193" t="str">
        <x:f>INDEX(Chantiers!$G$6:$G$805,MATCH($A64&amp;"/props",Chantiers!$A$6:$A$805,0))</x:f>
        <x:v>En cours</x:v>
      </x:c>
      <x:c r="G64" s="193" t="str">
        <x:f>INDEX(Chantiers!$G$6:$G$805,MATCH($A64&amp;"/loot",Chantiers!$A$6:$A$805,0))</x:f>
        <x:v>À faire</x:v>
      </x:c>
      <x:c r="H64" s="193" t="str">
        <x:f>INDEX(Chantiers!$G$6:$G$805,MATCH($A64&amp;"/rencontres",Chantiers!$A$6:$A$805,0))</x:f>
        <x:v>À faire</x:v>
      </x:c>
      <x:c r="I64" s="193" t="str">
        <x:f>INDEX(Chantiers!$G$6:$G$805,MATCH($A64&amp;"/services",Chantiers!$A$6:$A$805,0))</x:f>
        <x:v>À faire</x:v>
      </x:c>
      <x:c r="J64" s="193" t="str">
        <x:f>INDEX(Chantiers!$G$6:$G$805,MATCH($A64&amp;"/art",Chantiers!$A$6:$A$805,0))</x:f>
        <x:v>À faire</x:v>
      </x:c>
      <x:c r="K64" s="193" t="str">
        <x:f>INDEX(Chantiers!$G$6:$G$805,MATCH($A64&amp;"/sauvegarde",Chantiers!$A$6:$A$805,0))</x:f>
        <x:v>En cours</x:v>
      </x:c>
      <x:c r="L64" s="193" t="str">
        <x:f>INDEX(Chantiers!$G$6:$G$805,MATCH($A64&amp;"/qa",Chantiers!$A$6:$A$805,0))</x:f>
        <x:v>En cours</x:v>
      </x:c>
      <x:c r="M64" s="193" t="n">
        <x:f>COUNTIF(C64:L64,"Validé")</x:f>
        <x:v>0</x:v>
      </x:c>
      <x:c r="N64" s="193" t="n">
        <x:f>COLUMNS(C64:L64)-M64</x:f>
        <x:v>10</x:v>
      </x:c>
    </x:row>
    <x:row r="65" ht="34" customHeight="1">
      <x:c r="A65" s="193" t="str">
        <x:v>EXT-MONDE-T060</x:v>
      </x:c>
      <x:c r="B65" s="194" t="str">
        <x:v>Champ d’éoliennes</x:v>
      </x:c>
      <x:c r="C65" s="193" t="str">
        <x:f>INDEX(Chantiers!$G$6:$G$805,MATCH($A65&amp;"/dimensions",Chantiers!$A$6:$A$805,0))</x:f>
        <x:v>Validé</x:v>
      </x:c>
      <x:c r="D65" s="193" t="str">
        <x:f>INDEX(Chantiers!$G$6:$G$805,MATCH($A65&amp;"/architecture",Chantiers!$A$6:$A$805,0))</x:f>
        <x:v>En cours</x:v>
      </x:c>
      <x:c r="E65" s="193" t="str">
        <x:f>INDEX(Chantiers!$G$6:$G$805,MATCH($A65&amp;"/seed",Chantiers!$A$6:$A$805,0))</x:f>
        <x:v>À faire</x:v>
      </x:c>
      <x:c r="F65" s="193" t="str">
        <x:f>INDEX(Chantiers!$G$6:$G$805,MATCH($A65&amp;"/props",Chantiers!$A$6:$A$805,0))</x:f>
        <x:v>En cours</x:v>
      </x:c>
      <x:c r="G65" s="193" t="str">
        <x:f>INDEX(Chantiers!$G$6:$G$805,MATCH($A65&amp;"/loot",Chantiers!$A$6:$A$805,0))</x:f>
        <x:v>À faire</x:v>
      </x:c>
      <x:c r="H65" s="193" t="str">
        <x:f>INDEX(Chantiers!$G$6:$G$805,MATCH($A65&amp;"/rencontres",Chantiers!$A$6:$A$805,0))</x:f>
        <x:v>À faire</x:v>
      </x:c>
      <x:c r="I65" s="193" t="str">
        <x:f>INDEX(Chantiers!$G$6:$G$805,MATCH($A65&amp;"/services",Chantiers!$A$6:$A$805,0))</x:f>
        <x:v>À faire</x:v>
      </x:c>
      <x:c r="J65" s="193" t="str">
        <x:f>INDEX(Chantiers!$G$6:$G$805,MATCH($A65&amp;"/art",Chantiers!$A$6:$A$805,0))</x:f>
        <x:v>À faire</x:v>
      </x:c>
      <x:c r="K65" s="193" t="str">
        <x:f>INDEX(Chantiers!$G$6:$G$805,MATCH($A65&amp;"/sauvegarde",Chantiers!$A$6:$A$805,0))</x:f>
        <x:v>En cours</x:v>
      </x:c>
      <x:c r="L65" s="193" t="str">
        <x:f>INDEX(Chantiers!$G$6:$G$805,MATCH($A65&amp;"/qa",Chantiers!$A$6:$A$805,0))</x:f>
        <x:v>En cours</x:v>
      </x:c>
      <x:c r="M65" s="193" t="n">
        <x:f>COUNTIF(C65:L65,"Validé")</x:f>
        <x:v>1</x:v>
      </x:c>
      <x:c r="N65" s="193" t="n">
        <x:f>COLUMNS(C65:L65)-M65</x:f>
        <x:v>9</x:v>
      </x:c>
    </x:row>
    <x:row r="66" ht="34" customHeight="1">
      <x:c r="A66" s="193" t="str">
        <x:v>EXT-MONDE-T061</x:v>
      </x:c>
      <x:c r="B66" s="194" t="str">
        <x:v>Station d’épuration urbaine</x:v>
      </x:c>
      <x:c r="C66" s="193" t="str">
        <x:f>INDEX(Chantiers!$G$6:$G$805,MATCH($A66&amp;"/dimensions",Chantiers!$A$6:$A$805,0))</x:f>
        <x:v>En cours</x:v>
      </x:c>
      <x:c r="D66" s="193" t="str">
        <x:f>INDEX(Chantiers!$G$6:$G$805,MATCH($A66&amp;"/architecture",Chantiers!$A$6:$A$805,0))</x:f>
        <x:v>En cours</x:v>
      </x:c>
      <x:c r="E66" s="193" t="str">
        <x:f>INDEX(Chantiers!$G$6:$G$805,MATCH($A66&amp;"/seed",Chantiers!$A$6:$A$805,0))</x:f>
        <x:v>À faire</x:v>
      </x:c>
      <x:c r="F66" s="193" t="str">
        <x:f>INDEX(Chantiers!$G$6:$G$805,MATCH($A66&amp;"/props",Chantiers!$A$6:$A$805,0))</x:f>
        <x:v>En cours</x:v>
      </x:c>
      <x:c r="G66" s="193" t="str">
        <x:f>INDEX(Chantiers!$G$6:$G$805,MATCH($A66&amp;"/loot",Chantiers!$A$6:$A$805,0))</x:f>
        <x:v>À faire</x:v>
      </x:c>
      <x:c r="H66" s="193" t="str">
        <x:f>INDEX(Chantiers!$G$6:$G$805,MATCH($A66&amp;"/rencontres",Chantiers!$A$6:$A$805,0))</x:f>
        <x:v>À faire</x:v>
      </x:c>
      <x:c r="I66" s="193" t="str">
        <x:f>INDEX(Chantiers!$G$6:$G$805,MATCH($A66&amp;"/services",Chantiers!$A$6:$A$805,0))</x:f>
        <x:v>À faire</x:v>
      </x:c>
      <x:c r="J66" s="193" t="str">
        <x:f>INDEX(Chantiers!$G$6:$G$805,MATCH($A66&amp;"/art",Chantiers!$A$6:$A$805,0))</x:f>
        <x:v>À faire</x:v>
      </x:c>
      <x:c r="K66" s="193" t="str">
        <x:f>INDEX(Chantiers!$G$6:$G$805,MATCH($A66&amp;"/sauvegarde",Chantiers!$A$6:$A$805,0))</x:f>
        <x:v>En cours</x:v>
      </x:c>
      <x:c r="L66" s="193" t="str">
        <x:f>INDEX(Chantiers!$G$6:$G$805,MATCH($A66&amp;"/qa",Chantiers!$A$6:$A$805,0))</x:f>
        <x:v>En cours</x:v>
      </x:c>
      <x:c r="M66" s="193" t="n">
        <x:f>COUNTIF(C66:L66,"Validé")</x:f>
        <x:v>0</x:v>
      </x:c>
      <x:c r="N66" s="193" t="n">
        <x:f>COLUMNS(C66:L66)-M66</x:f>
        <x:v>10</x:v>
      </x:c>
    </x:row>
    <x:row r="67" ht="34" customHeight="1">
      <x:c r="A67" s="193" t="str">
        <x:v>EXT-MONDE-T062</x:v>
      </x:c>
      <x:c r="B67" s="194" t="str">
        <x:v>Station de lagunage</x:v>
      </x:c>
      <x:c r="C67" s="193" t="str">
        <x:f>INDEX(Chantiers!$G$6:$G$805,MATCH($A67&amp;"/dimensions",Chantiers!$A$6:$A$805,0))</x:f>
        <x:v>En cours</x:v>
      </x:c>
      <x:c r="D67" s="193" t="str">
        <x:f>INDEX(Chantiers!$G$6:$G$805,MATCH($A67&amp;"/architecture",Chantiers!$A$6:$A$805,0))</x:f>
        <x:v>En cours</x:v>
      </x:c>
      <x:c r="E67" s="193" t="str">
        <x:f>INDEX(Chantiers!$G$6:$G$805,MATCH($A67&amp;"/seed",Chantiers!$A$6:$A$805,0))</x:f>
        <x:v>À faire</x:v>
      </x:c>
      <x:c r="F67" s="193" t="str">
        <x:f>INDEX(Chantiers!$G$6:$G$805,MATCH($A67&amp;"/props",Chantiers!$A$6:$A$805,0))</x:f>
        <x:v>En cours</x:v>
      </x:c>
      <x:c r="G67" s="193" t="str">
        <x:f>INDEX(Chantiers!$G$6:$G$805,MATCH($A67&amp;"/loot",Chantiers!$A$6:$A$805,0))</x:f>
        <x:v>À faire</x:v>
      </x:c>
      <x:c r="H67" s="193" t="str">
        <x:f>INDEX(Chantiers!$G$6:$G$805,MATCH($A67&amp;"/rencontres",Chantiers!$A$6:$A$805,0))</x:f>
        <x:v>À faire</x:v>
      </x:c>
      <x:c r="I67" s="193" t="str">
        <x:f>INDEX(Chantiers!$G$6:$G$805,MATCH($A67&amp;"/services",Chantiers!$A$6:$A$805,0))</x:f>
        <x:v>À faire</x:v>
      </x:c>
      <x:c r="J67" s="193" t="str">
        <x:f>INDEX(Chantiers!$G$6:$G$805,MATCH($A67&amp;"/art",Chantiers!$A$6:$A$805,0))</x:f>
        <x:v>À faire</x:v>
      </x:c>
      <x:c r="K67" s="193" t="str">
        <x:f>INDEX(Chantiers!$G$6:$G$805,MATCH($A67&amp;"/sauvegarde",Chantiers!$A$6:$A$805,0))</x:f>
        <x:v>En cours</x:v>
      </x:c>
      <x:c r="L67" s="193" t="str">
        <x:f>INDEX(Chantiers!$G$6:$G$805,MATCH($A67&amp;"/qa",Chantiers!$A$6:$A$805,0))</x:f>
        <x:v>En cours</x:v>
      </x:c>
      <x:c r="M67" s="193" t="n">
        <x:f>COUNTIF(C67:L67,"Validé")</x:f>
        <x:v>0</x:v>
      </x:c>
      <x:c r="N67" s="193" t="n">
        <x:f>COLUMNS(C67:L67)-M67</x:f>
        <x:v>10</x:v>
      </x:c>
    </x:row>
    <x:row r="68" ht="34" customHeight="1">
      <x:c r="A68" s="193" t="str">
        <x:v>EXT-MONDE-T063</x:v>
      </x:c>
      <x:c r="B68" s="194" t="str">
        <x:v>Traitement des eaux industrielles</x:v>
      </x:c>
      <x:c r="C68" s="193" t="str">
        <x:f>INDEX(Chantiers!$G$6:$G$805,MATCH($A68&amp;"/dimensions",Chantiers!$A$6:$A$805,0))</x:f>
        <x:v>En cours</x:v>
      </x:c>
      <x:c r="D68" s="193" t="str">
        <x:f>INDEX(Chantiers!$G$6:$G$805,MATCH($A68&amp;"/architecture",Chantiers!$A$6:$A$805,0))</x:f>
        <x:v>En cours</x:v>
      </x:c>
      <x:c r="E68" s="193" t="str">
        <x:f>INDEX(Chantiers!$G$6:$G$805,MATCH($A68&amp;"/seed",Chantiers!$A$6:$A$805,0))</x:f>
        <x:v>À faire</x:v>
      </x:c>
      <x:c r="F68" s="193" t="str">
        <x:f>INDEX(Chantiers!$G$6:$G$805,MATCH($A68&amp;"/props",Chantiers!$A$6:$A$805,0))</x:f>
        <x:v>En cours</x:v>
      </x:c>
      <x:c r="G68" s="193" t="str">
        <x:f>INDEX(Chantiers!$G$6:$G$805,MATCH($A68&amp;"/loot",Chantiers!$A$6:$A$805,0))</x:f>
        <x:v>À faire</x:v>
      </x:c>
      <x:c r="H68" s="193" t="str">
        <x:f>INDEX(Chantiers!$G$6:$G$805,MATCH($A68&amp;"/rencontres",Chantiers!$A$6:$A$805,0))</x:f>
        <x:v>À faire</x:v>
      </x:c>
      <x:c r="I68" s="193" t="str">
        <x:f>INDEX(Chantiers!$G$6:$G$805,MATCH($A68&amp;"/services",Chantiers!$A$6:$A$805,0))</x:f>
        <x:v>À faire</x:v>
      </x:c>
      <x:c r="J68" s="193" t="str">
        <x:f>INDEX(Chantiers!$G$6:$G$805,MATCH($A68&amp;"/art",Chantiers!$A$6:$A$805,0))</x:f>
        <x:v>À faire</x:v>
      </x:c>
      <x:c r="K68" s="193" t="str">
        <x:f>INDEX(Chantiers!$G$6:$G$805,MATCH($A68&amp;"/sauvegarde",Chantiers!$A$6:$A$805,0))</x:f>
        <x:v>En cours</x:v>
      </x:c>
      <x:c r="L68" s="193" t="str">
        <x:f>INDEX(Chantiers!$G$6:$G$805,MATCH($A68&amp;"/qa",Chantiers!$A$6:$A$805,0))</x:f>
        <x:v>En cours</x:v>
      </x:c>
      <x:c r="M68" s="193" t="n">
        <x:f>COUNTIF(C68:L68,"Validé")</x:f>
        <x:v>0</x:v>
      </x:c>
      <x:c r="N68" s="193" t="n">
        <x:f>COLUMNS(C68:L68)-M68</x:f>
        <x:v>10</x:v>
      </x:c>
    </x:row>
    <x:row r="69" ht="34" customHeight="1">
      <x:c r="A69" s="193" t="str">
        <x:v>EXT-MONDE-T064</x:v>
      </x:c>
      <x:c r="B69" s="194" t="str">
        <x:v>Usine de potabilisation</x:v>
      </x:c>
      <x:c r="C69" s="193" t="str">
        <x:f>INDEX(Chantiers!$G$6:$G$805,MATCH($A69&amp;"/dimensions",Chantiers!$A$6:$A$805,0))</x:f>
        <x:v>En cours</x:v>
      </x:c>
      <x:c r="D69" s="193" t="str">
        <x:f>INDEX(Chantiers!$G$6:$G$805,MATCH($A69&amp;"/architecture",Chantiers!$A$6:$A$805,0))</x:f>
        <x:v>En cours</x:v>
      </x:c>
      <x:c r="E69" s="193" t="str">
        <x:f>INDEX(Chantiers!$G$6:$G$805,MATCH($A69&amp;"/seed",Chantiers!$A$6:$A$805,0))</x:f>
        <x:v>À faire</x:v>
      </x:c>
      <x:c r="F69" s="193" t="str">
        <x:f>INDEX(Chantiers!$G$6:$G$805,MATCH($A69&amp;"/props",Chantiers!$A$6:$A$805,0))</x:f>
        <x:v>En cours</x:v>
      </x:c>
      <x:c r="G69" s="193" t="str">
        <x:f>INDEX(Chantiers!$G$6:$G$805,MATCH($A69&amp;"/loot",Chantiers!$A$6:$A$805,0))</x:f>
        <x:v>À faire</x:v>
      </x:c>
      <x:c r="H69" s="193" t="str">
        <x:f>INDEX(Chantiers!$G$6:$G$805,MATCH($A69&amp;"/rencontres",Chantiers!$A$6:$A$805,0))</x:f>
        <x:v>À faire</x:v>
      </x:c>
      <x:c r="I69" s="193" t="str">
        <x:f>INDEX(Chantiers!$G$6:$G$805,MATCH($A69&amp;"/services",Chantiers!$A$6:$A$805,0))</x:f>
        <x:v>À faire</x:v>
      </x:c>
      <x:c r="J69" s="193" t="str">
        <x:f>INDEX(Chantiers!$G$6:$G$805,MATCH($A69&amp;"/art",Chantiers!$A$6:$A$805,0))</x:f>
        <x:v>À faire</x:v>
      </x:c>
      <x:c r="K69" s="193" t="str">
        <x:f>INDEX(Chantiers!$G$6:$G$805,MATCH($A69&amp;"/sauvegarde",Chantiers!$A$6:$A$805,0))</x:f>
        <x:v>En cours</x:v>
      </x:c>
      <x:c r="L69" s="193" t="str">
        <x:f>INDEX(Chantiers!$G$6:$G$805,MATCH($A69&amp;"/qa",Chantiers!$A$6:$A$805,0))</x:f>
        <x:v>En cours</x:v>
      </x:c>
      <x:c r="M69" s="193" t="n">
        <x:f>COUNTIF(C69:L69,"Validé")</x:f>
        <x:v>0</x:v>
      </x:c>
      <x:c r="N69" s="193" t="n">
        <x:f>COLUMNS(C69:L69)-M69</x:f>
        <x:v>10</x:v>
      </x:c>
    </x:row>
    <x:row r="70" ht="34" customHeight="1">
      <x:c r="A70" s="193" t="str">
        <x:v>EXT-MONDE-T065</x:v>
      </x:c>
      <x:c r="B70" s="194" t="str">
        <x:v>Stade municipal</x:v>
      </x:c>
      <x:c r="C70" s="193" t="str">
        <x:f>INDEX(Chantiers!$G$6:$G$805,MATCH($A70&amp;"/dimensions",Chantiers!$A$6:$A$805,0))</x:f>
        <x:v>Validé</x:v>
      </x:c>
      <x:c r="D70" s="193" t="str">
        <x:f>INDEX(Chantiers!$G$6:$G$805,MATCH($A70&amp;"/architecture",Chantiers!$A$6:$A$805,0))</x:f>
        <x:v>En cours</x:v>
      </x:c>
      <x:c r="E70" s="193" t="str">
        <x:f>INDEX(Chantiers!$G$6:$G$805,MATCH($A70&amp;"/seed",Chantiers!$A$6:$A$805,0))</x:f>
        <x:v>À faire</x:v>
      </x:c>
      <x:c r="F70" s="193" t="str">
        <x:f>INDEX(Chantiers!$G$6:$G$805,MATCH($A70&amp;"/props",Chantiers!$A$6:$A$805,0))</x:f>
        <x:v>En cours</x:v>
      </x:c>
      <x:c r="G70" s="193" t="str">
        <x:f>INDEX(Chantiers!$G$6:$G$805,MATCH($A70&amp;"/loot",Chantiers!$A$6:$A$805,0))</x:f>
        <x:v>À faire</x:v>
      </x:c>
      <x:c r="H70" s="193" t="str">
        <x:f>INDEX(Chantiers!$G$6:$G$805,MATCH($A70&amp;"/rencontres",Chantiers!$A$6:$A$805,0))</x:f>
        <x:v>À faire</x:v>
      </x:c>
      <x:c r="I70" s="193" t="str">
        <x:f>INDEX(Chantiers!$G$6:$G$805,MATCH($A70&amp;"/services",Chantiers!$A$6:$A$805,0))</x:f>
        <x:v>À faire</x:v>
      </x:c>
      <x:c r="J70" s="193" t="str">
        <x:f>INDEX(Chantiers!$G$6:$G$805,MATCH($A70&amp;"/art",Chantiers!$A$6:$A$805,0))</x:f>
        <x:v>À faire</x:v>
      </x:c>
      <x:c r="K70" s="193" t="str">
        <x:f>INDEX(Chantiers!$G$6:$G$805,MATCH($A70&amp;"/sauvegarde",Chantiers!$A$6:$A$805,0))</x:f>
        <x:v>En cours</x:v>
      </x:c>
      <x:c r="L70" s="193" t="str">
        <x:f>INDEX(Chantiers!$G$6:$G$805,MATCH($A70&amp;"/qa",Chantiers!$A$6:$A$805,0))</x:f>
        <x:v>En cours</x:v>
      </x:c>
      <x:c r="M70" s="193" t="n">
        <x:f>COUNTIF(C70:L70,"Validé")</x:f>
        <x:v>1</x:v>
      </x:c>
      <x:c r="N70" s="193" t="n">
        <x:f>COLUMNS(C70:L70)-M70</x:f>
        <x:v>9</x:v>
      </x:c>
    </x:row>
    <x:row r="71" ht="34" customHeight="1">
      <x:c r="A71" s="193" t="str">
        <x:v>EXT-MONDE-T066</x:v>
      </x:c>
      <x:c r="B71" s="194" t="str">
        <x:v>Grand stade couvert</x:v>
      </x:c>
      <x:c r="C71" s="193" t="str">
        <x:f>INDEX(Chantiers!$G$6:$G$805,MATCH($A71&amp;"/dimensions",Chantiers!$A$6:$A$805,0))</x:f>
        <x:v>Validé</x:v>
      </x:c>
      <x:c r="D71" s="193" t="str">
        <x:f>INDEX(Chantiers!$G$6:$G$805,MATCH($A71&amp;"/architecture",Chantiers!$A$6:$A$805,0))</x:f>
        <x:v>En cours</x:v>
      </x:c>
      <x:c r="E71" s="193" t="str">
        <x:f>INDEX(Chantiers!$G$6:$G$805,MATCH($A71&amp;"/seed",Chantiers!$A$6:$A$805,0))</x:f>
        <x:v>À faire</x:v>
      </x:c>
      <x:c r="F71" s="193" t="str">
        <x:f>INDEX(Chantiers!$G$6:$G$805,MATCH($A71&amp;"/props",Chantiers!$A$6:$A$805,0))</x:f>
        <x:v>En cours</x:v>
      </x:c>
      <x:c r="G71" s="193" t="str">
        <x:f>INDEX(Chantiers!$G$6:$G$805,MATCH($A71&amp;"/loot",Chantiers!$A$6:$A$805,0))</x:f>
        <x:v>À faire</x:v>
      </x:c>
      <x:c r="H71" s="193" t="str">
        <x:f>INDEX(Chantiers!$G$6:$G$805,MATCH($A71&amp;"/rencontres",Chantiers!$A$6:$A$805,0))</x:f>
        <x:v>À faire</x:v>
      </x:c>
      <x:c r="I71" s="193" t="str">
        <x:f>INDEX(Chantiers!$G$6:$G$805,MATCH($A71&amp;"/services",Chantiers!$A$6:$A$805,0))</x:f>
        <x:v>À faire</x:v>
      </x:c>
      <x:c r="J71" s="193" t="str">
        <x:f>INDEX(Chantiers!$G$6:$G$805,MATCH($A71&amp;"/art",Chantiers!$A$6:$A$805,0))</x:f>
        <x:v>À faire</x:v>
      </x:c>
      <x:c r="K71" s="193" t="str">
        <x:f>INDEX(Chantiers!$G$6:$G$805,MATCH($A71&amp;"/sauvegarde",Chantiers!$A$6:$A$805,0))</x:f>
        <x:v>En cours</x:v>
      </x:c>
      <x:c r="L71" s="193" t="str">
        <x:f>INDEX(Chantiers!$G$6:$G$805,MATCH($A71&amp;"/qa",Chantiers!$A$6:$A$805,0))</x:f>
        <x:v>En cours</x:v>
      </x:c>
      <x:c r="M71" s="193" t="n">
        <x:f>COUNTIF(C71:L71,"Validé")</x:f>
        <x:v>1</x:v>
      </x:c>
      <x:c r="N71" s="193" t="n">
        <x:f>COLUMNS(C71:L71)-M71</x:f>
        <x:v>9</x:v>
      </x:c>
    </x:row>
    <x:row r="72" ht="34" customHeight="1">
      <x:c r="A72" s="193" t="str">
        <x:v>EXT-MONDE-T067</x:v>
      </x:c>
      <x:c r="B72" s="194" t="str">
        <x:v>Vélodrome</x:v>
      </x:c>
      <x:c r="C72" s="193" t="str">
        <x:f>INDEX(Chantiers!$G$6:$G$805,MATCH($A72&amp;"/dimensions",Chantiers!$A$6:$A$805,0))</x:f>
        <x:v>En cours</x:v>
      </x:c>
      <x:c r="D72" s="193" t="str">
        <x:f>INDEX(Chantiers!$G$6:$G$805,MATCH($A72&amp;"/architecture",Chantiers!$A$6:$A$805,0))</x:f>
        <x:v>En cours</x:v>
      </x:c>
      <x:c r="E72" s="193" t="str">
        <x:f>INDEX(Chantiers!$G$6:$G$805,MATCH($A72&amp;"/seed",Chantiers!$A$6:$A$805,0))</x:f>
        <x:v>À faire</x:v>
      </x:c>
      <x:c r="F72" s="193" t="str">
        <x:f>INDEX(Chantiers!$G$6:$G$805,MATCH($A72&amp;"/props",Chantiers!$A$6:$A$805,0))</x:f>
        <x:v>En cours</x:v>
      </x:c>
      <x:c r="G72" s="193" t="str">
        <x:f>INDEX(Chantiers!$G$6:$G$805,MATCH($A72&amp;"/loot",Chantiers!$A$6:$A$805,0))</x:f>
        <x:v>À faire</x:v>
      </x:c>
      <x:c r="H72" s="193" t="str">
        <x:f>INDEX(Chantiers!$G$6:$G$805,MATCH($A72&amp;"/rencontres",Chantiers!$A$6:$A$805,0))</x:f>
        <x:v>À faire</x:v>
      </x:c>
      <x:c r="I72" s="193" t="str">
        <x:f>INDEX(Chantiers!$G$6:$G$805,MATCH($A72&amp;"/services",Chantiers!$A$6:$A$805,0))</x:f>
        <x:v>À faire</x:v>
      </x:c>
      <x:c r="J72" s="193" t="str">
        <x:f>INDEX(Chantiers!$G$6:$G$805,MATCH($A72&amp;"/art",Chantiers!$A$6:$A$805,0))</x:f>
        <x:v>À faire</x:v>
      </x:c>
      <x:c r="K72" s="193" t="str">
        <x:f>INDEX(Chantiers!$G$6:$G$805,MATCH($A72&amp;"/sauvegarde",Chantiers!$A$6:$A$805,0))</x:f>
        <x:v>En cours</x:v>
      </x:c>
      <x:c r="L72" s="193" t="str">
        <x:f>INDEX(Chantiers!$G$6:$G$805,MATCH($A72&amp;"/qa",Chantiers!$A$6:$A$805,0))</x:f>
        <x:v>En cours</x:v>
      </x:c>
      <x:c r="M72" s="193" t="n">
        <x:f>COUNTIF(C72:L72,"Validé")</x:f>
        <x:v>0</x:v>
      </x:c>
      <x:c r="N72" s="193" t="n">
        <x:f>COLUMNS(C72:L72)-M72</x:f>
        <x:v>10</x:v>
      </x:c>
    </x:row>
    <x:row r="73" ht="34" customHeight="1">
      <x:c r="A73" s="193" t="str">
        <x:v>EXT-MONDE-T068</x:v>
      </x:c>
      <x:c r="B73" s="194" t="str">
        <x:v>Complexe sportif</x:v>
      </x:c>
      <x:c r="C73" s="193" t="str">
        <x:f>INDEX(Chantiers!$G$6:$G$805,MATCH($A73&amp;"/dimensions",Chantiers!$A$6:$A$805,0))</x:f>
        <x:v>En cours</x:v>
      </x:c>
      <x:c r="D73" s="193" t="str">
        <x:f>INDEX(Chantiers!$G$6:$G$805,MATCH($A73&amp;"/architecture",Chantiers!$A$6:$A$805,0))</x:f>
        <x:v>En cours</x:v>
      </x:c>
      <x:c r="E73" s="193" t="str">
        <x:f>INDEX(Chantiers!$G$6:$G$805,MATCH($A73&amp;"/seed",Chantiers!$A$6:$A$805,0))</x:f>
        <x:v>À faire</x:v>
      </x:c>
      <x:c r="F73" s="193" t="str">
        <x:f>INDEX(Chantiers!$G$6:$G$805,MATCH($A73&amp;"/props",Chantiers!$A$6:$A$805,0))</x:f>
        <x:v>En cours</x:v>
      </x:c>
      <x:c r="G73" s="193" t="str">
        <x:f>INDEX(Chantiers!$G$6:$G$805,MATCH($A73&amp;"/loot",Chantiers!$A$6:$A$805,0))</x:f>
        <x:v>À faire</x:v>
      </x:c>
      <x:c r="H73" s="193" t="str">
        <x:f>INDEX(Chantiers!$G$6:$G$805,MATCH($A73&amp;"/rencontres",Chantiers!$A$6:$A$805,0))</x:f>
        <x:v>À faire</x:v>
      </x:c>
      <x:c r="I73" s="193" t="str">
        <x:f>INDEX(Chantiers!$G$6:$G$805,MATCH($A73&amp;"/services",Chantiers!$A$6:$A$805,0))</x:f>
        <x:v>À faire</x:v>
      </x:c>
      <x:c r="J73" s="193" t="str">
        <x:f>INDEX(Chantiers!$G$6:$G$805,MATCH($A73&amp;"/art",Chantiers!$A$6:$A$805,0))</x:f>
        <x:v>À faire</x:v>
      </x:c>
      <x:c r="K73" s="193" t="str">
        <x:f>INDEX(Chantiers!$G$6:$G$805,MATCH($A73&amp;"/sauvegarde",Chantiers!$A$6:$A$805,0))</x:f>
        <x:v>En cours</x:v>
      </x:c>
      <x:c r="L73" s="193" t="str">
        <x:f>INDEX(Chantiers!$G$6:$G$805,MATCH($A73&amp;"/qa",Chantiers!$A$6:$A$805,0))</x:f>
        <x:v>En cours</x:v>
      </x:c>
      <x:c r="M73" s="193" t="n">
        <x:f>COUNTIF(C73:L73,"Validé")</x:f>
        <x:v>0</x:v>
      </x:c>
      <x:c r="N73" s="193" t="n">
        <x:f>COLUMNS(C73:L73)-M73</x:f>
        <x:v>10</x:v>
      </x:c>
    </x:row>
    <x:row r="74" ht="34" customHeight="1">
      <x:c r="A74" s="193" t="str">
        <x:v>EXT-MONDE-T069</x:v>
      </x:c>
      <x:c r="B74" s="194" t="str">
        <x:v>Aérodrome régional</x:v>
      </x:c>
      <x:c r="C74" s="193" t="str">
        <x:f>INDEX(Chantiers!$G$6:$G$805,MATCH($A74&amp;"/dimensions",Chantiers!$A$6:$A$805,0))</x:f>
        <x:v>En cours</x:v>
      </x:c>
      <x:c r="D74" s="193" t="str">
        <x:f>INDEX(Chantiers!$G$6:$G$805,MATCH($A74&amp;"/architecture",Chantiers!$A$6:$A$805,0))</x:f>
        <x:v>En cours</x:v>
      </x:c>
      <x:c r="E74" s="193" t="str">
        <x:f>INDEX(Chantiers!$G$6:$G$805,MATCH($A74&amp;"/seed",Chantiers!$A$6:$A$805,0))</x:f>
        <x:v>À faire</x:v>
      </x:c>
      <x:c r="F74" s="193" t="str">
        <x:f>INDEX(Chantiers!$G$6:$G$805,MATCH($A74&amp;"/props",Chantiers!$A$6:$A$805,0))</x:f>
        <x:v>En cours</x:v>
      </x:c>
      <x:c r="G74" s="193" t="str">
        <x:f>INDEX(Chantiers!$G$6:$G$805,MATCH($A74&amp;"/loot",Chantiers!$A$6:$A$805,0))</x:f>
        <x:v>À faire</x:v>
      </x:c>
      <x:c r="H74" s="193" t="str">
        <x:f>INDEX(Chantiers!$G$6:$G$805,MATCH($A74&amp;"/rencontres",Chantiers!$A$6:$A$805,0))</x:f>
        <x:v>À faire</x:v>
      </x:c>
      <x:c r="I74" s="193" t="str">
        <x:f>INDEX(Chantiers!$G$6:$G$805,MATCH($A74&amp;"/services",Chantiers!$A$6:$A$805,0))</x:f>
        <x:v>À faire</x:v>
      </x:c>
      <x:c r="J74" s="193" t="str">
        <x:f>INDEX(Chantiers!$G$6:$G$805,MATCH($A74&amp;"/art",Chantiers!$A$6:$A$805,0))</x:f>
        <x:v>À faire</x:v>
      </x:c>
      <x:c r="K74" s="193" t="str">
        <x:f>INDEX(Chantiers!$G$6:$G$805,MATCH($A74&amp;"/sauvegarde",Chantiers!$A$6:$A$805,0))</x:f>
        <x:v>En cours</x:v>
      </x:c>
      <x:c r="L74" s="193" t="str">
        <x:f>INDEX(Chantiers!$G$6:$G$805,MATCH($A74&amp;"/qa",Chantiers!$A$6:$A$805,0))</x:f>
        <x:v>En cours</x:v>
      </x:c>
      <x:c r="M74" s="193" t="n">
        <x:f>COUNTIF(C74:L74,"Validé")</x:f>
        <x:v>0</x:v>
      </x:c>
      <x:c r="N74" s="193" t="n">
        <x:f>COLUMNS(C74:L74)-M74</x:f>
        <x:v>10</x:v>
      </x:c>
    </x:row>
    <x:row r="75" ht="34" customHeight="1">
      <x:c r="A75" s="193" t="str">
        <x:v>EXT-MONDE-T070</x:v>
      </x:c>
      <x:c r="B75" s="194" t="str">
        <x:v>Aéroport international</x:v>
      </x:c>
      <x:c r="C75" s="193" t="str">
        <x:f>INDEX(Chantiers!$G$6:$G$805,MATCH($A75&amp;"/dimensions",Chantiers!$A$6:$A$805,0))</x:f>
        <x:v>En cours</x:v>
      </x:c>
      <x:c r="D75" s="193" t="str">
        <x:f>INDEX(Chantiers!$G$6:$G$805,MATCH($A75&amp;"/architecture",Chantiers!$A$6:$A$805,0))</x:f>
        <x:v>En cours</x:v>
      </x:c>
      <x:c r="E75" s="193" t="str">
        <x:f>INDEX(Chantiers!$G$6:$G$805,MATCH($A75&amp;"/seed",Chantiers!$A$6:$A$805,0))</x:f>
        <x:v>À faire</x:v>
      </x:c>
      <x:c r="F75" s="193" t="str">
        <x:f>INDEX(Chantiers!$G$6:$G$805,MATCH($A75&amp;"/props",Chantiers!$A$6:$A$805,0))</x:f>
        <x:v>En cours</x:v>
      </x:c>
      <x:c r="G75" s="193" t="str">
        <x:f>INDEX(Chantiers!$G$6:$G$805,MATCH($A75&amp;"/loot",Chantiers!$A$6:$A$805,0))</x:f>
        <x:v>À faire</x:v>
      </x:c>
      <x:c r="H75" s="193" t="str">
        <x:f>INDEX(Chantiers!$G$6:$G$805,MATCH($A75&amp;"/rencontres",Chantiers!$A$6:$A$805,0))</x:f>
        <x:v>À faire</x:v>
      </x:c>
      <x:c r="I75" s="193" t="str">
        <x:f>INDEX(Chantiers!$G$6:$G$805,MATCH($A75&amp;"/services",Chantiers!$A$6:$A$805,0))</x:f>
        <x:v>À faire</x:v>
      </x:c>
      <x:c r="J75" s="193" t="str">
        <x:f>INDEX(Chantiers!$G$6:$G$805,MATCH($A75&amp;"/art",Chantiers!$A$6:$A$805,0))</x:f>
        <x:v>À faire</x:v>
      </x:c>
      <x:c r="K75" s="193" t="str">
        <x:f>INDEX(Chantiers!$G$6:$G$805,MATCH($A75&amp;"/sauvegarde",Chantiers!$A$6:$A$805,0))</x:f>
        <x:v>En cours</x:v>
      </x:c>
      <x:c r="L75" s="193" t="str">
        <x:f>INDEX(Chantiers!$G$6:$G$805,MATCH($A75&amp;"/qa",Chantiers!$A$6:$A$805,0))</x:f>
        <x:v>En cours</x:v>
      </x:c>
      <x:c r="M75" s="193" t="n">
        <x:f>COUNTIF(C75:L75,"Validé")</x:f>
        <x:v>0</x:v>
      </x:c>
      <x:c r="N75" s="193" t="n">
        <x:f>COLUMNS(C75:L75)-M75</x:f>
        <x:v>10</x:v>
      </x:c>
    </x:row>
    <x:row r="76" ht="34" customHeight="1">
      <x:c r="A76" s="193" t="str">
        <x:v>EXT-MONDE-T071</x:v>
      </x:c>
      <x:c r="B76" s="194" t="str">
        <x:v>Aéroport de fret</x:v>
      </x:c>
      <x:c r="C76" s="193" t="str">
        <x:f>INDEX(Chantiers!$G$6:$G$805,MATCH($A76&amp;"/dimensions",Chantiers!$A$6:$A$805,0))</x:f>
        <x:v>En cours</x:v>
      </x:c>
      <x:c r="D76" s="193" t="str">
        <x:f>INDEX(Chantiers!$G$6:$G$805,MATCH($A76&amp;"/architecture",Chantiers!$A$6:$A$805,0))</x:f>
        <x:v>En cours</x:v>
      </x:c>
      <x:c r="E76" s="193" t="str">
        <x:f>INDEX(Chantiers!$G$6:$G$805,MATCH($A76&amp;"/seed",Chantiers!$A$6:$A$805,0))</x:f>
        <x:v>À faire</x:v>
      </x:c>
      <x:c r="F76" s="193" t="str">
        <x:f>INDEX(Chantiers!$G$6:$G$805,MATCH($A76&amp;"/props",Chantiers!$A$6:$A$805,0))</x:f>
        <x:v>En cours</x:v>
      </x:c>
      <x:c r="G76" s="193" t="str">
        <x:f>INDEX(Chantiers!$G$6:$G$805,MATCH($A76&amp;"/loot",Chantiers!$A$6:$A$805,0))</x:f>
        <x:v>À faire</x:v>
      </x:c>
      <x:c r="H76" s="193" t="str">
        <x:f>INDEX(Chantiers!$G$6:$G$805,MATCH($A76&amp;"/rencontres",Chantiers!$A$6:$A$805,0))</x:f>
        <x:v>À faire</x:v>
      </x:c>
      <x:c r="I76" s="193" t="str">
        <x:f>INDEX(Chantiers!$G$6:$G$805,MATCH($A76&amp;"/services",Chantiers!$A$6:$A$805,0))</x:f>
        <x:v>À faire</x:v>
      </x:c>
      <x:c r="J76" s="193" t="str">
        <x:f>INDEX(Chantiers!$G$6:$G$805,MATCH($A76&amp;"/art",Chantiers!$A$6:$A$805,0))</x:f>
        <x:v>À faire</x:v>
      </x:c>
      <x:c r="K76" s="193" t="str">
        <x:f>INDEX(Chantiers!$G$6:$G$805,MATCH($A76&amp;"/sauvegarde",Chantiers!$A$6:$A$805,0))</x:f>
        <x:v>En cours</x:v>
      </x:c>
      <x:c r="L76" s="193" t="str">
        <x:f>INDEX(Chantiers!$G$6:$G$805,MATCH($A76&amp;"/qa",Chantiers!$A$6:$A$805,0))</x:f>
        <x:v>En cours</x:v>
      </x:c>
      <x:c r="M76" s="193" t="n">
        <x:f>COUNTIF(C76:L76,"Validé")</x:f>
        <x:v>0</x:v>
      </x:c>
      <x:c r="N76" s="193" t="n">
        <x:f>COLUMNS(C76:L76)-M76</x:f>
        <x:v>10</x:v>
      </x:c>
    </x:row>
    <x:row r="77" ht="34" customHeight="1">
      <x:c r="A77" s="193" t="str">
        <x:v>EXT-MONDE-T072</x:v>
      </x:c>
      <x:c r="B77" s="194" t="str">
        <x:v>Aérodrome insulaire</x:v>
      </x:c>
      <x:c r="C77" s="193" t="str">
        <x:f>INDEX(Chantiers!$G$6:$G$805,MATCH($A77&amp;"/dimensions",Chantiers!$A$6:$A$805,0))</x:f>
        <x:v>En cours</x:v>
      </x:c>
      <x:c r="D77" s="193" t="str">
        <x:f>INDEX(Chantiers!$G$6:$G$805,MATCH($A77&amp;"/architecture",Chantiers!$A$6:$A$805,0))</x:f>
        <x:v>En cours</x:v>
      </x:c>
      <x:c r="E77" s="193" t="str">
        <x:f>INDEX(Chantiers!$G$6:$G$805,MATCH($A77&amp;"/seed",Chantiers!$A$6:$A$805,0))</x:f>
        <x:v>À faire</x:v>
      </x:c>
      <x:c r="F77" s="193" t="str">
        <x:f>INDEX(Chantiers!$G$6:$G$805,MATCH($A77&amp;"/props",Chantiers!$A$6:$A$805,0))</x:f>
        <x:v>En cours</x:v>
      </x:c>
      <x:c r="G77" s="193" t="str">
        <x:f>INDEX(Chantiers!$G$6:$G$805,MATCH($A77&amp;"/loot",Chantiers!$A$6:$A$805,0))</x:f>
        <x:v>À faire</x:v>
      </x:c>
      <x:c r="H77" s="193" t="str">
        <x:f>INDEX(Chantiers!$G$6:$G$805,MATCH($A77&amp;"/rencontres",Chantiers!$A$6:$A$805,0))</x:f>
        <x:v>À faire</x:v>
      </x:c>
      <x:c r="I77" s="193" t="str">
        <x:f>INDEX(Chantiers!$G$6:$G$805,MATCH($A77&amp;"/services",Chantiers!$A$6:$A$805,0))</x:f>
        <x:v>À faire</x:v>
      </x:c>
      <x:c r="J77" s="193" t="str">
        <x:f>INDEX(Chantiers!$G$6:$G$805,MATCH($A77&amp;"/art",Chantiers!$A$6:$A$805,0))</x:f>
        <x:v>À faire</x:v>
      </x:c>
      <x:c r="K77" s="193" t="str">
        <x:f>INDEX(Chantiers!$G$6:$G$805,MATCH($A77&amp;"/sauvegarde",Chantiers!$A$6:$A$805,0))</x:f>
        <x:v>En cours</x:v>
      </x:c>
      <x:c r="L77" s="193" t="str">
        <x:f>INDEX(Chantiers!$G$6:$G$805,MATCH($A77&amp;"/qa",Chantiers!$A$6:$A$805,0))</x:f>
        <x:v>En cours</x:v>
      </x:c>
      <x:c r="M77" s="193" t="n">
        <x:f>COUNTIF(C77:L77,"Validé")</x:f>
        <x:v>0</x:v>
      </x:c>
      <x:c r="N77" s="193" t="n">
        <x:f>COLUMNS(C77:L77)-M77</x:f>
        <x:v>10</x:v>
      </x:c>
    </x:row>
    <x:row r="78" ht="34" customHeight="1">
      <x:c r="A78" s="193" t="str">
        <x:v>EXT-MONDE-T073</x:v>
      </x:c>
      <x:c r="B78" s="194" t="str">
        <x:v>Gare de passage</x:v>
      </x:c>
      <x:c r="C78" s="193" t="str">
        <x:f>INDEX(Chantiers!$G$6:$G$805,MATCH($A78&amp;"/dimensions",Chantiers!$A$6:$A$805,0))</x:f>
        <x:v>En cours</x:v>
      </x:c>
      <x:c r="D78" s="193" t="str">
        <x:f>INDEX(Chantiers!$G$6:$G$805,MATCH($A78&amp;"/architecture",Chantiers!$A$6:$A$805,0))</x:f>
        <x:v>En cours</x:v>
      </x:c>
      <x:c r="E78" s="193" t="str">
        <x:f>INDEX(Chantiers!$G$6:$G$805,MATCH($A78&amp;"/seed",Chantiers!$A$6:$A$805,0))</x:f>
        <x:v>À faire</x:v>
      </x:c>
      <x:c r="F78" s="193" t="str">
        <x:f>INDEX(Chantiers!$G$6:$G$805,MATCH($A78&amp;"/props",Chantiers!$A$6:$A$805,0))</x:f>
        <x:v>En cours</x:v>
      </x:c>
      <x:c r="G78" s="193" t="str">
        <x:f>INDEX(Chantiers!$G$6:$G$805,MATCH($A78&amp;"/loot",Chantiers!$A$6:$A$805,0))</x:f>
        <x:v>À faire</x:v>
      </x:c>
      <x:c r="H78" s="193" t="str">
        <x:f>INDEX(Chantiers!$G$6:$G$805,MATCH($A78&amp;"/rencontres",Chantiers!$A$6:$A$805,0))</x:f>
        <x:v>À faire</x:v>
      </x:c>
      <x:c r="I78" s="193" t="str">
        <x:f>INDEX(Chantiers!$G$6:$G$805,MATCH($A78&amp;"/services",Chantiers!$A$6:$A$805,0))</x:f>
        <x:v>À faire</x:v>
      </x:c>
      <x:c r="J78" s="193" t="str">
        <x:f>INDEX(Chantiers!$G$6:$G$805,MATCH($A78&amp;"/art",Chantiers!$A$6:$A$805,0))</x:f>
        <x:v>À faire</x:v>
      </x:c>
      <x:c r="K78" s="193" t="str">
        <x:f>INDEX(Chantiers!$G$6:$G$805,MATCH($A78&amp;"/sauvegarde",Chantiers!$A$6:$A$805,0))</x:f>
        <x:v>En cours</x:v>
      </x:c>
      <x:c r="L78" s="193" t="str">
        <x:f>INDEX(Chantiers!$G$6:$G$805,MATCH($A78&amp;"/qa",Chantiers!$A$6:$A$805,0))</x:f>
        <x:v>En cours</x:v>
      </x:c>
      <x:c r="M78" s="193" t="n">
        <x:f>COUNTIF(C78:L78,"Validé")</x:f>
        <x:v>0</x:v>
      </x:c>
      <x:c r="N78" s="193" t="n">
        <x:f>COLUMNS(C78:L78)-M78</x:f>
        <x:v>10</x:v>
      </x:c>
    </x:row>
    <x:row r="79" ht="34" customHeight="1">
      <x:c r="A79" s="193" t="str">
        <x:v>EXT-MONDE-T074</x:v>
      </x:c>
      <x:c r="B79" s="194" t="str">
        <x:v>Gare terminus</x:v>
      </x:c>
      <x:c r="C79" s="193" t="str">
        <x:f>INDEX(Chantiers!$G$6:$G$805,MATCH($A79&amp;"/dimensions",Chantiers!$A$6:$A$805,0))</x:f>
        <x:v>En cours</x:v>
      </x:c>
      <x:c r="D79" s="193" t="str">
        <x:f>INDEX(Chantiers!$G$6:$G$805,MATCH($A79&amp;"/architecture",Chantiers!$A$6:$A$805,0))</x:f>
        <x:v>En cours</x:v>
      </x:c>
      <x:c r="E79" s="193" t="str">
        <x:f>INDEX(Chantiers!$G$6:$G$805,MATCH($A79&amp;"/seed",Chantiers!$A$6:$A$805,0))</x:f>
        <x:v>À faire</x:v>
      </x:c>
      <x:c r="F79" s="193" t="str">
        <x:f>INDEX(Chantiers!$G$6:$G$805,MATCH($A79&amp;"/props",Chantiers!$A$6:$A$805,0))</x:f>
        <x:v>En cours</x:v>
      </x:c>
      <x:c r="G79" s="193" t="str">
        <x:f>INDEX(Chantiers!$G$6:$G$805,MATCH($A79&amp;"/loot",Chantiers!$A$6:$A$805,0))</x:f>
        <x:v>À faire</x:v>
      </x:c>
      <x:c r="H79" s="193" t="str">
        <x:f>INDEX(Chantiers!$G$6:$G$805,MATCH($A79&amp;"/rencontres",Chantiers!$A$6:$A$805,0))</x:f>
        <x:v>À faire</x:v>
      </x:c>
      <x:c r="I79" s="193" t="str">
        <x:f>INDEX(Chantiers!$G$6:$G$805,MATCH($A79&amp;"/services",Chantiers!$A$6:$A$805,0))</x:f>
        <x:v>À faire</x:v>
      </x:c>
      <x:c r="J79" s="193" t="str">
        <x:f>INDEX(Chantiers!$G$6:$G$805,MATCH($A79&amp;"/art",Chantiers!$A$6:$A$805,0))</x:f>
        <x:v>À faire</x:v>
      </x:c>
      <x:c r="K79" s="193" t="str">
        <x:f>INDEX(Chantiers!$G$6:$G$805,MATCH($A79&amp;"/sauvegarde",Chantiers!$A$6:$A$805,0))</x:f>
        <x:v>En cours</x:v>
      </x:c>
      <x:c r="L79" s="193" t="str">
        <x:f>INDEX(Chantiers!$G$6:$G$805,MATCH($A79&amp;"/qa",Chantiers!$A$6:$A$805,0))</x:f>
        <x:v>En cours</x:v>
      </x:c>
      <x:c r="M79" s="193" t="n">
        <x:f>COUNTIF(C79:L79,"Validé")</x:f>
        <x:v>0</x:v>
      </x:c>
      <x:c r="N79" s="193" t="n">
        <x:f>COLUMNS(C79:L79)-M79</x:f>
        <x:v>10</x:v>
      </x:c>
    </x:row>
    <x:row r="80" ht="34" customHeight="1">
      <x:c r="A80" s="193" t="str">
        <x:v>EXT-MONDE-T075</x:v>
      </x:c>
      <x:c r="B80" s="194" t="str">
        <x:v>Gare de triage</x:v>
      </x:c>
      <x:c r="C80" s="193" t="str">
        <x:f>INDEX(Chantiers!$G$6:$G$805,MATCH($A80&amp;"/dimensions",Chantiers!$A$6:$A$805,0))</x:f>
        <x:v>En cours</x:v>
      </x:c>
      <x:c r="D80" s="193" t="str">
        <x:f>INDEX(Chantiers!$G$6:$G$805,MATCH($A80&amp;"/architecture",Chantiers!$A$6:$A$805,0))</x:f>
        <x:v>En cours</x:v>
      </x:c>
      <x:c r="E80" s="193" t="str">
        <x:f>INDEX(Chantiers!$G$6:$G$805,MATCH($A80&amp;"/seed",Chantiers!$A$6:$A$805,0))</x:f>
        <x:v>À faire</x:v>
      </x:c>
      <x:c r="F80" s="193" t="str">
        <x:f>INDEX(Chantiers!$G$6:$G$805,MATCH($A80&amp;"/props",Chantiers!$A$6:$A$805,0))</x:f>
        <x:v>En cours</x:v>
      </x:c>
      <x:c r="G80" s="193" t="str">
        <x:f>INDEX(Chantiers!$G$6:$G$805,MATCH($A80&amp;"/loot",Chantiers!$A$6:$A$805,0))</x:f>
        <x:v>À faire</x:v>
      </x:c>
      <x:c r="H80" s="193" t="str">
        <x:f>INDEX(Chantiers!$G$6:$G$805,MATCH($A80&amp;"/rencontres",Chantiers!$A$6:$A$805,0))</x:f>
        <x:v>À faire</x:v>
      </x:c>
      <x:c r="I80" s="193" t="str">
        <x:f>INDEX(Chantiers!$G$6:$G$805,MATCH($A80&amp;"/services",Chantiers!$A$6:$A$805,0))</x:f>
        <x:v>À faire</x:v>
      </x:c>
      <x:c r="J80" s="193" t="str">
        <x:f>INDEX(Chantiers!$G$6:$G$805,MATCH($A80&amp;"/art",Chantiers!$A$6:$A$805,0))</x:f>
        <x:v>À faire</x:v>
      </x:c>
      <x:c r="K80" s="193" t="str">
        <x:f>INDEX(Chantiers!$G$6:$G$805,MATCH($A80&amp;"/sauvegarde",Chantiers!$A$6:$A$805,0))</x:f>
        <x:v>En cours</x:v>
      </x:c>
      <x:c r="L80" s="193" t="str">
        <x:f>INDEX(Chantiers!$G$6:$G$805,MATCH($A80&amp;"/qa",Chantiers!$A$6:$A$805,0))</x:f>
        <x:v>En cours</x:v>
      </x:c>
      <x:c r="M80" s="193" t="n">
        <x:f>COUNTIF(C80:L80,"Validé")</x:f>
        <x:v>0</x:v>
      </x:c>
      <x:c r="N80" s="193" t="n">
        <x:f>COLUMNS(C80:L80)-M80</x:f>
        <x:v>10</x:v>
      </x:c>
    </x:row>
    <x:row r="81" ht="34" customHeight="1">
      <x:c r="A81" s="193" t="str">
        <x:v>EXT-MONDE-T076</x:v>
      </x:c>
      <x:c r="B81" s="194" t="str">
        <x:v>Dépôt ferroviaire</x:v>
      </x:c>
      <x:c r="C81" s="193" t="str">
        <x:f>INDEX(Chantiers!$G$6:$G$805,MATCH($A81&amp;"/dimensions",Chantiers!$A$6:$A$805,0))</x:f>
        <x:v>En cours</x:v>
      </x:c>
      <x:c r="D81" s="193" t="str">
        <x:f>INDEX(Chantiers!$G$6:$G$805,MATCH($A81&amp;"/architecture",Chantiers!$A$6:$A$805,0))</x:f>
        <x:v>En cours</x:v>
      </x:c>
      <x:c r="E81" s="193" t="str">
        <x:f>INDEX(Chantiers!$G$6:$G$805,MATCH($A81&amp;"/seed",Chantiers!$A$6:$A$805,0))</x:f>
        <x:v>À faire</x:v>
      </x:c>
      <x:c r="F81" s="193" t="str">
        <x:f>INDEX(Chantiers!$G$6:$G$805,MATCH($A81&amp;"/props",Chantiers!$A$6:$A$805,0))</x:f>
        <x:v>En cours</x:v>
      </x:c>
      <x:c r="G81" s="193" t="str">
        <x:f>INDEX(Chantiers!$G$6:$G$805,MATCH($A81&amp;"/loot",Chantiers!$A$6:$A$805,0))</x:f>
        <x:v>À faire</x:v>
      </x:c>
      <x:c r="H81" s="193" t="str">
        <x:f>INDEX(Chantiers!$G$6:$G$805,MATCH($A81&amp;"/rencontres",Chantiers!$A$6:$A$805,0))</x:f>
        <x:v>À faire</x:v>
      </x:c>
      <x:c r="I81" s="193" t="str">
        <x:f>INDEX(Chantiers!$G$6:$G$805,MATCH($A81&amp;"/services",Chantiers!$A$6:$A$805,0))</x:f>
        <x:v>À faire</x:v>
      </x:c>
      <x:c r="J81" s="193" t="str">
        <x:f>INDEX(Chantiers!$G$6:$G$805,MATCH($A81&amp;"/art",Chantiers!$A$6:$A$805,0))</x:f>
        <x:v>À faire</x:v>
      </x:c>
      <x:c r="K81" s="193" t="str">
        <x:f>INDEX(Chantiers!$G$6:$G$805,MATCH($A81&amp;"/sauvegarde",Chantiers!$A$6:$A$805,0))</x:f>
        <x:v>En cours</x:v>
      </x:c>
      <x:c r="L81" s="193" t="str">
        <x:f>INDEX(Chantiers!$G$6:$G$805,MATCH($A81&amp;"/qa",Chantiers!$A$6:$A$805,0))</x:f>
        <x:v>En cours</x:v>
      </x:c>
      <x:c r="M81" s="193" t="n">
        <x:f>COUNTIF(C81:L81,"Validé")</x:f>
        <x:v>0</x:v>
      </x:c>
      <x:c r="N81" s="193" t="n">
        <x:f>COLUMNS(C81:L81)-M81</x:f>
        <x:v>10</x:v>
      </x:c>
    </x:row>
    <x:row r="82" ht="34" customHeight="1">
      <x:c r="A82" s="193" t="str">
        <x:v>EXT-MONDE-T077</x:v>
      </x:c>
      <x:c r="B82" s="194" t="str">
        <x:v>Îlot de phare</x:v>
      </x:c>
      <x:c r="C82" s="193" t="str">
        <x:f>INDEX(Chantiers!$G$6:$G$805,MATCH($A82&amp;"/dimensions",Chantiers!$A$6:$A$805,0))</x:f>
        <x:v>En cours</x:v>
      </x:c>
      <x:c r="D82" s="193" t="str">
        <x:f>INDEX(Chantiers!$G$6:$G$805,MATCH($A82&amp;"/architecture",Chantiers!$A$6:$A$805,0))</x:f>
        <x:v>En cours</x:v>
      </x:c>
      <x:c r="E82" s="193" t="str">
        <x:f>INDEX(Chantiers!$G$6:$G$805,MATCH($A82&amp;"/seed",Chantiers!$A$6:$A$805,0))</x:f>
        <x:v>À faire</x:v>
      </x:c>
      <x:c r="F82" s="193" t="str">
        <x:f>INDEX(Chantiers!$G$6:$G$805,MATCH($A82&amp;"/props",Chantiers!$A$6:$A$805,0))</x:f>
        <x:v>En cours</x:v>
      </x:c>
      <x:c r="G82" s="193" t="str">
        <x:f>INDEX(Chantiers!$G$6:$G$805,MATCH($A82&amp;"/loot",Chantiers!$A$6:$A$805,0))</x:f>
        <x:v>À faire</x:v>
      </x:c>
      <x:c r="H82" s="193" t="str">
        <x:f>INDEX(Chantiers!$G$6:$G$805,MATCH($A82&amp;"/rencontres",Chantiers!$A$6:$A$805,0))</x:f>
        <x:v>À faire</x:v>
      </x:c>
      <x:c r="I82" s="193" t="str">
        <x:f>INDEX(Chantiers!$G$6:$G$805,MATCH($A82&amp;"/services",Chantiers!$A$6:$A$805,0))</x:f>
        <x:v>À faire</x:v>
      </x:c>
      <x:c r="J82" s="193" t="str">
        <x:f>INDEX(Chantiers!$G$6:$G$805,MATCH($A82&amp;"/art",Chantiers!$A$6:$A$805,0))</x:f>
        <x:v>À faire</x:v>
      </x:c>
      <x:c r="K82" s="193" t="str">
        <x:f>INDEX(Chantiers!$G$6:$G$805,MATCH($A82&amp;"/sauvegarde",Chantiers!$A$6:$A$805,0))</x:f>
        <x:v>En cours</x:v>
      </x:c>
      <x:c r="L82" s="193" t="str">
        <x:f>INDEX(Chantiers!$G$6:$G$805,MATCH($A82&amp;"/qa",Chantiers!$A$6:$A$805,0))</x:f>
        <x:v>En cours</x:v>
      </x:c>
      <x:c r="M82" s="193" t="n">
        <x:f>COUNTIF(C82:L82,"Validé")</x:f>
        <x:v>0</x:v>
      </x:c>
      <x:c r="N82" s="193" t="n">
        <x:f>COLUMNS(C82:L82)-M82</x:f>
        <x:v>10</x:v>
      </x:c>
    </x:row>
    <x:row r="83" ht="34" customHeight="1">
      <x:c r="A83" s="193" t="str">
        <x:v>EXT-MONDE-T078</x:v>
      </x:c>
      <x:c r="B83" s="194" t="str">
        <x:v>Île agricole habitée</x:v>
      </x:c>
      <x:c r="C83" s="193" t="str">
        <x:f>INDEX(Chantiers!$G$6:$G$805,MATCH($A83&amp;"/dimensions",Chantiers!$A$6:$A$805,0))</x:f>
        <x:v>En cours</x:v>
      </x:c>
      <x:c r="D83" s="193" t="str">
        <x:f>INDEX(Chantiers!$G$6:$G$805,MATCH($A83&amp;"/architecture",Chantiers!$A$6:$A$805,0))</x:f>
        <x:v>En cours</x:v>
      </x:c>
      <x:c r="E83" s="193" t="str">
        <x:f>INDEX(Chantiers!$G$6:$G$805,MATCH($A83&amp;"/seed",Chantiers!$A$6:$A$805,0))</x:f>
        <x:v>À faire</x:v>
      </x:c>
      <x:c r="F83" s="193" t="str">
        <x:f>INDEX(Chantiers!$G$6:$G$805,MATCH($A83&amp;"/props",Chantiers!$A$6:$A$805,0))</x:f>
        <x:v>En cours</x:v>
      </x:c>
      <x:c r="G83" s="193" t="str">
        <x:f>INDEX(Chantiers!$G$6:$G$805,MATCH($A83&amp;"/loot",Chantiers!$A$6:$A$805,0))</x:f>
        <x:v>À faire</x:v>
      </x:c>
      <x:c r="H83" s="193" t="str">
        <x:f>INDEX(Chantiers!$G$6:$G$805,MATCH($A83&amp;"/rencontres",Chantiers!$A$6:$A$805,0))</x:f>
        <x:v>À faire</x:v>
      </x:c>
      <x:c r="I83" s="193" t="str">
        <x:f>INDEX(Chantiers!$G$6:$G$805,MATCH($A83&amp;"/services",Chantiers!$A$6:$A$805,0))</x:f>
        <x:v>À faire</x:v>
      </x:c>
      <x:c r="J83" s="193" t="str">
        <x:f>INDEX(Chantiers!$G$6:$G$805,MATCH($A83&amp;"/art",Chantiers!$A$6:$A$805,0))</x:f>
        <x:v>À faire</x:v>
      </x:c>
      <x:c r="K83" s="193" t="str">
        <x:f>INDEX(Chantiers!$G$6:$G$805,MATCH($A83&amp;"/sauvegarde",Chantiers!$A$6:$A$805,0))</x:f>
        <x:v>En cours</x:v>
      </x:c>
      <x:c r="L83" s="193" t="str">
        <x:f>INDEX(Chantiers!$G$6:$G$805,MATCH($A83&amp;"/qa",Chantiers!$A$6:$A$805,0))</x:f>
        <x:v>En cours</x:v>
      </x:c>
      <x:c r="M83" s="193" t="n">
        <x:f>COUNTIF(C83:L83,"Validé")</x:f>
        <x:v>0</x:v>
      </x:c>
      <x:c r="N83" s="193" t="n">
        <x:f>COLUMNS(C83:L83)-M83</x:f>
        <x:v>10</x:v>
      </x:c>
    </x:row>
    <x:row r="84" ht="34" customHeight="1">
      <x:c r="A84" s="193" t="str">
        <x:v>EXT-MONDE-T079</x:v>
      </x:c>
      <x:c r="B84" s="194" t="str">
        <x:v>Île portuaire industrielle</x:v>
      </x:c>
      <x:c r="C84" s="193" t="str">
        <x:f>INDEX(Chantiers!$G$6:$G$805,MATCH($A84&amp;"/dimensions",Chantiers!$A$6:$A$805,0))</x:f>
        <x:v>En cours</x:v>
      </x:c>
      <x:c r="D84" s="193" t="str">
        <x:f>INDEX(Chantiers!$G$6:$G$805,MATCH($A84&amp;"/architecture",Chantiers!$A$6:$A$805,0))</x:f>
        <x:v>En cours</x:v>
      </x:c>
      <x:c r="E84" s="193" t="str">
        <x:f>INDEX(Chantiers!$G$6:$G$805,MATCH($A84&amp;"/seed",Chantiers!$A$6:$A$805,0))</x:f>
        <x:v>À faire</x:v>
      </x:c>
      <x:c r="F84" s="193" t="str">
        <x:f>INDEX(Chantiers!$G$6:$G$805,MATCH($A84&amp;"/props",Chantiers!$A$6:$A$805,0))</x:f>
        <x:v>En cours</x:v>
      </x:c>
      <x:c r="G84" s="193" t="str">
        <x:f>INDEX(Chantiers!$G$6:$G$805,MATCH($A84&amp;"/loot",Chantiers!$A$6:$A$805,0))</x:f>
        <x:v>À faire</x:v>
      </x:c>
      <x:c r="H84" s="193" t="str">
        <x:f>INDEX(Chantiers!$G$6:$G$805,MATCH($A84&amp;"/rencontres",Chantiers!$A$6:$A$805,0))</x:f>
        <x:v>À faire</x:v>
      </x:c>
      <x:c r="I84" s="193" t="str">
        <x:f>INDEX(Chantiers!$G$6:$G$805,MATCH($A84&amp;"/services",Chantiers!$A$6:$A$805,0))</x:f>
        <x:v>À faire</x:v>
      </x:c>
      <x:c r="J84" s="193" t="str">
        <x:f>INDEX(Chantiers!$G$6:$G$805,MATCH($A84&amp;"/art",Chantiers!$A$6:$A$805,0))</x:f>
        <x:v>À faire</x:v>
      </x:c>
      <x:c r="K84" s="193" t="str">
        <x:f>INDEX(Chantiers!$G$6:$G$805,MATCH($A84&amp;"/sauvegarde",Chantiers!$A$6:$A$805,0))</x:f>
        <x:v>En cours</x:v>
      </x:c>
      <x:c r="L84" s="193" t="str">
        <x:f>INDEX(Chantiers!$G$6:$G$805,MATCH($A84&amp;"/qa",Chantiers!$A$6:$A$805,0))</x:f>
        <x:v>En cours</x:v>
      </x:c>
      <x:c r="M84" s="193" t="n">
        <x:f>COUNTIF(C84:L84,"Validé")</x:f>
        <x:v>0</x:v>
      </x:c>
      <x:c r="N84" s="193" t="n">
        <x:f>COLUMNS(C84:L84)-M84</x:f>
        <x:v>10</x:v>
      </x:c>
    </x:row>
    <x:row r="85" ht="34" customHeight="1">
      <x:c r="A85" s="193" t="str">
        <x:v>EXT-MONDE-T080</x:v>
      </x:c>
      <x:c r="B85" s="194" t="str">
        <x:v>Grande île mixte</x:v>
      </x:c>
      <x:c r="C85" s="193" t="str">
        <x:f>INDEX(Chantiers!$G$6:$G$805,MATCH($A85&amp;"/dimensions",Chantiers!$A$6:$A$805,0))</x:f>
        <x:v>En cours</x:v>
      </x:c>
      <x:c r="D85" s="193" t="str">
        <x:f>INDEX(Chantiers!$G$6:$G$805,MATCH($A85&amp;"/architecture",Chantiers!$A$6:$A$805,0))</x:f>
        <x:v>En cours</x:v>
      </x:c>
      <x:c r="E85" s="193" t="str">
        <x:f>INDEX(Chantiers!$G$6:$G$805,MATCH($A85&amp;"/seed",Chantiers!$A$6:$A$805,0))</x:f>
        <x:v>À faire</x:v>
      </x:c>
      <x:c r="F85" s="193" t="str">
        <x:f>INDEX(Chantiers!$G$6:$G$805,MATCH($A85&amp;"/props",Chantiers!$A$6:$A$805,0))</x:f>
        <x:v>En cours</x:v>
      </x:c>
      <x:c r="G85" s="193" t="str">
        <x:f>INDEX(Chantiers!$G$6:$G$805,MATCH($A85&amp;"/loot",Chantiers!$A$6:$A$805,0))</x:f>
        <x:v>À faire</x:v>
      </x:c>
      <x:c r="H85" s="193" t="str">
        <x:f>INDEX(Chantiers!$G$6:$G$805,MATCH($A85&amp;"/rencontres",Chantiers!$A$6:$A$805,0))</x:f>
        <x:v>À faire</x:v>
      </x:c>
      <x:c r="I85" s="193" t="str">
        <x:f>INDEX(Chantiers!$G$6:$G$805,MATCH($A85&amp;"/services",Chantiers!$A$6:$A$805,0))</x:f>
        <x:v>À faire</x:v>
      </x:c>
      <x:c r="J85" s="193" t="str">
        <x:f>INDEX(Chantiers!$G$6:$G$805,MATCH($A85&amp;"/art",Chantiers!$A$6:$A$805,0))</x:f>
        <x:v>À faire</x:v>
      </x:c>
      <x:c r="K85" s="193" t="str">
        <x:f>INDEX(Chantiers!$G$6:$G$805,MATCH($A85&amp;"/sauvegarde",Chantiers!$A$6:$A$805,0))</x:f>
        <x:v>En cours</x:v>
      </x:c>
      <x:c r="L85" s="193" t="str">
        <x:f>INDEX(Chantiers!$G$6:$G$805,MATCH($A85&amp;"/qa",Chantiers!$A$6:$A$805,0))</x:f>
        <x:v>En cours</x:v>
      </x:c>
      <x:c r="M85" s="193" t="n">
        <x:f>COUNTIF(C85:L85,"Validé")</x:f>
        <x:v>0</x:v>
      </x:c>
      <x:c r="N85" s="193" t="n">
        <x:f>COLUMNS(C85:L85)-M85</x:f>
        <x:v>10</x:v>
      </x:c>
    </x:row>
    <x:row r="86" ht="30" customHeight="1">
      <x:c r="A86" s="195" t="str">
        <x:v>TOTAL DES ÉTAPES VALIDÉES ET RESTANTES</x:v>
      </x:c>
      <x:c r="B86" s="195"/>
      <x:c r="C86" s="195"/>
      <x:c r="D86" s="195"/>
      <x:c r="E86" s="195"/>
      <x:c r="F86" s="195"/>
      <x:c r="G86" s="195"/>
      <x:c r="H86" s="195"/>
      <x:c r="I86" s="195"/>
      <x:c r="J86" s="195"/>
      <x:c r="K86" s="195"/>
      <x:c r="L86" s="195"/>
      <x:c r="M86" s="195" t="n">
        <x:f>SUM(M6:M85)</x:f>
        <x:v>3</x:v>
      </x:c>
      <x:c r="N86" s="195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7" priority="1" operator="containsText" text="En cours"/>
    <x:cfRule type="containsText" dxfId="18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4bbab8ad5b4a4094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189" t="str">
        <x:v>INSPECTION PHYSIQUE — 4 000 PLANS</x:v>
      </x:c>
      <x:c r="B1" s="189"/>
      <x:c r="C1" s="189"/>
      <x:c r="D1" s="189"/>
      <x:c r="E1" s="189"/>
      <x:c r="F1" s="189"/>
      <x:c r="G1" s="189"/>
      <x:c r="H1" s="189"/>
      <x:c r="I1" s="189"/>
      <x:c r="J1" s="189"/>
      <x:c r="K1" s="189"/>
      <x:c r="L1" s="189"/>
    </x:row>
    <x:row r="2" ht="26" customHeight="1">
      <x:c r="A2" s="189"/>
      <x:c r="B2" s="189"/>
      <x:c r="C2" s="189"/>
      <x:c r="D2" s="189"/>
      <x:c r="E2" s="189"/>
      <x:c r="F2" s="189"/>
      <x:c r="G2" s="189"/>
      <x:c r="H2" s="189"/>
      <x:c r="I2" s="189"/>
      <x:c r="J2" s="189"/>
      <x:c r="K2" s="189"/>
      <x:c r="L2" s="189"/>
    </x:row>
    <x:row r="3" ht="26" customHeight="1">
      <x:c r="A3" s="190" t="str">
        <x:v>Les contrôles portent sur les espaces décrits et le mobilier du mode auteur. Les étapes de campagne restent ouvertes.</x:v>
      </x:c>
      <x:c r="B3" s="190"/>
      <x:c r="C3" s="190"/>
      <x:c r="D3" s="190"/>
      <x:c r="E3" s="190"/>
      <x:c r="F3" s="190"/>
      <x:c r="G3" s="190"/>
      <x:c r="H3" s="190"/>
      <x:c r="I3" s="190"/>
      <x:c r="J3" s="190"/>
      <x:c r="K3" s="190"/>
      <x:c r="L3" s="190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192" t="str">
        <x:v>ID typologie</x:v>
      </x:c>
      <x:c r="B5" s="192" t="str">
        <x:v>Typologie</x:v>
      </x:c>
      <x:c r="C5" s="192" t="str">
        <x:v>Plans inspectés</x:v>
      </x:c>
      <x:c r="D5" s="192" t="str">
        <x:v>Pièces</x:v>
      </x:c>
      <x:c r="E5" s="192" t="str">
        <x:v>Pièces meublées</x:v>
      </x:c>
      <x:c r="F5" s="192" t="str">
        <x:v>Objets posés</x:v>
      </x:c>
      <x:c r="G5" s="192" t="str">
        <x:v>Poses refusées</x:v>
      </x:c>
      <x:c r="H5" s="192" t="str">
        <x:v>Segments de mur</x:v>
      </x:c>
      <x:c r="I5" s="192" t="str">
        <x:v>Transitions</x:v>
      </x:c>
      <x:c r="J5" s="192" t="str">
        <x:v>Niveaux cumulés</x:v>
      </x:c>
      <x:c r="K5" s="192" t="str">
        <x:v>Contrôles réussis</x:v>
      </x:c>
      <x:c r="L5" s="192" t="str">
        <x:v>Jouables en campagne</x:v>
      </x:c>
    </x:row>
    <x:row r="6" ht="34" customHeight="1">
      <x:c r="A6" s="193" t="str">
        <x:v>EXT-MONDE-T001</x:v>
      </x:c>
      <x:c r="B6" s="194" t="str">
        <x:v>Base nautique lacustre</x:v>
      </x:c>
      <x:c r="C6" s="196" t="n">
        <x:v>50</x:v>
      </x:c>
      <x:c r="D6" s="196" t="n">
        <x:v>1300</x:v>
      </x:c>
      <x:c r="E6" s="196" t="n">
        <x:v>1300</x:v>
      </x:c>
      <x:c r="F6" s="196" t="n">
        <x:v>4700</x:v>
      </x:c>
      <x:c r="G6" s="196" t="n">
        <x:v>0</x:v>
      </x:c>
      <x:c r="H6" s="196" t="n">
        <x:v>9900</x:v>
      </x:c>
      <x:c r="I6" s="196" t="n">
        <x:v>0</x:v>
      </x:c>
      <x:c r="J6" s="196" t="n">
        <x:v>50</x:v>
      </x:c>
      <x:c r="K6" s="196" t="n">
        <x:v>50</x:v>
      </x:c>
      <x:c r="L6" s="196" t="n">
        <x:v>0</x:v>
      </x:c>
    </x:row>
    <x:row r="7" ht="34" customHeight="1">
      <x:c r="A7" s="193" t="str">
        <x:v>EXT-MONDE-T002</x:v>
      </x:c>
      <x:c r="B7" s="194" t="str">
        <x:v>Village de pêche lacustre</x:v>
      </x:c>
      <x:c r="C7" s="196" t="n">
        <x:v>50</x:v>
      </x:c>
      <x:c r="D7" s="196" t="n">
        <x:v>1200</x:v>
      </x:c>
      <x:c r="E7" s="196" t="n">
        <x:v>1200</x:v>
      </x:c>
      <x:c r="F7" s="196" t="n">
        <x:v>4350</x:v>
      </x:c>
      <x:c r="G7" s="196" t="n">
        <x:v>0</x:v>
      </x:c>
      <x:c r="H7" s="196" t="n">
        <x:v>9300</x:v>
      </x:c>
      <x:c r="I7" s="196" t="n">
        <x:v>0</x:v>
      </x:c>
      <x:c r="J7" s="196" t="n">
        <x:v>50</x:v>
      </x:c>
      <x:c r="K7" s="196" t="n">
        <x:v>50</x:v>
      </x:c>
      <x:c r="L7" s="196" t="n">
        <x:v>0</x:v>
      </x:c>
    </x:row>
    <x:row r="8" ht="34" customHeight="1">
      <x:c r="A8" s="193" t="str">
        <x:v>EXT-MONDE-T003</x:v>
      </x:c>
      <x:c r="B8" s="194" t="str">
        <x:v>Station limnologique</x:v>
      </x:c>
      <x:c r="C8" s="196" t="n">
        <x:v>50</x:v>
      </x:c>
      <x:c r="D8" s="196" t="n">
        <x:v>1200</x:v>
      </x:c>
      <x:c r="E8" s="196" t="n">
        <x:v>1200</x:v>
      </x:c>
      <x:c r="F8" s="196" t="n">
        <x:v>4350</x:v>
      </x:c>
      <x:c r="G8" s="196" t="n">
        <x:v>0</x:v>
      </x:c>
      <x:c r="H8" s="196" t="n">
        <x:v>9300</x:v>
      </x:c>
      <x:c r="I8" s="196" t="n">
        <x:v>0</x:v>
      </x:c>
      <x:c r="J8" s="196" t="n">
        <x:v>50</x:v>
      </x:c>
      <x:c r="K8" s="196" t="n">
        <x:v>50</x:v>
      </x:c>
      <x:c r="L8" s="196" t="n">
        <x:v>0</x:v>
      </x:c>
    </x:row>
    <x:row r="9" ht="34" customHeight="1">
      <x:c r="A9" s="193" t="str">
        <x:v>EXT-MONDE-T004</x:v>
      </x:c>
      <x:c r="B9" s="194" t="str">
        <x:v>Camping de rive</x:v>
      </x:c>
      <x:c r="C9" s="196" t="n">
        <x:v>50</x:v>
      </x:c>
      <x:c r="D9" s="196" t="n">
        <x:v>1300</x:v>
      </x:c>
      <x:c r="E9" s="196" t="n">
        <x:v>1300</x:v>
      </x:c>
      <x:c r="F9" s="196" t="n">
        <x:v>4700</x:v>
      </x:c>
      <x:c r="G9" s="196" t="n">
        <x:v>0</x:v>
      </x:c>
      <x:c r="H9" s="196" t="n">
        <x:v>9900</x:v>
      </x:c>
      <x:c r="I9" s="196" t="n">
        <x:v>0</x:v>
      </x:c>
      <x:c r="J9" s="196" t="n">
        <x:v>50</x:v>
      </x:c>
      <x:c r="K9" s="196" t="n">
        <x:v>50</x:v>
      </x:c>
      <x:c r="L9" s="196" t="n">
        <x:v>0</x:v>
      </x:c>
    </x:row>
    <x:row r="10" ht="34" customHeight="1">
      <x:c r="A10" s="193" t="str">
        <x:v>EXT-MONDE-T005</x:v>
      </x:c>
      <x:c r="B10" s="194" t="str">
        <x:v>Cargo polyvalent</x:v>
      </x:c>
      <x:c r="C10" s="196" t="n">
        <x:v>50</x:v>
      </x:c>
      <x:c r="D10" s="196" t="n">
        <x:v>1680</x:v>
      </x:c>
      <x:c r="E10" s="196" t="n">
        <x:v>1680</x:v>
      </x:c>
      <x:c r="F10" s="196" t="n">
        <x:v>4467</x:v>
      </x:c>
      <x:c r="G10" s="196" t="n">
        <x:v>1491</x:v>
      </x:c>
      <x:c r="H10" s="196" t="n">
        <x:v>11280</x:v>
      </x:c>
      <x:c r="I10" s="196" t="n">
        <x:v>250</x:v>
      </x:c>
      <x:c r="J10" s="196" t="n">
        <x:v>300</x:v>
      </x:c>
      <x:c r="K10" s="196" t="n">
        <x:v>50</x:v>
      </x:c>
      <x:c r="L10" s="196" t="n">
        <x:v>0</x:v>
      </x:c>
    </x:row>
    <x:row r="11" ht="34" customHeight="1">
      <x:c r="A11" s="193" t="str">
        <x:v>EXT-MONDE-T006</x:v>
      </x:c>
      <x:c r="B11" s="194" t="str">
        <x:v>Pétrolier océanique</x:v>
      </x:c>
      <x:c r="C11" s="196" t="n">
        <x:v>50</x:v>
      </x:c>
      <x:c r="D11" s="196" t="n">
        <x:v>2800</x:v>
      </x:c>
      <x:c r="E11" s="196" t="n">
        <x:v>2800</x:v>
      </x:c>
      <x:c r="F11" s="196" t="n">
        <x:v>10015</x:v>
      </x:c>
      <x:c r="G11" s="196" t="n">
        <x:v>0</x:v>
      </x:c>
      <x:c r="H11" s="196" t="n">
        <x:v>18200</x:v>
      </x:c>
      <x:c r="I11" s="196" t="n">
        <x:v>300</x:v>
      </x:c>
      <x:c r="J11" s="196" t="n">
        <x:v>350</x:v>
      </x:c>
      <x:c r="K11" s="196" t="n">
        <x:v>50</x:v>
      </x:c>
      <x:c r="L11" s="196" t="n">
        <x:v>0</x:v>
      </x:c>
    </x:row>
    <x:row r="12" ht="34" customHeight="1">
      <x:c r="A12" s="193" t="str">
        <x:v>EXT-MONDE-T007</x:v>
      </x:c>
      <x:c r="B12" s="194" t="str">
        <x:v>Croiseur militaire abandonné</x:v>
      </x:c>
      <x:c r="C12" s="196" t="n">
        <x:v>50</x:v>
      </x:c>
      <x:c r="D12" s="196" t="n">
        <x:v>1600</x:v>
      </x:c>
      <x:c r="E12" s="196" t="n">
        <x:v>1600</x:v>
      </x:c>
      <x:c r="F12" s="196" t="n">
        <x:v>5815</x:v>
      </x:c>
      <x:c r="G12" s="196" t="n">
        <x:v>0</x:v>
      </x:c>
      <x:c r="H12" s="196" t="n">
        <x:v>10400</x:v>
      </x:c>
      <x:c r="I12" s="196" t="n">
        <x:v>150</x:v>
      </x:c>
      <x:c r="J12" s="196" t="n">
        <x:v>200</x:v>
      </x:c>
      <x:c r="K12" s="196" t="n">
        <x:v>50</x:v>
      </x:c>
      <x:c r="L12" s="196" t="n">
        <x:v>0</x:v>
      </x:c>
    </x:row>
    <x:row r="13" ht="34" customHeight="1">
      <x:c r="A13" s="193" t="str">
        <x:v>EXT-MONDE-T008</x:v>
      </x:c>
      <x:c r="B13" s="194" t="str">
        <x:v>Sous-marin en surface</x:v>
      </x:c>
      <x:c r="C13" s="196" t="n">
        <x:v>50</x:v>
      </x:c>
      <x:c r="D13" s="196" t="n">
        <x:v>600</x:v>
      </x:c>
      <x:c r="E13" s="196" t="n">
        <x:v>600</x:v>
      </x:c>
      <x:c r="F13" s="196" t="n">
        <x:v>1707</x:v>
      </x:c>
      <x:c r="G13" s="196" t="n">
        <x:v>396</x:v>
      </x:c>
      <x:c r="H13" s="196" t="n">
        <x:v>3800</x:v>
      </x:c>
      <x:c r="I13" s="196" t="n">
        <x:v>50</x:v>
      </x:c>
      <x:c r="J13" s="196" t="n">
        <x:v>100</x:v>
      </x:c>
      <x:c r="K13" s="196" t="n">
        <x:v>50</x:v>
      </x:c>
      <x:c r="L13" s="196" t="n">
        <x:v>0</x:v>
      </x:c>
    </x:row>
    <x:row r="14" ht="34" customHeight="1">
      <x:c r="A14" s="193" t="str">
        <x:v>EXT-MONDE-T009</x:v>
      </x:c>
      <x:c r="B14" s="194" t="str">
        <x:v>Plateforme pétrolière fixe</x:v>
      </x:c>
      <x:c r="C14" s="196" t="n">
        <x:v>50</x:v>
      </x:c>
      <x:c r="D14" s="196" t="n">
        <x:v>1700</x:v>
      </x:c>
      <x:c r="E14" s="196" t="n">
        <x:v>1700</x:v>
      </x:c>
      <x:c r="F14" s="196" t="n">
        <x:v>6350</x:v>
      </x:c>
      <x:c r="G14" s="196" t="n">
        <x:v>0</x:v>
      </x:c>
      <x:c r="H14" s="196" t="n">
        <x:v>13000</x:v>
      </x:c>
      <x:c r="I14" s="196" t="n">
        <x:v>0</x:v>
      </x:c>
      <x:c r="J14" s="196" t="n">
        <x:v>50</x:v>
      </x:c>
      <x:c r="K14" s="196" t="n">
        <x:v>50</x:v>
      </x:c>
      <x:c r="L14" s="196" t="n">
        <x:v>0</x:v>
      </x:c>
    </x:row>
    <x:row r="15" ht="34" customHeight="1">
      <x:c r="A15" s="193" t="str">
        <x:v>EXT-MONDE-T010</x:v>
      </x:c>
      <x:c r="B15" s="194" t="str">
        <x:v>Plateforme semi-submersible</x:v>
      </x:c>
      <x:c r="C15" s="196" t="n">
        <x:v>50</x:v>
      </x:c>
      <x:c r="D15" s="196" t="n">
        <x:v>1700</x:v>
      </x:c>
      <x:c r="E15" s="196" t="n">
        <x:v>1700</x:v>
      </x:c>
      <x:c r="F15" s="196" t="n">
        <x:v>6200</x:v>
      </x:c>
      <x:c r="G15" s="196" t="n">
        <x:v>0</x:v>
      </x:c>
      <x:c r="H15" s="196" t="n">
        <x:v>13000</x:v>
      </x:c>
      <x:c r="I15" s="196" t="n">
        <x:v>0</x:v>
      </x:c>
      <x:c r="J15" s="196" t="n">
        <x:v>50</x:v>
      </x:c>
      <x:c r="K15" s="196" t="n">
        <x:v>50</x:v>
      </x:c>
      <x:c r="L15" s="196" t="n">
        <x:v>0</x:v>
      </x:c>
    </x:row>
    <x:row r="16" ht="34" customHeight="1">
      <x:c r="A16" s="193" t="str">
        <x:v>EXT-MONDE-T011</x:v>
      </x:c>
      <x:c r="B16" s="194" t="str">
        <x:v>Navire de soutien offshore</x:v>
      </x:c>
      <x:c r="C16" s="196" t="n">
        <x:v>50</x:v>
      </x:c>
      <x:c r="D16" s="196" t="n">
        <x:v>1600</x:v>
      </x:c>
      <x:c r="E16" s="196" t="n">
        <x:v>1600</x:v>
      </x:c>
      <x:c r="F16" s="196" t="n">
        <x:v>4638</x:v>
      </x:c>
      <x:c r="G16" s="196" t="n">
        <x:v>964</x:v>
      </x:c>
      <x:c r="H16" s="196" t="n">
        <x:v>10400</x:v>
      </x:c>
      <x:c r="I16" s="196" t="n">
        <x:v>150</x:v>
      </x:c>
      <x:c r="J16" s="196" t="n">
        <x:v>200</x:v>
      </x:c>
      <x:c r="K16" s="196" t="n">
        <x:v>50</x:v>
      </x:c>
      <x:c r="L16" s="196" t="n">
        <x:v>0</x:v>
      </x:c>
    </x:row>
    <x:row r="17" ht="34" customHeight="1">
      <x:c r="A17" s="193" t="str">
        <x:v>EXT-MONDE-T012</x:v>
      </x:c>
      <x:c r="B17" s="194" t="str">
        <x:v>Station scientifique marine</x:v>
      </x:c>
      <x:c r="C17" s="196" t="n">
        <x:v>50</x:v>
      </x:c>
      <x:c r="D17" s="196" t="n">
        <x:v>1700</x:v>
      </x:c>
      <x:c r="E17" s="196" t="n">
        <x:v>1700</x:v>
      </x:c>
      <x:c r="F17" s="196" t="n">
        <x:v>6450</x:v>
      </x:c>
      <x:c r="G17" s="196" t="n">
        <x:v>0</x:v>
      </x:c>
      <x:c r="H17" s="196" t="n">
        <x:v>13000</x:v>
      </x:c>
      <x:c r="I17" s="196" t="n">
        <x:v>0</x:v>
      </x:c>
      <x:c r="J17" s="196" t="n">
        <x:v>50</x:v>
      </x:c>
      <x:c r="K17" s="196" t="n">
        <x:v>50</x:v>
      </x:c>
      <x:c r="L17" s="196" t="n">
        <x:v>0</x:v>
      </x:c>
    </x:row>
    <x:row r="18" ht="34" customHeight="1">
      <x:c r="A18" s="193" t="str">
        <x:v>EXT-MONDE-T013</x:v>
      </x:c>
      <x:c r="B18" s="194" t="str">
        <x:v>Port de pêche</x:v>
      </x:c>
      <x:c r="C18" s="196" t="n">
        <x:v>50</x:v>
      </x:c>
      <x:c r="D18" s="196" t="n">
        <x:v>1600</x:v>
      </x:c>
      <x:c r="E18" s="196" t="n">
        <x:v>1600</x:v>
      </x:c>
      <x:c r="F18" s="196" t="n">
        <x:v>5950</x:v>
      </x:c>
      <x:c r="G18" s="196" t="n">
        <x:v>0</x:v>
      </x:c>
      <x:c r="H18" s="196" t="n">
        <x:v>12400</x:v>
      </x:c>
      <x:c r="I18" s="196" t="n">
        <x:v>0</x:v>
      </x:c>
      <x:c r="J18" s="196" t="n">
        <x:v>50</x:v>
      </x:c>
      <x:c r="K18" s="196" t="n">
        <x:v>50</x:v>
      </x:c>
      <x:c r="L18" s="196" t="n">
        <x:v>0</x:v>
      </x:c>
    </x:row>
    <x:row r="19" ht="34" customHeight="1">
      <x:c r="A19" s="193" t="str">
        <x:v>EXT-MONDE-T014</x:v>
      </x:c>
      <x:c r="B19" s="194" t="str">
        <x:v>Marina</x:v>
      </x:c>
      <x:c r="C19" s="196" t="n">
        <x:v>50</x:v>
      </x:c>
      <x:c r="D19" s="196" t="n">
        <x:v>1600</x:v>
      </x:c>
      <x:c r="E19" s="196" t="n">
        <x:v>1600</x:v>
      </x:c>
      <x:c r="F19" s="196" t="n">
        <x:v>6000</x:v>
      </x:c>
      <x:c r="G19" s="196" t="n">
        <x:v>0</x:v>
      </x:c>
      <x:c r="H19" s="196" t="n">
        <x:v>12400</x:v>
      </x:c>
      <x:c r="I19" s="196" t="n">
        <x:v>0</x:v>
      </x:c>
      <x:c r="J19" s="196" t="n">
        <x:v>50</x:v>
      </x:c>
      <x:c r="K19" s="196" t="n">
        <x:v>50</x:v>
      </x:c>
      <x:c r="L19" s="196" t="n">
        <x:v>0</x:v>
      </x:c>
    </x:row>
    <x:row r="20" ht="34" customHeight="1">
      <x:c r="A20" s="193" t="str">
        <x:v>EXT-MONDE-T015</x:v>
      </x:c>
      <x:c r="B20" s="194" t="str">
        <x:v>Terminal conteneurs</x:v>
      </x:c>
      <x:c r="C20" s="196" t="n">
        <x:v>50</x:v>
      </x:c>
      <x:c r="D20" s="196" t="n">
        <x:v>1600</x:v>
      </x:c>
      <x:c r="E20" s="196" t="n">
        <x:v>1600</x:v>
      </x:c>
      <x:c r="F20" s="196" t="n">
        <x:v>5950</x:v>
      </x:c>
      <x:c r="G20" s="196" t="n">
        <x:v>0</x:v>
      </x:c>
      <x:c r="H20" s="196" t="n">
        <x:v>12400</x:v>
      </x:c>
      <x:c r="I20" s="196" t="n">
        <x:v>0</x:v>
      </x:c>
      <x:c r="J20" s="196" t="n">
        <x:v>50</x:v>
      </x:c>
      <x:c r="K20" s="196" t="n">
        <x:v>50</x:v>
      </x:c>
      <x:c r="L20" s="196" t="n">
        <x:v>0</x:v>
      </x:c>
    </x:row>
    <x:row r="21" ht="34" customHeight="1">
      <x:c r="A21" s="193" t="str">
        <x:v>EXT-MONDE-T016</x:v>
      </x:c>
      <x:c r="B21" s="194" t="str">
        <x:v>Terminal ferry</x:v>
      </x:c>
      <x:c r="C21" s="196" t="n">
        <x:v>50</x:v>
      </x:c>
      <x:c r="D21" s="196" t="n">
        <x:v>1600</x:v>
      </x:c>
      <x:c r="E21" s="196" t="n">
        <x:v>1600</x:v>
      </x:c>
      <x:c r="F21" s="196" t="n">
        <x:v>6100</x:v>
      </x:c>
      <x:c r="G21" s="196" t="n">
        <x:v>0</x:v>
      </x:c>
      <x:c r="H21" s="196" t="n">
        <x:v>12400</x:v>
      </x:c>
      <x:c r="I21" s="196" t="n">
        <x:v>0</x:v>
      </x:c>
      <x:c r="J21" s="196" t="n">
        <x:v>50</x:v>
      </x:c>
      <x:c r="K21" s="196" t="n">
        <x:v>50</x:v>
      </x:c>
      <x:c r="L21" s="196" t="n">
        <x:v>0</x:v>
      </x:c>
    </x:row>
    <x:row r="22" ht="34" customHeight="1">
      <x:c r="A22" s="193" t="str">
        <x:v>EXT-MONDE-T017</x:v>
      </x:c>
      <x:c r="B22" s="194" t="str">
        <x:v>Phare et logements</x:v>
      </x:c>
      <x:c r="C22" s="196" t="n">
        <x:v>50</x:v>
      </x:c>
      <x:c r="D22" s="196" t="n">
        <x:v>1600</x:v>
      </x:c>
      <x:c r="E22" s="196" t="n">
        <x:v>1600</x:v>
      </x:c>
      <x:c r="F22" s="196" t="n">
        <x:v>5750</x:v>
      </x:c>
      <x:c r="G22" s="196" t="n">
        <x:v>0</x:v>
      </x:c>
      <x:c r="H22" s="196" t="n">
        <x:v>12400</x:v>
      </x:c>
      <x:c r="I22" s="196" t="n">
        <x:v>0</x:v>
      </x:c>
      <x:c r="J22" s="196" t="n">
        <x:v>50</x:v>
      </x:c>
      <x:c r="K22" s="196" t="n">
        <x:v>50</x:v>
      </x:c>
      <x:c r="L22" s="196" t="n">
        <x:v>0</x:v>
      </x:c>
    </x:row>
    <x:row r="23" ht="34" customHeight="1">
      <x:c r="A23" s="193" t="str">
        <x:v>EXT-MONDE-T018</x:v>
      </x:c>
      <x:c r="B23" s="194" t="str">
        <x:v>Fête foraine portuaire</x:v>
      </x:c>
      <x:c r="C23" s="196" t="n">
        <x:v>50</x:v>
      </x:c>
      <x:c r="D23" s="196" t="n">
        <x:v>1600</x:v>
      </x:c>
      <x:c r="E23" s="196" t="n">
        <x:v>1600</x:v>
      </x:c>
      <x:c r="F23" s="196" t="n">
        <x:v>6000</x:v>
      </x:c>
      <x:c r="G23" s="196" t="n">
        <x:v>0</x:v>
      </x:c>
      <x:c r="H23" s="196" t="n">
        <x:v>12400</x:v>
      </x:c>
      <x:c r="I23" s="196" t="n">
        <x:v>0</x:v>
      </x:c>
      <x:c r="J23" s="196" t="n">
        <x:v>50</x:v>
      </x:c>
      <x:c r="K23" s="196" t="n">
        <x:v>50</x:v>
      </x:c>
      <x:c r="L23" s="196" t="n">
        <x:v>0</x:v>
      </x:c>
    </x:row>
    <x:row r="24" ht="34" customHeight="1">
      <x:c r="A24" s="193" t="str">
        <x:v>EXT-MONDE-T019</x:v>
      </x:c>
      <x:c r="B24" s="194" t="str">
        <x:v>Chantier naval côtier</x:v>
      </x:c>
      <x:c r="C24" s="196" t="n">
        <x:v>50</x:v>
      </x:c>
      <x:c r="D24" s="196" t="n">
        <x:v>1600</x:v>
      </x:c>
      <x:c r="E24" s="196" t="n">
        <x:v>1600</x:v>
      </x:c>
      <x:c r="F24" s="196" t="n">
        <x:v>6050</x:v>
      </x:c>
      <x:c r="G24" s="196" t="n">
        <x:v>0</x:v>
      </x:c>
      <x:c r="H24" s="196" t="n">
        <x:v>12400</x:v>
      </x:c>
      <x:c r="I24" s="196" t="n">
        <x:v>0</x:v>
      </x:c>
      <x:c r="J24" s="196" t="n">
        <x:v>50</x:v>
      </x:c>
      <x:c r="K24" s="196" t="n">
        <x:v>50</x:v>
      </x:c>
      <x:c r="L24" s="196" t="n">
        <x:v>0</x:v>
      </x:c>
    </x:row>
    <x:row r="25" ht="34" customHeight="1">
      <x:c r="A25" s="193" t="str">
        <x:v>EXT-MONDE-T020</x:v>
      </x:c>
      <x:c r="B25" s="194" t="str">
        <x:v>Baie avec village côtier</x:v>
      </x:c>
      <x:c r="C25" s="196" t="n">
        <x:v>50</x:v>
      </x:c>
      <x:c r="D25" s="196" t="n">
        <x:v>1600</x:v>
      </x:c>
      <x:c r="E25" s="196" t="n">
        <x:v>1600</x:v>
      </x:c>
      <x:c r="F25" s="196" t="n">
        <x:v>6000</x:v>
      </x:c>
      <x:c r="G25" s="196" t="n">
        <x:v>0</x:v>
      </x:c>
      <x:c r="H25" s="196" t="n">
        <x:v>12400</x:v>
      </x:c>
      <x:c r="I25" s="196" t="n">
        <x:v>0</x:v>
      </x:c>
      <x:c r="J25" s="196" t="n">
        <x:v>50</x:v>
      </x:c>
      <x:c r="K25" s="196" t="n">
        <x:v>50</x:v>
      </x:c>
      <x:c r="L25" s="196" t="n">
        <x:v>0</x:v>
      </x:c>
    </x:row>
    <x:row r="26" ht="34" customHeight="1">
      <x:c r="A26" s="193" t="str">
        <x:v>EXT-MONDE-T021</x:v>
      </x:c>
      <x:c r="B26" s="194" t="str">
        <x:v>Ferme laitière</x:v>
      </x:c>
      <x:c r="C26" s="196" t="n">
        <x:v>50</x:v>
      </x:c>
      <x:c r="D26" s="196" t="n">
        <x:v>1400</x:v>
      </x:c>
      <x:c r="E26" s="196" t="n">
        <x:v>1400</x:v>
      </x:c>
      <x:c r="F26" s="196" t="n">
        <x:v>4950</x:v>
      </x:c>
      <x:c r="G26" s="196" t="n">
        <x:v>0</x:v>
      </x:c>
      <x:c r="H26" s="196" t="n">
        <x:v>10500</x:v>
      </x:c>
      <x:c r="I26" s="196" t="n">
        <x:v>0</x:v>
      </x:c>
      <x:c r="J26" s="196" t="n">
        <x:v>50</x:v>
      </x:c>
      <x:c r="K26" s="196" t="n">
        <x:v>50</x:v>
      </x:c>
      <x:c r="L26" s="196" t="n">
        <x:v>0</x:v>
      </x:c>
    </x:row>
    <x:row r="27" ht="34" customHeight="1">
      <x:c r="A27" s="193" t="str">
        <x:v>EXT-MONDE-T022</x:v>
      </x:c>
      <x:c r="B27" s="194" t="str">
        <x:v>Élevage ovin</x:v>
      </x:c>
      <x:c r="C27" s="196" t="n">
        <x:v>50</x:v>
      </x:c>
      <x:c r="D27" s="196" t="n">
        <x:v>1400</x:v>
      </x:c>
      <x:c r="E27" s="196" t="n">
        <x:v>1400</x:v>
      </x:c>
      <x:c r="F27" s="196" t="n">
        <x:v>5100</x:v>
      </x:c>
      <x:c r="G27" s="196" t="n">
        <x:v>0</x:v>
      </x:c>
      <x:c r="H27" s="196" t="n">
        <x:v>10500</x:v>
      </x:c>
      <x:c r="I27" s="196" t="n">
        <x:v>0</x:v>
      </x:c>
      <x:c r="J27" s="196" t="n">
        <x:v>50</x:v>
      </x:c>
      <x:c r="K27" s="196" t="n">
        <x:v>50</x:v>
      </x:c>
      <x:c r="L27" s="196" t="n">
        <x:v>0</x:v>
      </x:c>
    </x:row>
    <x:row r="28" ht="34" customHeight="1">
      <x:c r="A28" s="193" t="str">
        <x:v>EXT-MONDE-T023</x:v>
      </x:c>
      <x:c r="B28" s="194" t="str">
        <x:v>Ferme avicole</x:v>
      </x:c>
      <x:c r="C28" s="196" t="n">
        <x:v>50</x:v>
      </x:c>
      <x:c r="D28" s="196" t="n">
        <x:v>1400</x:v>
      </x:c>
      <x:c r="E28" s="196" t="n">
        <x:v>1400</x:v>
      </x:c>
      <x:c r="F28" s="196" t="n">
        <x:v>5050</x:v>
      </x:c>
      <x:c r="G28" s="196" t="n">
        <x:v>0</x:v>
      </x:c>
      <x:c r="H28" s="196" t="n">
        <x:v>10500</x:v>
      </x:c>
      <x:c r="I28" s="196" t="n">
        <x:v>0</x:v>
      </x:c>
      <x:c r="J28" s="196" t="n">
        <x:v>50</x:v>
      </x:c>
      <x:c r="K28" s="196" t="n">
        <x:v>50</x:v>
      </x:c>
      <x:c r="L28" s="196" t="n">
        <x:v>0</x:v>
      </x:c>
    </x:row>
    <x:row r="29" ht="34" customHeight="1">
      <x:c r="A29" s="193" t="str">
        <x:v>EXT-MONDE-T024</x:v>
      </x:c>
      <x:c r="B29" s="194" t="str">
        <x:v>Centre équestre rural</x:v>
      </x:c>
      <x:c r="C29" s="196" t="n">
        <x:v>50</x:v>
      </x:c>
      <x:c r="D29" s="196" t="n">
        <x:v>1400</x:v>
      </x:c>
      <x:c r="E29" s="196" t="n">
        <x:v>1400</x:v>
      </x:c>
      <x:c r="F29" s="196" t="n">
        <x:v>5100</x:v>
      </x:c>
      <x:c r="G29" s="196" t="n">
        <x:v>0</x:v>
      </x:c>
      <x:c r="H29" s="196" t="n">
        <x:v>10500</x:v>
      </x:c>
      <x:c r="I29" s="196" t="n">
        <x:v>0</x:v>
      </x:c>
      <x:c r="J29" s="196" t="n">
        <x:v>50</x:v>
      </x:c>
      <x:c r="K29" s="196" t="n">
        <x:v>50</x:v>
      </x:c>
      <x:c r="L29" s="196" t="n">
        <x:v>0</x:v>
      </x:c>
    </x:row>
    <x:row r="30" ht="34" customHeight="1">
      <x:c r="A30" s="193" t="str">
        <x:v>EXT-MONDE-T025</x:v>
      </x:c>
      <x:c r="B30" s="194" t="str">
        <x:v>Exploitation céréalière</x:v>
      </x:c>
      <x:c r="C30" s="196" t="n">
        <x:v>50</x:v>
      </x:c>
      <x:c r="D30" s="196" t="n">
        <x:v>1300</x:v>
      </x:c>
      <x:c r="E30" s="196" t="n">
        <x:v>1300</x:v>
      </x:c>
      <x:c r="F30" s="196" t="n">
        <x:v>4850</x:v>
      </x:c>
      <x:c r="G30" s="196" t="n">
        <x:v>0</x:v>
      </x:c>
      <x:c r="H30" s="196" t="n">
        <x:v>9900</x:v>
      </x:c>
      <x:c r="I30" s="196" t="n">
        <x:v>0</x:v>
      </x:c>
      <x:c r="J30" s="196" t="n">
        <x:v>50</x:v>
      </x:c>
      <x:c r="K30" s="196" t="n">
        <x:v>50</x:v>
      </x:c>
      <x:c r="L30" s="196" t="n">
        <x:v>0</x:v>
      </x:c>
    </x:row>
    <x:row r="31" ht="34" customHeight="1">
      <x:c r="A31" s="193" t="str">
        <x:v>EXT-MONDE-T026</x:v>
      </x:c>
      <x:c r="B31" s="194" t="str">
        <x:v>Domaine viticole</x:v>
      </x:c>
      <x:c r="C31" s="196" t="n">
        <x:v>50</x:v>
      </x:c>
      <x:c r="D31" s="196" t="n">
        <x:v>1300</x:v>
      </x:c>
      <x:c r="E31" s="196" t="n">
        <x:v>1300</x:v>
      </x:c>
      <x:c r="F31" s="196" t="n">
        <x:v>4700</x:v>
      </x:c>
      <x:c r="G31" s="196" t="n">
        <x:v>0</x:v>
      </x:c>
      <x:c r="H31" s="196" t="n">
        <x:v>9900</x:v>
      </x:c>
      <x:c r="I31" s="196" t="n">
        <x:v>0</x:v>
      </x:c>
      <x:c r="J31" s="196" t="n">
        <x:v>50</x:v>
      </x:c>
      <x:c r="K31" s="196" t="n">
        <x:v>50</x:v>
      </x:c>
      <x:c r="L31" s="196" t="n">
        <x:v>0</x:v>
      </x:c>
    </x:row>
    <x:row r="32" ht="34" customHeight="1">
      <x:c r="A32" s="193" t="str">
        <x:v>EXT-MONDE-T027</x:v>
      </x:c>
      <x:c r="B32" s="194" t="str">
        <x:v>Ferme maraîchère</x:v>
      </x:c>
      <x:c r="C32" s="196" t="n">
        <x:v>50</x:v>
      </x:c>
      <x:c r="D32" s="196" t="n">
        <x:v>1400</x:v>
      </x:c>
      <x:c r="E32" s="196" t="n">
        <x:v>1400</x:v>
      </x:c>
      <x:c r="F32" s="196" t="n">
        <x:v>5200</x:v>
      </x:c>
      <x:c r="G32" s="196" t="n">
        <x:v>0</x:v>
      </x:c>
      <x:c r="H32" s="196" t="n">
        <x:v>10500</x:v>
      </x:c>
      <x:c r="I32" s="196" t="n">
        <x:v>0</x:v>
      </x:c>
      <x:c r="J32" s="196" t="n">
        <x:v>50</x:v>
      </x:c>
      <x:c r="K32" s="196" t="n">
        <x:v>50</x:v>
      </x:c>
      <x:c r="L32" s="196" t="n">
        <x:v>0</x:v>
      </x:c>
    </x:row>
    <x:row r="33" ht="34" customHeight="1">
      <x:c r="A33" s="193" t="str">
        <x:v>EXT-MONDE-T028</x:v>
      </x:c>
      <x:c r="B33" s="194" t="str">
        <x:v>Verger avec conditionnement</x:v>
      </x:c>
      <x:c r="C33" s="196" t="n">
        <x:v>50</x:v>
      </x:c>
      <x:c r="D33" s="196" t="n">
        <x:v>1300</x:v>
      </x:c>
      <x:c r="E33" s="196" t="n">
        <x:v>1300</x:v>
      </x:c>
      <x:c r="F33" s="196" t="n">
        <x:v>4800</x:v>
      </x:c>
      <x:c r="G33" s="196" t="n">
        <x:v>0</x:v>
      </x:c>
      <x:c r="H33" s="196" t="n">
        <x:v>9900</x:v>
      </x:c>
      <x:c r="I33" s="196" t="n">
        <x:v>0</x:v>
      </x:c>
      <x:c r="J33" s="196" t="n">
        <x:v>50</x:v>
      </x:c>
      <x:c r="K33" s="196" t="n">
        <x:v>50</x:v>
      </x:c>
      <x:c r="L33" s="196" t="n">
        <x:v>0</x:v>
      </x:c>
    </x:row>
    <x:row r="34" ht="34" customHeight="1">
      <x:c r="A34" s="193" t="str">
        <x:v>EXT-MONDE-T029</x:v>
      </x:c>
      <x:c r="B34" s="194" t="str">
        <x:v>Pont routier à poutres</x:v>
      </x:c>
      <x:c r="C34" s="196" t="n">
        <x:v>50</x:v>
      </x:c>
      <x:c r="D34" s="196" t="n">
        <x:v>1700</x:v>
      </x:c>
      <x:c r="E34" s="196" t="n">
        <x:v>1700</x:v>
      </x:c>
      <x:c r="F34" s="196" t="n">
        <x:v>6250</x:v>
      </x:c>
      <x:c r="G34" s="196" t="n">
        <x:v>0</x:v>
      </x:c>
      <x:c r="H34" s="196" t="n">
        <x:v>13000</x:v>
      </x:c>
      <x:c r="I34" s="196" t="n">
        <x:v>0</x:v>
      </x:c>
      <x:c r="J34" s="196" t="n">
        <x:v>50</x:v>
      </x:c>
      <x:c r="K34" s="196" t="n">
        <x:v>50</x:v>
      </x:c>
      <x:c r="L34" s="196" t="n">
        <x:v>0</x:v>
      </x:c>
    </x:row>
    <x:row r="35" ht="34" customHeight="1">
      <x:c r="A35" s="193" t="str">
        <x:v>EXT-MONDE-T030</x:v>
      </x:c>
      <x:c r="B35" s="194" t="str">
        <x:v>Pont à arches</x:v>
      </x:c>
      <x:c r="C35" s="196" t="n">
        <x:v>50</x:v>
      </x:c>
      <x:c r="D35" s="196" t="n">
        <x:v>1700</x:v>
      </x:c>
      <x:c r="E35" s="196" t="n">
        <x:v>1700</x:v>
      </x:c>
      <x:c r="F35" s="196" t="n">
        <x:v>6250</x:v>
      </x:c>
      <x:c r="G35" s="196" t="n">
        <x:v>0</x:v>
      </x:c>
      <x:c r="H35" s="196" t="n">
        <x:v>13000</x:v>
      </x:c>
      <x:c r="I35" s="196" t="n">
        <x:v>0</x:v>
      </x:c>
      <x:c r="J35" s="196" t="n">
        <x:v>50</x:v>
      </x:c>
      <x:c r="K35" s="196" t="n">
        <x:v>50</x:v>
      </x:c>
      <x:c r="L35" s="196" t="n">
        <x:v>0</x:v>
      </x:c>
    </x:row>
    <x:row r="36" ht="34" customHeight="1">
      <x:c r="A36" s="193" t="str">
        <x:v>EXT-MONDE-T031</x:v>
      </x:c>
      <x:c r="B36" s="194" t="str">
        <x:v>Pont levant portuaire</x:v>
      </x:c>
      <x:c r="C36" s="196" t="n">
        <x:v>50</x:v>
      </x:c>
      <x:c r="D36" s="196" t="n">
        <x:v>1700</x:v>
      </x:c>
      <x:c r="E36" s="196" t="n">
        <x:v>1700</x:v>
      </x:c>
      <x:c r="F36" s="196" t="n">
        <x:v>6250</x:v>
      </x:c>
      <x:c r="G36" s="196" t="n">
        <x:v>0</x:v>
      </x:c>
      <x:c r="H36" s="196" t="n">
        <x:v>13000</x:v>
      </x:c>
      <x:c r="I36" s="196" t="n">
        <x:v>0</x:v>
      </x:c>
      <x:c r="J36" s="196" t="n">
        <x:v>50</x:v>
      </x:c>
      <x:c r="K36" s="196" t="n">
        <x:v>50</x:v>
      </x:c>
      <x:c r="L36" s="196" t="n">
        <x:v>0</x:v>
      </x:c>
    </x:row>
    <x:row r="37" ht="34" customHeight="1">
      <x:c r="A37" s="193" t="str">
        <x:v>EXT-MONDE-T032</x:v>
      </x:c>
      <x:c r="B37" s="194" t="str">
        <x:v>Viaduc ferroviaire</x:v>
      </x:c>
      <x:c r="C37" s="196" t="n">
        <x:v>50</x:v>
      </x:c>
      <x:c r="D37" s="196" t="n">
        <x:v>1700</x:v>
      </x:c>
      <x:c r="E37" s="196" t="n">
        <x:v>1700</x:v>
      </x:c>
      <x:c r="F37" s="196" t="n">
        <x:v>6250</x:v>
      </x:c>
      <x:c r="G37" s="196" t="n">
        <x:v>0</x:v>
      </x:c>
      <x:c r="H37" s="196" t="n">
        <x:v>13000</x:v>
      </x:c>
      <x:c r="I37" s="196" t="n">
        <x:v>0</x:v>
      </x:c>
      <x:c r="J37" s="196" t="n">
        <x:v>50</x:v>
      </x:c>
      <x:c r="K37" s="196" t="n">
        <x:v>50</x:v>
      </x:c>
      <x:c r="L37" s="196" t="n">
        <x:v>0</x:v>
      </x:c>
    </x:row>
    <x:row r="38" ht="34" customHeight="1">
      <x:c r="A38" s="193" t="str">
        <x:v>EXT-MONDE-T033</x:v>
      </x:c>
      <x:c r="B38" s="194" t="str">
        <x:v>Échangeur en losange</x:v>
      </x:c>
      <x:c r="C38" s="196" t="n">
        <x:v>50</x:v>
      </x:c>
      <x:c r="D38" s="196" t="n">
        <x:v>1700</x:v>
      </x:c>
      <x:c r="E38" s="196" t="n">
        <x:v>1700</x:v>
      </x:c>
      <x:c r="F38" s="196" t="n">
        <x:v>6250</x:v>
      </x:c>
      <x:c r="G38" s="196" t="n">
        <x:v>0</x:v>
      </x:c>
      <x:c r="H38" s="196" t="n">
        <x:v>13000</x:v>
      </x:c>
      <x:c r="I38" s="196" t="n">
        <x:v>0</x:v>
      </x:c>
      <x:c r="J38" s="196" t="n">
        <x:v>50</x:v>
      </x:c>
      <x:c r="K38" s="196" t="n">
        <x:v>50</x:v>
      </x:c>
      <x:c r="L38" s="196" t="n">
        <x:v>0</x:v>
      </x:c>
    </x:row>
    <x:row r="39" ht="34" customHeight="1">
      <x:c r="A39" s="193" t="str">
        <x:v>EXT-MONDE-T034</x:v>
      </x:c>
      <x:c r="B39" s="194" t="str">
        <x:v>Échangeur en trompette</x:v>
      </x:c>
      <x:c r="C39" s="196" t="n">
        <x:v>50</x:v>
      </x:c>
      <x:c r="D39" s="196" t="n">
        <x:v>1700</x:v>
      </x:c>
      <x:c r="E39" s="196" t="n">
        <x:v>1700</x:v>
      </x:c>
      <x:c r="F39" s="196" t="n">
        <x:v>6250</x:v>
      </x:c>
      <x:c r="G39" s="196" t="n">
        <x:v>0</x:v>
      </x:c>
      <x:c r="H39" s="196" t="n">
        <x:v>13000</x:v>
      </x:c>
      <x:c r="I39" s="196" t="n">
        <x:v>0</x:v>
      </x:c>
      <x:c r="J39" s="196" t="n">
        <x:v>50</x:v>
      </x:c>
      <x:c r="K39" s="196" t="n">
        <x:v>50</x:v>
      </x:c>
      <x:c r="L39" s="196" t="n">
        <x:v>0</x:v>
      </x:c>
    </x:row>
    <x:row r="40" ht="34" customHeight="1">
      <x:c r="A40" s="193" t="str">
        <x:v>EXT-MONDE-T035</x:v>
      </x:c>
      <x:c r="B40" s="194" t="str">
        <x:v>Trèfle autoroutier</x:v>
      </x:c>
      <x:c r="C40" s="196" t="n">
        <x:v>50</x:v>
      </x:c>
      <x:c r="D40" s="196" t="n">
        <x:v>1700</x:v>
      </x:c>
      <x:c r="E40" s="196" t="n">
        <x:v>1700</x:v>
      </x:c>
      <x:c r="F40" s="196" t="n">
        <x:v>6250</x:v>
      </x:c>
      <x:c r="G40" s="196" t="n">
        <x:v>0</x:v>
      </x:c>
      <x:c r="H40" s="196" t="n">
        <x:v>13000</x:v>
      </x:c>
      <x:c r="I40" s="196" t="n">
        <x:v>0</x:v>
      </x:c>
      <x:c r="J40" s="196" t="n">
        <x:v>50</x:v>
      </x:c>
      <x:c r="K40" s="196" t="n">
        <x:v>50</x:v>
      </x:c>
      <x:c r="L40" s="196" t="n">
        <x:v>0</x:v>
      </x:c>
    </x:row>
    <x:row r="41" ht="34" customHeight="1">
      <x:c r="A41" s="193" t="str">
        <x:v>EXT-MONDE-T036</x:v>
      </x:c>
      <x:c r="B41" s="194" t="str">
        <x:v>Échangeur directionnel</x:v>
      </x:c>
      <x:c r="C41" s="196" t="n">
        <x:v>50</x:v>
      </x:c>
      <x:c r="D41" s="196" t="n">
        <x:v>1700</x:v>
      </x:c>
      <x:c r="E41" s="196" t="n">
        <x:v>1700</x:v>
      </x:c>
      <x:c r="F41" s="196" t="n">
        <x:v>6250</x:v>
      </x:c>
      <x:c r="G41" s="196" t="n">
        <x:v>0</x:v>
      </x:c>
      <x:c r="H41" s="196" t="n">
        <x:v>13000</x:v>
      </x:c>
      <x:c r="I41" s="196" t="n">
        <x:v>0</x:v>
      </x:c>
      <x:c r="J41" s="196" t="n">
        <x:v>50</x:v>
      </x:c>
      <x:c r="K41" s="196" t="n">
        <x:v>50</x:v>
      </x:c>
      <x:c r="L41" s="196" t="n">
        <x:v>0</x:v>
      </x:c>
    </x:row>
    <x:row r="42" ht="34" customHeight="1">
      <x:c r="A42" s="193" t="str">
        <x:v>EXT-MONDE-T037</x:v>
      </x:c>
      <x:c r="B42" s="194" t="str">
        <x:v>Collecteur urbain</x:v>
      </x:c>
      <x:c r="C42" s="196" t="n">
        <x:v>50</x:v>
      </x:c>
      <x:c r="D42" s="196" t="n">
        <x:v>700</x:v>
      </x:c>
      <x:c r="E42" s="196" t="n">
        <x:v>700</x:v>
      </x:c>
      <x:c r="F42" s="196" t="n">
        <x:v>2600</x:v>
      </x:c>
      <x:c r="G42" s="196" t="n">
        <x:v>0</x:v>
      </x:c>
      <x:c r="H42" s="196" t="n">
        <x:v>6300</x:v>
      </x:c>
      <x:c r="I42" s="196" t="n">
        <x:v>100</x:v>
      </x:c>
      <x:c r="J42" s="196" t="n">
        <x:v>100</x:v>
      </x:c>
      <x:c r="K42" s="196" t="n">
        <x:v>50</x:v>
      </x:c>
      <x:c r="L42" s="196" t="n">
        <x:v>0</x:v>
      </x:c>
    </x:row>
    <x:row r="43" ht="34" customHeight="1">
      <x:c r="A43" s="193" t="str">
        <x:v>EXT-MONDE-T038</x:v>
      </x:c>
      <x:c r="B43" s="194" t="str">
        <x:v>Réseau unitaire ancien</x:v>
      </x:c>
      <x:c r="C43" s="196" t="n">
        <x:v>50</x:v>
      </x:c>
      <x:c r="D43" s="196" t="n">
        <x:v>1200</x:v>
      </x:c>
      <x:c r="E43" s="196" t="n">
        <x:v>1200</x:v>
      </x:c>
      <x:c r="F43" s="196" t="n">
        <x:v>4450</x:v>
      </x:c>
      <x:c r="G43" s="196" t="n">
        <x:v>0</x:v>
      </x:c>
      <x:c r="H43" s="196" t="n">
        <x:v>10350</x:v>
      </x:c>
      <x:c r="I43" s="196" t="n">
        <x:v>200</x:v>
      </x:c>
      <x:c r="J43" s="196" t="n">
        <x:v>150</x:v>
      </x:c>
      <x:c r="K43" s="196" t="n">
        <x:v>50</x:v>
      </x:c>
      <x:c r="L43" s="196" t="n">
        <x:v>0</x:v>
      </x:c>
    </x:row>
    <x:row r="44" ht="34" customHeight="1">
      <x:c r="A44" s="193" t="str">
        <x:v>EXT-MONDE-T039</x:v>
      </x:c>
      <x:c r="B44" s="194" t="str">
        <x:v>Galerie pluviale</x:v>
      </x:c>
      <x:c r="C44" s="196" t="n">
        <x:v>50</x:v>
      </x:c>
      <x:c r="D44" s="196" t="n">
        <x:v>600</x:v>
      </x:c>
      <x:c r="E44" s="196" t="n">
        <x:v>600</x:v>
      </x:c>
      <x:c r="F44" s="196" t="n">
        <x:v>2200</x:v>
      </x:c>
      <x:c r="G44" s="196" t="n">
        <x:v>0</x:v>
      </x:c>
      <x:c r="H44" s="196" t="n">
        <x:v>5700</x:v>
      </x:c>
      <x:c r="I44" s="196" t="n">
        <x:v>100</x:v>
      </x:c>
      <x:c r="J44" s="196" t="n">
        <x:v>100</x:v>
      </x:c>
      <x:c r="K44" s="196" t="n">
        <x:v>50</x:v>
      </x:c>
      <x:c r="L44" s="196" t="n">
        <x:v>0</x:v>
      </x:c>
    </x:row>
    <x:row r="45" ht="34" customHeight="1">
      <x:c r="A45" s="193" t="str">
        <x:v>EXT-MONDE-T040</x:v>
      </x:c>
      <x:c r="B45" s="194" t="str">
        <x:v>Station souterraine de relevage</x:v>
      </x:c>
      <x:c r="C45" s="196" t="n">
        <x:v>50</x:v>
      </x:c>
      <x:c r="D45" s="196" t="n">
        <x:v>1300</x:v>
      </x:c>
      <x:c r="E45" s="196" t="n">
        <x:v>1300</x:v>
      </x:c>
      <x:c r="F45" s="196" t="n">
        <x:v>4750</x:v>
      </x:c>
      <x:c r="G45" s="196" t="n">
        <x:v>0</x:v>
      </x:c>
      <x:c r="H45" s="196" t="n">
        <x:v>12000</x:v>
      </x:c>
      <x:c r="I45" s="196" t="n">
        <x:v>300</x:v>
      </x:c>
      <x:c r="J45" s="196" t="n">
        <x:v>200</x:v>
      </x:c>
      <x:c r="K45" s="196" t="n">
        <x:v>50</x:v>
      </x:c>
      <x:c r="L45" s="196" t="n">
        <x:v>0</x:v>
      </x:c>
    </x:row>
    <x:row r="46" ht="34" customHeight="1">
      <x:c r="A46" s="193" t="str">
        <x:v>EXT-MONDE-T041</x:v>
      </x:c>
      <x:c r="B46" s="194" t="str">
        <x:v>Barre HLM</x:v>
      </x:c>
      <x:c r="C46" s="196" t="n">
        <x:v>50</x:v>
      </x:c>
      <x:c r="D46" s="196" t="n">
        <x:v>7600</x:v>
      </x:c>
      <x:c r="E46" s="196" t="n">
        <x:v>7600</x:v>
      </x:c>
      <x:c r="F46" s="196" t="n">
        <x:v>26600</x:v>
      </x:c>
      <x:c r="G46" s="196" t="n">
        <x:v>0</x:v>
      </x:c>
      <x:c r="H46" s="196" t="n">
        <x:v>56800</x:v>
      </x:c>
      <x:c r="I46" s="196" t="n">
        <x:v>250</x:v>
      </x:c>
      <x:c r="J46" s="196" t="n">
        <x:v>300</x:v>
      </x:c>
      <x:c r="K46" s="196" t="n">
        <x:v>50</x:v>
      </x:c>
      <x:c r="L46" s="196" t="n">
        <x:v>0</x:v>
      </x:c>
    </x:row>
    <x:row r="47" ht="34" customHeight="1">
      <x:c r="A47" s="193" t="str">
        <x:v>EXT-MONDE-T042</x:v>
      </x:c>
      <x:c r="B47" s="194" t="str">
        <x:v>Tour HLM</x:v>
      </x:c>
      <x:c r="C47" s="196" t="n">
        <x:v>50</x:v>
      </x:c>
      <x:c r="D47" s="196" t="n">
        <x:v>10900</x:v>
      </x:c>
      <x:c r="E47" s="196" t="n">
        <x:v>10900</x:v>
      </x:c>
      <x:c r="F47" s="196" t="n">
        <x:v>38150</x:v>
      </x:c>
      <x:c r="G47" s="196" t="n">
        <x:v>0</x:v>
      </x:c>
      <x:c r="H47" s="196" t="n">
        <x:v>81850</x:v>
      </x:c>
      <x:c r="I47" s="196" t="n">
        <x:v>450</x:v>
      </x:c>
      <x:c r="J47" s="196" t="n">
        <x:v>500</x:v>
      </x:c>
      <x:c r="K47" s="196" t="n">
        <x:v>50</x:v>
      </x:c>
      <x:c r="L47" s="196" t="n">
        <x:v>0</x:v>
      </x:c>
    </x:row>
    <x:row r="48" ht="34" customHeight="1">
      <x:c r="A48" s="193" t="str">
        <x:v>EXT-MONDE-T043</x:v>
      </x:c>
      <x:c r="B48" s="194" t="str">
        <x:v>Résidence en cour</x:v>
      </x:c>
      <x:c r="C48" s="196" t="n">
        <x:v>50</x:v>
      </x:c>
      <x:c r="D48" s="196" t="n">
        <x:v>12250</x:v>
      </x:c>
      <x:c r="E48" s="196" t="n">
        <x:v>12250</x:v>
      </x:c>
      <x:c r="F48" s="196" t="n">
        <x:v>42875</x:v>
      </x:c>
      <x:c r="G48" s="196" t="n">
        <x:v>0</x:v>
      </x:c>
      <x:c r="H48" s="196" t="n">
        <x:v>92750</x:v>
      </x:c>
      <x:c r="I48" s="196" t="n">
        <x:v>500</x:v>
      </x:c>
      <x:c r="J48" s="196" t="n">
        <x:v>290</x:v>
      </x:c>
      <x:c r="K48" s="196" t="n">
        <x:v>50</x:v>
      </x:c>
      <x:c r="L48" s="196" t="n">
        <x:v>0</x:v>
      </x:c>
    </x:row>
    <x:row r="49" ht="34" customHeight="1">
      <x:c r="A49" s="193" t="str">
        <x:v>EXT-MONDE-T044</x:v>
      </x:c>
      <x:c r="B49" s="194" t="str">
        <x:v>Ensemble HLM mixte</x:v>
      </x:c>
      <x:c r="C49" s="196" t="n">
        <x:v>50</x:v>
      </x:c>
      <x:c r="D49" s="196" t="n">
        <x:v>14320</x:v>
      </x:c>
      <x:c r="E49" s="196" t="n">
        <x:v>14320</x:v>
      </x:c>
      <x:c r="F49" s="196" t="n">
        <x:v>50170</x:v>
      </x:c>
      <x:c r="G49" s="196" t="n">
        <x:v>0</x:v>
      </x:c>
      <x:c r="H49" s="196" t="n">
        <x:v>107970</x:v>
      </x:c>
      <x:c r="I49" s="196" t="n">
        <x:v>580</x:v>
      </x:c>
      <x:c r="J49" s="196" t="n">
        <x:v>390</x:v>
      </x:c>
      <x:c r="K49" s="196" t="n">
        <x:v>50</x:v>
      </x:c>
      <x:c r="L49" s="196" t="n">
        <x:v>0</x:v>
      </x:c>
    </x:row>
    <x:row r="50" ht="34" customHeight="1">
      <x:c r="A50" s="193" t="str">
        <x:v>EXT-MONDE-T045</x:v>
      </x:c>
      <x:c r="B50" s="194" t="str">
        <x:v>Parc résidentiel de mobil-homes</x:v>
      </x:c>
      <x:c r="C50" s="196" t="n">
        <x:v>50</x:v>
      </x:c>
      <x:c r="D50" s="196" t="n">
        <x:v>2460</x:v>
      </x:c>
      <x:c r="E50" s="196" t="n">
        <x:v>2460</x:v>
      </x:c>
      <x:c r="F50" s="196" t="n">
        <x:v>7803</x:v>
      </x:c>
      <x:c r="G50" s="196" t="n">
        <x:v>1167</x:v>
      </x:c>
      <x:c r="H50" s="196" t="n">
        <x:v>17980</x:v>
      </x:c>
      <x:c r="I50" s="196" t="n">
        <x:v>0</x:v>
      </x:c>
      <x:c r="J50" s="196" t="n">
        <x:v>50</x:v>
      </x:c>
      <x:c r="K50" s="196" t="n">
        <x:v>50</x:v>
      </x:c>
      <x:c r="L50" s="196" t="n">
        <x:v>0</x:v>
      </x:c>
    </x:row>
    <x:row r="51" ht="34" customHeight="1">
      <x:c r="A51" s="193" t="str">
        <x:v>EXT-MONDE-T046</x:v>
      </x:c>
      <x:c r="B51" s="194" t="str">
        <x:v>Camping caravanes</x:v>
      </x:c>
      <x:c r="C51" s="196" t="n">
        <x:v>50</x:v>
      </x:c>
      <x:c r="D51" s="196" t="n">
        <x:v>900</x:v>
      </x:c>
      <x:c r="E51" s="196" t="n">
        <x:v>900</x:v>
      </x:c>
      <x:c r="F51" s="196" t="n">
        <x:v>3100</x:v>
      </x:c>
      <x:c r="G51" s="196" t="n">
        <x:v>200</x:v>
      </x:c>
      <x:c r="H51" s="196" t="n">
        <x:v>6800</x:v>
      </x:c>
      <x:c r="I51" s="196" t="n">
        <x:v>0</x:v>
      </x:c>
      <x:c r="J51" s="196" t="n">
        <x:v>50</x:v>
      </x:c>
      <x:c r="K51" s="196" t="n">
        <x:v>50</x:v>
      </x:c>
      <x:c r="L51" s="196" t="n">
        <x:v>0</x:v>
      </x:c>
    </x:row>
    <x:row r="52" ht="34" customHeight="1">
      <x:c r="A52" s="193" t="str">
        <x:v>EXT-MONDE-T047</x:v>
      </x:c>
      <x:c r="B52" s="194" t="str">
        <x:v>Camp de travailleurs</x:v>
      </x:c>
      <x:c r="C52" s="196" t="n">
        <x:v>50</x:v>
      </x:c>
      <x:c r="D52" s="196" t="n">
        <x:v>2560</x:v>
      </x:c>
      <x:c r="E52" s="196" t="n">
        <x:v>2560</x:v>
      </x:c>
      <x:c r="F52" s="196" t="n">
        <x:v>8440</x:v>
      </x:c>
      <x:c r="G52" s="196" t="n">
        <x:v>0</x:v>
      </x:c>
      <x:c r="H52" s="196" t="n">
        <x:v>18580</x:v>
      </x:c>
      <x:c r="I52" s="196" t="n">
        <x:v>0</x:v>
      </x:c>
      <x:c r="J52" s="196" t="n">
        <x:v>50</x:v>
      </x:c>
      <x:c r="K52" s="196" t="n">
        <x:v>50</x:v>
      </x:c>
      <x:c r="L52" s="196" t="n">
        <x:v>0</x:v>
      </x:c>
    </x:row>
    <x:row r="53" ht="34" customHeight="1">
      <x:c r="A53" s="193" t="str">
        <x:v>EXT-MONDE-T048</x:v>
      </x:c>
      <x:c r="B53" s="194" t="str">
        <x:v>Parc de caravanes abandonné</x:v>
      </x:c>
      <x:c r="C53" s="196" t="n">
        <x:v>50</x:v>
      </x:c>
      <x:c r="D53" s="196" t="n">
        <x:v>1290</x:v>
      </x:c>
      <x:c r="E53" s="196" t="n">
        <x:v>1290</x:v>
      </x:c>
      <x:c r="F53" s="196" t="n">
        <x:v>4278</x:v>
      </x:c>
      <x:c r="G53" s="196" t="n">
        <x:v>452</x:v>
      </x:c>
      <x:c r="H53" s="196" t="n">
        <x:v>9595</x:v>
      </x:c>
      <x:c r="I53" s="196" t="n">
        <x:v>0</x:v>
      </x:c>
      <x:c r="J53" s="196" t="n">
        <x:v>50</x:v>
      </x:c>
      <x:c r="K53" s="196" t="n">
        <x:v>50</x:v>
      </x:c>
      <x:c r="L53" s="196" t="n">
        <x:v>0</x:v>
      </x:c>
    </x:row>
    <x:row r="54" ht="34" customHeight="1">
      <x:c r="A54" s="193" t="str">
        <x:v>EXT-MONDE-T049</x:v>
      </x:c>
      <x:c r="B54" s="194" t="str">
        <x:v>Parc familial</x:v>
      </x:c>
      <x:c r="C54" s="196" t="n">
        <x:v>50</x:v>
      </x:c>
      <x:c r="D54" s="196" t="n">
        <x:v>1600</x:v>
      </x:c>
      <x:c r="E54" s="196" t="n">
        <x:v>1600</x:v>
      </x:c>
      <x:c r="F54" s="196" t="n">
        <x:v>6000</x:v>
      </x:c>
      <x:c r="G54" s="196" t="n">
        <x:v>0</x:v>
      </x:c>
      <x:c r="H54" s="196" t="n">
        <x:v>12400</x:v>
      </x:c>
      <x:c r="I54" s="196" t="n">
        <x:v>0</x:v>
      </x:c>
      <x:c r="J54" s="196" t="n">
        <x:v>50</x:v>
      </x:c>
      <x:c r="K54" s="196" t="n">
        <x:v>50</x:v>
      </x:c>
      <x:c r="L54" s="196" t="n">
        <x:v>0</x:v>
      </x:c>
    </x:row>
    <x:row r="55" ht="34" customHeight="1">
      <x:c r="A55" s="193" t="str">
        <x:v>EXT-MONDE-T050</x:v>
      </x:c>
      <x:c r="B55" s="194" t="str">
        <x:v>Parc à sensations</x:v>
      </x:c>
      <x:c r="C55" s="196" t="n">
        <x:v>50</x:v>
      </x:c>
      <x:c r="D55" s="196" t="n">
        <x:v>1600</x:v>
      </x:c>
      <x:c r="E55" s="196" t="n">
        <x:v>1600</x:v>
      </x:c>
      <x:c r="F55" s="196" t="n">
        <x:v>6000</x:v>
      </x:c>
      <x:c r="G55" s="196" t="n">
        <x:v>0</x:v>
      </x:c>
      <x:c r="H55" s="196" t="n">
        <x:v>12400</x:v>
      </x:c>
      <x:c r="I55" s="196" t="n">
        <x:v>0</x:v>
      </x:c>
      <x:c r="J55" s="196" t="n">
        <x:v>50</x:v>
      </x:c>
      <x:c r="K55" s="196" t="n">
        <x:v>50</x:v>
      </x:c>
      <x:c r="L55" s="196" t="n">
        <x:v>0</x:v>
      </x:c>
    </x:row>
    <x:row r="56" ht="34" customHeight="1">
      <x:c r="A56" s="193" t="str">
        <x:v>EXT-MONDE-T051</x:v>
      </x:c>
      <x:c r="B56" s="194" t="str">
        <x:v>Parc aquatique</x:v>
      </x:c>
      <x:c r="C56" s="196" t="n">
        <x:v>50</x:v>
      </x:c>
      <x:c r="D56" s="196" t="n">
        <x:v>1600</x:v>
      </x:c>
      <x:c r="E56" s="196" t="n">
        <x:v>1600</x:v>
      </x:c>
      <x:c r="F56" s="196" t="n">
        <x:v>6050</x:v>
      </x:c>
      <x:c r="G56" s="196" t="n">
        <x:v>0</x:v>
      </x:c>
      <x:c r="H56" s="196" t="n">
        <x:v>12400</x:v>
      </x:c>
      <x:c r="I56" s="196" t="n">
        <x:v>0</x:v>
      </x:c>
      <x:c r="J56" s="196" t="n">
        <x:v>50</x:v>
      </x:c>
      <x:c r="K56" s="196" t="n">
        <x:v>50</x:v>
      </x:c>
      <x:c r="L56" s="196" t="n">
        <x:v>0</x:v>
      </x:c>
    </x:row>
    <x:row r="57" ht="34" customHeight="1">
      <x:c r="A57" s="193" t="str">
        <x:v>EXT-MONDE-T052</x:v>
      </x:c>
      <x:c r="B57" s="194" t="str">
        <x:v>Parc thématique abandonné</x:v>
      </x:c>
      <x:c r="C57" s="196" t="n">
        <x:v>50</x:v>
      </x:c>
      <x:c r="D57" s="196" t="n">
        <x:v>1600</x:v>
      </x:c>
      <x:c r="E57" s="196" t="n">
        <x:v>1600</x:v>
      </x:c>
      <x:c r="F57" s="196" t="n">
        <x:v>6000</x:v>
      </x:c>
      <x:c r="G57" s="196" t="n">
        <x:v>0</x:v>
      </x:c>
      <x:c r="H57" s="196" t="n">
        <x:v>12400</x:v>
      </x:c>
      <x:c r="I57" s="196" t="n">
        <x:v>0</x:v>
      </x:c>
      <x:c r="J57" s="196" t="n">
        <x:v>50</x:v>
      </x:c>
      <x:c r="K57" s="196" t="n">
        <x:v>50</x:v>
      </x:c>
      <x:c r="L57" s="196" t="n">
        <x:v>0</x:v>
      </x:c>
    </x:row>
    <x:row r="58" ht="34" customHeight="1">
      <x:c r="A58" s="193" t="str">
        <x:v>EXT-MONDE-T053</x:v>
      </x:c>
      <x:c r="B58" s="194" t="str">
        <x:v>Usine agroalimentaire</x:v>
      </x:c>
      <x:c r="C58" s="196" t="n">
        <x:v>50</x:v>
      </x:c>
      <x:c r="D58" s="196" t="n">
        <x:v>1900</x:v>
      </x:c>
      <x:c r="E58" s="196" t="n">
        <x:v>1900</x:v>
      </x:c>
      <x:c r="F58" s="196" t="n">
        <x:v>6850</x:v>
      </x:c>
      <x:c r="G58" s="196" t="n">
        <x:v>0</x:v>
      </x:c>
      <x:c r="H58" s="196" t="n">
        <x:v>14550</x:v>
      </x:c>
      <x:c r="I58" s="196" t="n">
        <x:v>0</x:v>
      </x:c>
      <x:c r="J58" s="196" t="n">
        <x:v>50</x:v>
      </x:c>
      <x:c r="K58" s="196" t="n">
        <x:v>50</x:v>
      </x:c>
      <x:c r="L58" s="196" t="n">
        <x:v>0</x:v>
      </x:c>
    </x:row>
    <x:row r="59" ht="34" customHeight="1">
      <x:c r="A59" s="193" t="str">
        <x:v>EXT-MONDE-T054</x:v>
      </x:c>
      <x:c r="B59" s="194" t="str">
        <x:v>Usine de mécanique</x:v>
      </x:c>
      <x:c r="C59" s="196" t="n">
        <x:v>50</x:v>
      </x:c>
      <x:c r="D59" s="196" t="n">
        <x:v>2000</x:v>
      </x:c>
      <x:c r="E59" s="196" t="n">
        <x:v>2000</x:v>
      </x:c>
      <x:c r="F59" s="196" t="n">
        <x:v>7500</x:v>
      </x:c>
      <x:c r="G59" s="196" t="n">
        <x:v>0</x:v>
      </x:c>
      <x:c r="H59" s="196" t="n">
        <x:v>15150</x:v>
      </x:c>
      <x:c r="I59" s="196" t="n">
        <x:v>0</x:v>
      </x:c>
      <x:c r="J59" s="196" t="n">
        <x:v>50</x:v>
      </x:c>
      <x:c r="K59" s="196" t="n">
        <x:v>50</x:v>
      </x:c>
      <x:c r="L59" s="196" t="n">
        <x:v>0</x:v>
      </x:c>
    </x:row>
    <x:row r="60" ht="34" customHeight="1">
      <x:c r="A60" s="193" t="str">
        <x:v>EXT-MONDE-T055</x:v>
      </x:c>
      <x:c r="B60" s="194" t="str">
        <x:v>Usine textile</x:v>
      </x:c>
      <x:c r="C60" s="196" t="n">
        <x:v>50</x:v>
      </x:c>
      <x:c r="D60" s="196" t="n">
        <x:v>2000</x:v>
      </x:c>
      <x:c r="E60" s="196" t="n">
        <x:v>2000</x:v>
      </x:c>
      <x:c r="F60" s="196" t="n">
        <x:v>7350</x:v>
      </x:c>
      <x:c r="G60" s="196" t="n">
        <x:v>0</x:v>
      </x:c>
      <x:c r="H60" s="196" t="n">
        <x:v>15150</x:v>
      </x:c>
      <x:c r="I60" s="196" t="n">
        <x:v>0</x:v>
      </x:c>
      <x:c r="J60" s="196" t="n">
        <x:v>50</x:v>
      </x:c>
      <x:c r="K60" s="196" t="n">
        <x:v>50</x:v>
      </x:c>
      <x:c r="L60" s="196" t="n">
        <x:v>0</x:v>
      </x:c>
    </x:row>
    <x:row r="61" ht="34" customHeight="1">
      <x:c r="A61" s="193" t="str">
        <x:v>EXT-MONDE-T056</x:v>
      </x:c>
      <x:c r="B61" s="194" t="str">
        <x:v>Usine de matériaux</x:v>
      </x:c>
      <x:c r="C61" s="196" t="n">
        <x:v>50</x:v>
      </x:c>
      <x:c r="D61" s="196" t="n">
        <x:v>2000</x:v>
      </x:c>
      <x:c r="E61" s="196" t="n">
        <x:v>2000</x:v>
      </x:c>
      <x:c r="F61" s="196" t="n">
        <x:v>7350</x:v>
      </x:c>
      <x:c r="G61" s="196" t="n">
        <x:v>0</x:v>
      </x:c>
      <x:c r="H61" s="196" t="n">
        <x:v>15150</x:v>
      </x:c>
      <x:c r="I61" s="196" t="n">
        <x:v>0</x:v>
      </x:c>
      <x:c r="J61" s="196" t="n">
        <x:v>50</x:v>
      </x:c>
      <x:c r="K61" s="196" t="n">
        <x:v>50</x:v>
      </x:c>
      <x:c r="L61" s="196" t="n">
        <x:v>0</x:v>
      </x:c>
    </x:row>
    <x:row r="62" ht="34" customHeight="1">
      <x:c r="A62" s="193" t="str">
        <x:v>EXT-MONDE-T057</x:v>
      </x:c>
      <x:c r="B62" s="194" t="str">
        <x:v>Centrale thermique</x:v>
      </x:c>
      <x:c r="C62" s="196" t="n">
        <x:v>50</x:v>
      </x:c>
      <x:c r="D62" s="196" t="n">
        <x:v>1100</x:v>
      </x:c>
      <x:c r="E62" s="196" t="n">
        <x:v>1100</x:v>
      </x:c>
      <x:c r="F62" s="196" t="n">
        <x:v>4000</x:v>
      </x:c>
      <x:c r="G62" s="196" t="n">
        <x:v>0</x:v>
      </x:c>
      <x:c r="H62" s="196" t="n">
        <x:v>8350</x:v>
      </x:c>
      <x:c r="I62" s="196" t="n">
        <x:v>0</x:v>
      </x:c>
      <x:c r="J62" s="196" t="n">
        <x:v>50</x:v>
      </x:c>
      <x:c r="K62" s="196" t="n">
        <x:v>50</x:v>
      </x:c>
      <x:c r="L62" s="196" t="n">
        <x:v>0</x:v>
      </x:c>
    </x:row>
    <x:row r="63" ht="34" customHeight="1">
      <x:c r="A63" s="193" t="str">
        <x:v>EXT-MONDE-T058</x:v>
      </x:c>
      <x:c r="B63" s="194" t="str">
        <x:v>Centrale hydroélectrique</x:v>
      </x:c>
      <x:c r="C63" s="196" t="n">
        <x:v>50</x:v>
      </x:c>
      <x:c r="D63" s="196" t="n">
        <x:v>1100</x:v>
      </x:c>
      <x:c r="E63" s="196" t="n">
        <x:v>1100</x:v>
      </x:c>
      <x:c r="F63" s="196" t="n">
        <x:v>4000</x:v>
      </x:c>
      <x:c r="G63" s="196" t="n">
        <x:v>0</x:v>
      </x:c>
      <x:c r="H63" s="196" t="n">
        <x:v>8350</x:v>
      </x:c>
      <x:c r="I63" s="196" t="n">
        <x:v>0</x:v>
      </x:c>
      <x:c r="J63" s="196" t="n">
        <x:v>50</x:v>
      </x:c>
      <x:c r="K63" s="196" t="n">
        <x:v>50</x:v>
      </x:c>
      <x:c r="L63" s="196" t="n">
        <x:v>0</x:v>
      </x:c>
    </x:row>
    <x:row r="64" ht="34" customHeight="1">
      <x:c r="A64" s="193" t="str">
        <x:v>EXT-MONDE-T059</x:v>
      </x:c>
      <x:c r="B64" s="194" t="str">
        <x:v>Poste électrique régional</x:v>
      </x:c>
      <x:c r="C64" s="196" t="n">
        <x:v>50</x:v>
      </x:c>
      <x:c r="D64" s="196" t="n">
        <x:v>1100</x:v>
      </x:c>
      <x:c r="E64" s="196" t="n">
        <x:v>1100</x:v>
      </x:c>
      <x:c r="F64" s="196" t="n">
        <x:v>3950</x:v>
      </x:c>
      <x:c r="G64" s="196" t="n">
        <x:v>0</x:v>
      </x:c>
      <x:c r="H64" s="196" t="n">
        <x:v>8350</x:v>
      </x:c>
      <x:c r="I64" s="196" t="n">
        <x:v>0</x:v>
      </x:c>
      <x:c r="J64" s="196" t="n">
        <x:v>50</x:v>
      </x:c>
      <x:c r="K64" s="196" t="n">
        <x:v>50</x:v>
      </x:c>
      <x:c r="L64" s="196" t="n">
        <x:v>0</x:v>
      </x:c>
    </x:row>
    <x:row r="65" ht="34" customHeight="1">
      <x:c r="A65" s="193" t="str">
        <x:v>EXT-MONDE-T060</x:v>
      </x:c>
      <x:c r="B65" s="194" t="str">
        <x:v>Champ d’éoliennes</x:v>
      </x:c>
      <x:c r="C65" s="196" t="n">
        <x:v>50</x:v>
      </x:c>
      <x:c r="D65" s="196" t="n">
        <x:v>600</x:v>
      </x:c>
      <x:c r="E65" s="196" t="n">
        <x:v>600</x:v>
      </x:c>
      <x:c r="F65" s="196" t="n">
        <x:v>2200</x:v>
      </x:c>
      <x:c r="G65" s="196" t="n">
        <x:v>0</x:v>
      </x:c>
      <x:c r="H65" s="196" t="n">
        <x:v>4650</x:v>
      </x:c>
      <x:c r="I65" s="196" t="n">
        <x:v>0</x:v>
      </x:c>
      <x:c r="J65" s="196" t="n">
        <x:v>50</x:v>
      </x:c>
      <x:c r="K65" s="196" t="n">
        <x:v>50</x:v>
      </x:c>
      <x:c r="L65" s="196" t="n">
        <x:v>0</x:v>
      </x:c>
    </x:row>
    <x:row r="66" ht="34" customHeight="1">
      <x:c r="A66" s="193" t="str">
        <x:v>EXT-MONDE-T061</x:v>
      </x:c>
      <x:c r="B66" s="194" t="str">
        <x:v>Station d’épuration urbaine</x:v>
      </x:c>
      <x:c r="C66" s="196" t="n">
        <x:v>50</x:v>
      </x:c>
      <x:c r="D66" s="196" t="n">
        <x:v>1100</x:v>
      </x:c>
      <x:c r="E66" s="196" t="n">
        <x:v>1100</x:v>
      </x:c>
      <x:c r="F66" s="196" t="n">
        <x:v>4050</x:v>
      </x:c>
      <x:c r="G66" s="196" t="n">
        <x:v>0</x:v>
      </x:c>
      <x:c r="H66" s="196" t="n">
        <x:v>8350</x:v>
      </x:c>
      <x:c r="I66" s="196" t="n">
        <x:v>0</x:v>
      </x:c>
      <x:c r="J66" s="196" t="n">
        <x:v>50</x:v>
      </x:c>
      <x:c r="K66" s="196" t="n">
        <x:v>50</x:v>
      </x:c>
      <x:c r="L66" s="196" t="n">
        <x:v>0</x:v>
      </x:c>
    </x:row>
    <x:row r="67" ht="34" customHeight="1">
      <x:c r="A67" s="193" t="str">
        <x:v>EXT-MONDE-T062</x:v>
      </x:c>
      <x:c r="B67" s="194" t="str">
        <x:v>Station de lagunage</x:v>
      </x:c>
      <x:c r="C67" s="196" t="n">
        <x:v>50</x:v>
      </x:c>
      <x:c r="D67" s="196" t="n">
        <x:v>1100</x:v>
      </x:c>
      <x:c r="E67" s="196" t="n">
        <x:v>1100</x:v>
      </x:c>
      <x:c r="F67" s="196" t="n">
        <x:v>4000</x:v>
      </x:c>
      <x:c r="G67" s="196" t="n">
        <x:v>0</x:v>
      </x:c>
      <x:c r="H67" s="196" t="n">
        <x:v>8350</x:v>
      </x:c>
      <x:c r="I67" s="196" t="n">
        <x:v>0</x:v>
      </x:c>
      <x:c r="J67" s="196" t="n">
        <x:v>50</x:v>
      </x:c>
      <x:c r="K67" s="196" t="n">
        <x:v>50</x:v>
      </x:c>
      <x:c r="L67" s="196" t="n">
        <x:v>0</x:v>
      </x:c>
    </x:row>
    <x:row r="68" ht="34" customHeight="1">
      <x:c r="A68" s="193" t="str">
        <x:v>EXT-MONDE-T063</x:v>
      </x:c>
      <x:c r="B68" s="194" t="str">
        <x:v>Traitement des eaux industrielles</x:v>
      </x:c>
      <x:c r="C68" s="196" t="n">
        <x:v>50</x:v>
      </x:c>
      <x:c r="D68" s="196" t="n">
        <x:v>1100</x:v>
      </x:c>
      <x:c r="E68" s="196" t="n">
        <x:v>1100</x:v>
      </x:c>
      <x:c r="F68" s="196" t="n">
        <x:v>4050</x:v>
      </x:c>
      <x:c r="G68" s="196" t="n">
        <x:v>0</x:v>
      </x:c>
      <x:c r="H68" s="196" t="n">
        <x:v>8350</x:v>
      </x:c>
      <x:c r="I68" s="196" t="n">
        <x:v>0</x:v>
      </x:c>
      <x:c r="J68" s="196" t="n">
        <x:v>50</x:v>
      </x:c>
      <x:c r="K68" s="196" t="n">
        <x:v>50</x:v>
      </x:c>
      <x:c r="L68" s="196" t="n">
        <x:v>0</x:v>
      </x:c>
    </x:row>
    <x:row r="69" ht="34" customHeight="1">
      <x:c r="A69" s="193" t="str">
        <x:v>EXT-MONDE-T064</x:v>
      </x:c>
      <x:c r="B69" s="194" t="str">
        <x:v>Usine de potabilisation</x:v>
      </x:c>
      <x:c r="C69" s="196" t="n">
        <x:v>50</x:v>
      </x:c>
      <x:c r="D69" s="196" t="n">
        <x:v>1100</x:v>
      </x:c>
      <x:c r="E69" s="196" t="n">
        <x:v>1100</x:v>
      </x:c>
      <x:c r="F69" s="196" t="n">
        <x:v>4050</x:v>
      </x:c>
      <x:c r="G69" s="196" t="n">
        <x:v>0</x:v>
      </x:c>
      <x:c r="H69" s="196" t="n">
        <x:v>8350</x:v>
      </x:c>
      <x:c r="I69" s="196" t="n">
        <x:v>0</x:v>
      </x:c>
      <x:c r="J69" s="196" t="n">
        <x:v>50</x:v>
      </x:c>
      <x:c r="K69" s="196" t="n">
        <x:v>50</x:v>
      </x:c>
      <x:c r="L69" s="196" t="n">
        <x:v>0</x:v>
      </x:c>
    </x:row>
    <x:row r="70" ht="34" customHeight="1">
      <x:c r="A70" s="193" t="str">
        <x:v>EXT-MONDE-T065</x:v>
      </x:c>
      <x:c r="B70" s="194" t="str">
        <x:v>Stade municipal</x:v>
      </x:c>
      <x:c r="C70" s="196" t="n">
        <x:v>50</x:v>
      </x:c>
      <x:c r="D70" s="196" t="n">
        <x:v>2000</x:v>
      </x:c>
      <x:c r="E70" s="196" t="n">
        <x:v>2000</x:v>
      </x:c>
      <x:c r="F70" s="196" t="n">
        <x:v>7250</x:v>
      </x:c>
      <x:c r="G70" s="196" t="n">
        <x:v>0</x:v>
      </x:c>
      <x:c r="H70" s="196" t="n">
        <x:v>15500</x:v>
      </x:c>
      <x:c r="I70" s="196" t="n">
        <x:v>0</x:v>
      </x:c>
      <x:c r="J70" s="196" t="n">
        <x:v>50</x:v>
      </x:c>
      <x:c r="K70" s="196" t="n">
        <x:v>50</x:v>
      </x:c>
      <x:c r="L70" s="196" t="n">
        <x:v>0</x:v>
      </x:c>
    </x:row>
    <x:row r="71" ht="34" customHeight="1">
      <x:c r="A71" s="193" t="str">
        <x:v>EXT-MONDE-T066</x:v>
      </x:c>
      <x:c r="B71" s="194" t="str">
        <x:v>Grand stade couvert</x:v>
      </x:c>
      <x:c r="C71" s="196" t="n">
        <x:v>50</x:v>
      </x:c>
      <x:c r="D71" s="196" t="n">
        <x:v>2000</x:v>
      </x:c>
      <x:c r="E71" s="196" t="n">
        <x:v>2000</x:v>
      </x:c>
      <x:c r="F71" s="196" t="n">
        <x:v>7250</x:v>
      </x:c>
      <x:c r="G71" s="196" t="n">
        <x:v>0</x:v>
      </x:c>
      <x:c r="H71" s="196" t="n">
        <x:v>15500</x:v>
      </x:c>
      <x:c r="I71" s="196" t="n">
        <x:v>0</x:v>
      </x:c>
      <x:c r="J71" s="196" t="n">
        <x:v>50</x:v>
      </x:c>
      <x:c r="K71" s="196" t="n">
        <x:v>50</x:v>
      </x:c>
      <x:c r="L71" s="196" t="n">
        <x:v>0</x:v>
      </x:c>
    </x:row>
    <x:row r="72" ht="34" customHeight="1">
      <x:c r="A72" s="193" t="str">
        <x:v>EXT-MONDE-T067</x:v>
      </x:c>
      <x:c r="B72" s="194" t="str">
        <x:v>Vélodrome</x:v>
      </x:c>
      <x:c r="C72" s="196" t="n">
        <x:v>50</x:v>
      </x:c>
      <x:c r="D72" s="196" t="n">
        <x:v>1600</x:v>
      </x:c>
      <x:c r="E72" s="196" t="n">
        <x:v>1600</x:v>
      </x:c>
      <x:c r="F72" s="196" t="n">
        <x:v>5900</x:v>
      </x:c>
      <x:c r="G72" s="196" t="n">
        <x:v>0</x:v>
      </x:c>
      <x:c r="H72" s="196" t="n">
        <x:v>12400</x:v>
      </x:c>
      <x:c r="I72" s="196" t="n">
        <x:v>0</x:v>
      </x:c>
      <x:c r="J72" s="196" t="n">
        <x:v>50</x:v>
      </x:c>
      <x:c r="K72" s="196" t="n">
        <x:v>50</x:v>
      </x:c>
      <x:c r="L72" s="196" t="n">
        <x:v>0</x:v>
      </x:c>
    </x:row>
    <x:row r="73" ht="34" customHeight="1">
      <x:c r="A73" s="193" t="str">
        <x:v>EXT-MONDE-T068</x:v>
      </x:c>
      <x:c r="B73" s="194" t="str">
        <x:v>Complexe sportif</x:v>
      </x:c>
      <x:c r="C73" s="196" t="n">
        <x:v>50</x:v>
      </x:c>
      <x:c r="D73" s="196" t="n">
        <x:v>1600</x:v>
      </x:c>
      <x:c r="E73" s="196" t="n">
        <x:v>1600</x:v>
      </x:c>
      <x:c r="F73" s="196" t="n">
        <x:v>5800</x:v>
      </x:c>
      <x:c r="G73" s="196" t="n">
        <x:v>0</x:v>
      </x:c>
      <x:c r="H73" s="196" t="n">
        <x:v>12400</x:v>
      </x:c>
      <x:c r="I73" s="196" t="n">
        <x:v>0</x:v>
      </x:c>
      <x:c r="J73" s="196" t="n">
        <x:v>50</x:v>
      </x:c>
      <x:c r="K73" s="196" t="n">
        <x:v>50</x:v>
      </x:c>
      <x:c r="L73" s="196" t="n">
        <x:v>0</x:v>
      </x:c>
    </x:row>
    <x:row r="74" ht="34" customHeight="1">
      <x:c r="A74" s="193" t="str">
        <x:v>EXT-MONDE-T069</x:v>
      </x:c>
      <x:c r="B74" s="194" t="str">
        <x:v>Aérodrome régional</x:v>
      </x:c>
      <x:c r="C74" s="196" t="n">
        <x:v>50</x:v>
      </x:c>
      <x:c r="D74" s="196" t="n">
        <x:v>1800</x:v>
      </x:c>
      <x:c r="E74" s="196" t="n">
        <x:v>1800</x:v>
      </x:c>
      <x:c r="F74" s="196" t="n">
        <x:v>6650</x:v>
      </x:c>
      <x:c r="G74" s="196" t="n">
        <x:v>0</x:v>
      </x:c>
      <x:c r="H74" s="196" t="n">
        <x:v>13250</x:v>
      </x:c>
      <x:c r="I74" s="196" t="n">
        <x:v>0</x:v>
      </x:c>
      <x:c r="J74" s="196" t="n">
        <x:v>50</x:v>
      </x:c>
      <x:c r="K74" s="196" t="n">
        <x:v>50</x:v>
      </x:c>
      <x:c r="L74" s="196" t="n">
        <x:v>0</x:v>
      </x:c>
    </x:row>
    <x:row r="75" ht="34" customHeight="1">
      <x:c r="A75" s="193" t="str">
        <x:v>EXT-MONDE-T070</x:v>
      </x:c>
      <x:c r="B75" s="194" t="str">
        <x:v>Aéroport international</x:v>
      </x:c>
      <x:c r="C75" s="196" t="n">
        <x:v>50</x:v>
      </x:c>
      <x:c r="D75" s="196" t="n">
        <x:v>1800</x:v>
      </x:c>
      <x:c r="E75" s="196" t="n">
        <x:v>1800</x:v>
      </x:c>
      <x:c r="F75" s="196" t="n">
        <x:v>6650</x:v>
      </x:c>
      <x:c r="G75" s="196" t="n">
        <x:v>0</x:v>
      </x:c>
      <x:c r="H75" s="196" t="n">
        <x:v>13250</x:v>
      </x:c>
      <x:c r="I75" s="196" t="n">
        <x:v>0</x:v>
      </x:c>
      <x:c r="J75" s="196" t="n">
        <x:v>50</x:v>
      </x:c>
      <x:c r="K75" s="196" t="n">
        <x:v>50</x:v>
      </x:c>
      <x:c r="L75" s="196" t="n">
        <x:v>0</x:v>
      </x:c>
    </x:row>
    <x:row r="76" ht="34" customHeight="1">
      <x:c r="A76" s="193" t="str">
        <x:v>EXT-MONDE-T071</x:v>
      </x:c>
      <x:c r="B76" s="194" t="str">
        <x:v>Aéroport de fret</x:v>
      </x:c>
      <x:c r="C76" s="196" t="n">
        <x:v>50</x:v>
      </x:c>
      <x:c r="D76" s="196" t="n">
        <x:v>1800</x:v>
      </x:c>
      <x:c r="E76" s="196" t="n">
        <x:v>1800</x:v>
      </x:c>
      <x:c r="F76" s="196" t="n">
        <x:v>6650</x:v>
      </x:c>
      <x:c r="G76" s="196" t="n">
        <x:v>0</x:v>
      </x:c>
      <x:c r="H76" s="196" t="n">
        <x:v>13250</x:v>
      </x:c>
      <x:c r="I76" s="196" t="n">
        <x:v>0</x:v>
      </x:c>
      <x:c r="J76" s="196" t="n">
        <x:v>50</x:v>
      </x:c>
      <x:c r="K76" s="196" t="n">
        <x:v>50</x:v>
      </x:c>
      <x:c r="L76" s="196" t="n">
        <x:v>0</x:v>
      </x:c>
    </x:row>
    <x:row r="77" ht="34" customHeight="1">
      <x:c r="A77" s="193" t="str">
        <x:v>EXT-MONDE-T072</x:v>
      </x:c>
      <x:c r="B77" s="194" t="str">
        <x:v>Aérodrome insulaire</x:v>
      </x:c>
      <x:c r="C77" s="196" t="n">
        <x:v>50</x:v>
      </x:c>
      <x:c r="D77" s="196" t="n">
        <x:v>1800</x:v>
      </x:c>
      <x:c r="E77" s="196" t="n">
        <x:v>1800</x:v>
      </x:c>
      <x:c r="F77" s="196" t="n">
        <x:v>6650</x:v>
      </x:c>
      <x:c r="G77" s="196" t="n">
        <x:v>0</x:v>
      </x:c>
      <x:c r="H77" s="196" t="n">
        <x:v>13250</x:v>
      </x:c>
      <x:c r="I77" s="196" t="n">
        <x:v>0</x:v>
      </x:c>
      <x:c r="J77" s="196" t="n">
        <x:v>50</x:v>
      </x:c>
      <x:c r="K77" s="196" t="n">
        <x:v>50</x:v>
      </x:c>
      <x:c r="L77" s="196" t="n">
        <x:v>0</x:v>
      </x:c>
    </x:row>
    <x:row r="78" ht="34" customHeight="1">
      <x:c r="A78" s="193" t="str">
        <x:v>EXT-MONDE-T073</x:v>
      </x:c>
      <x:c r="B78" s="194" t="str">
        <x:v>Gare de passage</x:v>
      </x:c>
      <x:c r="C78" s="196" t="n">
        <x:v>50</x:v>
      </x:c>
      <x:c r="D78" s="196" t="n">
        <x:v>1800</x:v>
      </x:c>
      <x:c r="E78" s="196" t="n">
        <x:v>1800</x:v>
      </x:c>
      <x:c r="F78" s="196" t="n">
        <x:v>6600</x:v>
      </x:c>
      <x:c r="G78" s="196" t="n">
        <x:v>0</x:v>
      </x:c>
      <x:c r="H78" s="196" t="n">
        <x:v>13250</x:v>
      </x:c>
      <x:c r="I78" s="196" t="n">
        <x:v>0</x:v>
      </x:c>
      <x:c r="J78" s="196" t="n">
        <x:v>50</x:v>
      </x:c>
      <x:c r="K78" s="196" t="n">
        <x:v>50</x:v>
      </x:c>
      <x:c r="L78" s="196" t="n">
        <x:v>0</x:v>
      </x:c>
    </x:row>
    <x:row r="79" ht="34" customHeight="1">
      <x:c r="A79" s="193" t="str">
        <x:v>EXT-MONDE-T074</x:v>
      </x:c>
      <x:c r="B79" s="194" t="str">
        <x:v>Gare terminus</x:v>
      </x:c>
      <x:c r="C79" s="196" t="n">
        <x:v>50</x:v>
      </x:c>
      <x:c r="D79" s="196" t="n">
        <x:v>1800</x:v>
      </x:c>
      <x:c r="E79" s="196" t="n">
        <x:v>1800</x:v>
      </x:c>
      <x:c r="F79" s="196" t="n">
        <x:v>6600</x:v>
      </x:c>
      <x:c r="G79" s="196" t="n">
        <x:v>0</x:v>
      </x:c>
      <x:c r="H79" s="196" t="n">
        <x:v>13250</x:v>
      </x:c>
      <x:c r="I79" s="196" t="n">
        <x:v>0</x:v>
      </x:c>
      <x:c r="J79" s="196" t="n">
        <x:v>50</x:v>
      </x:c>
      <x:c r="K79" s="196" t="n">
        <x:v>50</x:v>
      </x:c>
      <x:c r="L79" s="196" t="n">
        <x:v>0</x:v>
      </x:c>
    </x:row>
    <x:row r="80" ht="34" customHeight="1">
      <x:c r="A80" s="193" t="str">
        <x:v>EXT-MONDE-T075</x:v>
      </x:c>
      <x:c r="B80" s="194" t="str">
        <x:v>Gare de triage</x:v>
      </x:c>
      <x:c r="C80" s="196" t="n">
        <x:v>50</x:v>
      </x:c>
      <x:c r="D80" s="196" t="n">
        <x:v>1800</x:v>
      </x:c>
      <x:c r="E80" s="196" t="n">
        <x:v>1800</x:v>
      </x:c>
      <x:c r="F80" s="196" t="n">
        <x:v>6600</x:v>
      </x:c>
      <x:c r="G80" s="196" t="n">
        <x:v>0</x:v>
      </x:c>
      <x:c r="H80" s="196" t="n">
        <x:v>13250</x:v>
      </x:c>
      <x:c r="I80" s="196" t="n">
        <x:v>0</x:v>
      </x:c>
      <x:c r="J80" s="196" t="n">
        <x:v>50</x:v>
      </x:c>
      <x:c r="K80" s="196" t="n">
        <x:v>50</x:v>
      </x:c>
      <x:c r="L80" s="196" t="n">
        <x:v>0</x:v>
      </x:c>
    </x:row>
    <x:row r="81" ht="34" customHeight="1">
      <x:c r="A81" s="193" t="str">
        <x:v>EXT-MONDE-T076</x:v>
      </x:c>
      <x:c r="B81" s="194" t="str">
        <x:v>Dépôt ferroviaire</x:v>
      </x:c>
      <x:c r="C81" s="196" t="n">
        <x:v>50</x:v>
      </x:c>
      <x:c r="D81" s="196" t="n">
        <x:v>1800</x:v>
      </x:c>
      <x:c r="E81" s="196" t="n">
        <x:v>1800</x:v>
      </x:c>
      <x:c r="F81" s="196" t="n">
        <x:v>6600</x:v>
      </x:c>
      <x:c r="G81" s="196" t="n">
        <x:v>0</x:v>
      </x:c>
      <x:c r="H81" s="196" t="n">
        <x:v>13250</x:v>
      </x:c>
      <x:c r="I81" s="196" t="n">
        <x:v>0</x:v>
      </x:c>
      <x:c r="J81" s="196" t="n">
        <x:v>50</x:v>
      </x:c>
      <x:c r="K81" s="196" t="n">
        <x:v>50</x:v>
      </x:c>
      <x:c r="L81" s="196" t="n">
        <x:v>0</x:v>
      </x:c>
    </x:row>
    <x:row r="82" ht="34" customHeight="1">
      <x:c r="A82" s="193" t="str">
        <x:v>EXT-MONDE-T077</x:v>
      </x:c>
      <x:c r="B82" s="194" t="str">
        <x:v>Îlot de phare</x:v>
      </x:c>
      <x:c r="C82" s="196" t="n">
        <x:v>50</x:v>
      </x:c>
      <x:c r="D82" s="196" t="n">
        <x:v>1600</x:v>
      </x:c>
      <x:c r="E82" s="196" t="n">
        <x:v>1600</x:v>
      </x:c>
      <x:c r="F82" s="196" t="n">
        <x:v>6050</x:v>
      </x:c>
      <x:c r="G82" s="196" t="n">
        <x:v>0</x:v>
      </x:c>
      <x:c r="H82" s="196" t="n">
        <x:v>12400</x:v>
      </x:c>
      <x:c r="I82" s="196" t="n">
        <x:v>0</x:v>
      </x:c>
      <x:c r="J82" s="196" t="n">
        <x:v>50</x:v>
      </x:c>
      <x:c r="K82" s="196" t="n">
        <x:v>50</x:v>
      </x:c>
      <x:c r="L82" s="196" t="n">
        <x:v>0</x:v>
      </x:c>
    </x:row>
    <x:row r="83" ht="34" customHeight="1">
      <x:c r="A83" s="193" t="str">
        <x:v>EXT-MONDE-T078</x:v>
      </x:c>
      <x:c r="B83" s="194" t="str">
        <x:v>Île agricole habitée</x:v>
      </x:c>
      <x:c r="C83" s="196" t="n">
        <x:v>50</x:v>
      </x:c>
      <x:c r="D83" s="196" t="n">
        <x:v>1600</x:v>
      </x:c>
      <x:c r="E83" s="196" t="n">
        <x:v>1600</x:v>
      </x:c>
      <x:c r="F83" s="196" t="n">
        <x:v>6100</x:v>
      </x:c>
      <x:c r="G83" s="196" t="n">
        <x:v>0</x:v>
      </x:c>
      <x:c r="H83" s="196" t="n">
        <x:v>12400</x:v>
      </x:c>
      <x:c r="I83" s="196" t="n">
        <x:v>0</x:v>
      </x:c>
      <x:c r="J83" s="196" t="n">
        <x:v>50</x:v>
      </x:c>
      <x:c r="K83" s="196" t="n">
        <x:v>50</x:v>
      </x:c>
      <x:c r="L83" s="196" t="n">
        <x:v>0</x:v>
      </x:c>
    </x:row>
    <x:row r="84" ht="34" customHeight="1">
      <x:c r="A84" s="193" t="str">
        <x:v>EXT-MONDE-T079</x:v>
      </x:c>
      <x:c r="B84" s="194" t="str">
        <x:v>Île portuaire industrielle</x:v>
      </x:c>
      <x:c r="C84" s="196" t="n">
        <x:v>50</x:v>
      </x:c>
      <x:c r="D84" s="196" t="n">
        <x:v>1700</x:v>
      </x:c>
      <x:c r="E84" s="196" t="n">
        <x:v>1700</x:v>
      </x:c>
      <x:c r="F84" s="196" t="n">
        <x:v>6350</x:v>
      </x:c>
      <x:c r="G84" s="196" t="n">
        <x:v>0</x:v>
      </x:c>
      <x:c r="H84" s="196" t="n">
        <x:v>13000</x:v>
      </x:c>
      <x:c r="I84" s="196" t="n">
        <x:v>0</x:v>
      </x:c>
      <x:c r="J84" s="196" t="n">
        <x:v>50</x:v>
      </x:c>
      <x:c r="K84" s="196" t="n">
        <x:v>50</x:v>
      </x:c>
      <x:c r="L84" s="196" t="n">
        <x:v>0</x:v>
      </x:c>
    </x:row>
    <x:row r="85" ht="34" customHeight="1">
      <x:c r="A85" s="193" t="str">
        <x:v>EXT-MONDE-T080</x:v>
      </x:c>
      <x:c r="B85" s="194" t="str">
        <x:v>Grande île mixte</x:v>
      </x:c>
      <x:c r="C85" s="196" t="n">
        <x:v>50</x:v>
      </x:c>
      <x:c r="D85" s="196" t="n">
        <x:v>1600</x:v>
      </x:c>
      <x:c r="E85" s="196" t="n">
        <x:v>1600</x:v>
      </x:c>
      <x:c r="F85" s="196" t="n">
        <x:v>5900</x:v>
      </x:c>
      <x:c r="G85" s="196" t="n">
        <x:v>0</x:v>
      </x:c>
      <x:c r="H85" s="196" t="n">
        <x:v>12400</x:v>
      </x:c>
      <x:c r="I85" s="196" t="n">
        <x:v>0</x:v>
      </x:c>
      <x:c r="J85" s="196" t="n">
        <x:v>50</x:v>
      </x:c>
      <x:c r="K85" s="196" t="n">
        <x:v>50</x:v>
      </x:c>
      <x:c r="L85" s="196" t="n">
        <x:v>0</x:v>
      </x:c>
    </x:row>
    <x:row r="86" ht="30" customHeight="1">
      <x:c r="A86" s="195" t="str">
        <x:v>TOTAL DU RAPPORT</x:v>
      </x:c>
      <x:c r="B86" s="195"/>
      <x:c r="C86" s="198" t="n">
        <x:f>SUM(C6:C85)</x:f>
        <x:v>4000</x:v>
      </x:c>
      <x:c r="D86" s="198" t="n">
        <x:f>SUM(D6:D85)</x:f>
        <x:v>162460</x:v>
      </x:c>
      <x:c r="E86" s="198" t="n">
        <x:f>SUM(E6:E85)</x:f>
        <x:v>162460</x:v>
      </x:c>
      <x:c r="F86" s="198" t="n">
        <x:f>SUM(F6:F85)</x:f>
        <x:v>583708</x:v>
      </x:c>
      <x:c r="G86" s="198" t="n">
        <x:f>SUM(G6:G85)</x:f>
        <x:v>4670</x:v>
      </x:c>
      <x:c r="H86" s="198" t="n">
        <x:f>SUM(H6:H85)</x:f>
        <x:v>1228255</x:v>
      </x:c>
      <x:c r="I86" s="198" t="n">
        <x:f>SUM(I6:I85)</x:f>
        <x:v>3380</x:v>
      </x:c>
      <x:c r="J86" s="198" t="n">
        <x:f>SUM(J6:J85)</x:f>
        <x:v>6530</x:v>
      </x:c>
      <x:c r="K86" s="198" t="n">
        <x:f>SUM(K6:K85)</x:f>
        <x:v>4000</x:v>
      </x:c>
      <x:c r="L86" s="198" t="n">
        <x:f>SUM(L6:L85)</x:f>
        <x:v>0</x:v>
      </x:c>
    </x:row>
    <x:row r="88" ht="30" customHeight="1">
      <x:c r="A88" s="200" t="str">
        <x:v>PÉRIMÈTRE ET TRAVAUX RESTANTS</x:v>
      </x:c>
      <x:c r="B88" s="200"/>
      <x:c r="C88" s="200"/>
      <x:c r="D88" s="200"/>
      <x:c r="E88" s="200"/>
      <x:c r="F88" s="200"/>
      <x:c r="G88" s="200"/>
      <x:c r="H88" s="200"/>
      <x:c r="I88" s="200"/>
      <x:c r="J88" s="200"/>
      <x:c r="K88" s="200"/>
      <x:c r="L88" s="200"/>
    </x:row>
    <x:row r="89" ht="22" customHeight="1">
      <x:c r="A89" s="201" t="str">
        <x:v>Les poses refusées restent visibles dans ce suivi. Les volumes réservés non construits, le raccord au monde, le butin, les rencontres et les services de campagne restent à terminer.</x:v>
      </x:c>
      <x:c r="B89" s="201"/>
      <x:c r="C89" s="201"/>
      <x:c r="D89" s="201"/>
      <x:c r="E89" s="201"/>
      <x:c r="F89" s="201"/>
      <x:c r="G89" s="201"/>
      <x:c r="H89" s="201"/>
      <x:c r="I89" s="201"/>
      <x:c r="J89" s="201"/>
      <x:c r="K89" s="201"/>
      <x:c r="L89" s="201"/>
    </x:row>
    <x:row r="90" ht="22" customHeight="1">
      <x:c r="A90" s="201"/>
      <x:c r="B90" s="201"/>
      <x:c r="C90" s="201"/>
      <x:c r="D90" s="201"/>
      <x:c r="E90" s="201"/>
      <x:c r="F90" s="201"/>
      <x:c r="G90" s="201"/>
      <x:c r="H90" s="201"/>
      <x:c r="I90" s="201"/>
      <x:c r="J90" s="201"/>
      <x:c r="K90" s="201"/>
      <x:c r="L90" s="201"/>
    </x:row>
    <x:row r="92" ht="28" customHeight="1">
      <x:c r="A92" s="139" t="str">
        <x:v>Rapport détaillé</x:v>
      </x:c>
      <x:c r="B92" s="139"/>
      <x:c r="C92" s="143" t="str">
        <x:v>https://github.com/darknigthmare/deadwall-last-enclosure/blob/f0ef5a2036d4876ae8f4d4477676da968a032d01/docs/codex/suivi-monde2026/inspection-20261023.json</x:v>
      </x:c>
      <x:c r="D92" s="143"/>
      <x:c r="E92" s="143"/>
      <x:c r="F92" s="143"/>
      <x:c r="G92" s="143"/>
      <x:c r="H92" s="143"/>
      <x:c r="I92" s="143"/>
      <x:c r="J92" s="143"/>
      <x:c r="K92" s="143"/>
      <x:c r="L92" s="143"/>
    </x:row>
    <x:row r="93" ht="28" customHeight="1">
      <x:c r="A93" s="139" t="str">
        <x:v>Critères et limites</x:v>
      </x:c>
      <x:c r="B93" s="139"/>
      <x:c r="C93" s="143" t="str">
        <x:v>https://github.com/darknigthmare/deadwall-last-enclosure/blob/f0ef5a2036d4876ae8f4d4477676da968a032d01/docs/codex/suivi-monde2026/INSPECTION_PHYSIQUE_2026.md</x:v>
      </x:c>
      <x:c r="D93" s="143"/>
      <x:c r="E93" s="143"/>
      <x:c r="F93" s="143"/>
      <x:c r="G93" s="143"/>
      <x:c r="H93" s="143"/>
      <x:c r="I93" s="143"/>
      <x:c r="J93" s="143"/>
      <x:c r="K93" s="143"/>
      <x:c r="L93" s="143"/>
    </x:row>
    <x:row r="94" ht="28" customHeight="1">
      <x:c r="A94" s="139" t="str">
        <x:v>Empreinte des plans</x:v>
      </x:c>
      <x:c r="B94" s="139"/>
      <x:c r="C94" s="139" t="str">
        <x:v>37652419da723adc414909f4d65d2c9e07f94a7685dfaf0ae34a9c3b9cc69cb2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</x:row>
    <x:row r="95" ht="28" customHeight="1">
      <x:c r="A95" s="139" t="str">
        <x:v>Provenance</x:v>
      </x:c>
      <x:c r="B95" s="139"/>
      <x:c r="C95" s="139" t="str">
        <x:v>29 fichiers contrôlés par taille et SHA-256 avant export.</x:v>
      </x:c>
      <x:c r="D95" s="139"/>
      <x:c r="E95" s="139"/>
      <x:c r="F95" s="139"/>
      <x:c r="G95" s="139"/>
      <x:c r="H95" s="139"/>
      <x:c r="I95" s="139"/>
      <x:c r="J95" s="139"/>
      <x:c r="K95" s="139"/>
      <x:c r="L95" s="139"/>
    </x:row>
    <x:row r="96" ht="28" customHeight="1">
      <x:c r="A96" s="139" t="str">
        <x:v>Stocks / services</x:v>
      </x:c>
      <x:c r="B96" s="139"/>
      <x:c r="C96" s="139" t="str">
        <x:v>Conteneurs de butin créés : 0. Services de campagne raccordés : 0.</x:v>
      </x:c>
      <x:c r="D96" s="139"/>
      <x:c r="E96" s="139"/>
      <x:c r="F96" s="139"/>
      <x:c r="G96" s="139"/>
      <x:c r="H96" s="139"/>
      <x:c r="I96" s="139"/>
      <x:c r="J96" s="139"/>
      <x:c r="K96" s="139"/>
      <x:c r="L96" s="139"/>
    </x:row>
    <x:row r="97" ht="28" customHeight="1">
      <x:c r="A97" s="139" t="str">
        <x:v>Empreinte du rapport</x:v>
      </x:c>
      <x:c r="B97" s="139"/>
      <x:c r="C97" s="139" t="str">
        <x:v>c671887ef1bab08224073868e9f1da563bce562cfbe7400289e7a7fe316b37d7</x:v>
      </x:c>
      <x:c r="D97" s="139"/>
      <x:c r="E97" s="139"/>
      <x:c r="F97" s="139"/>
      <x:c r="G97" s="139"/>
      <x:c r="H97" s="139"/>
      <x:c r="I97" s="139"/>
      <x:c r="J97" s="139"/>
      <x:c r="K97" s="139"/>
      <x:c r="L97" s="139"/>
    </x:row>
  </x:sheetData>
  <x:mergeCells>
    <x:mergeCell ref="A1:L2"/>
    <x:mergeCell ref="A3:L3"/>
    <x:mergeCell ref="A86:B86"/>
    <x:mergeCell ref="A88:L88"/>
    <x:mergeCell ref="A89:L90"/>
    <x:mergeCell ref="A92:B92"/>
    <x:mergeCell ref="C92:L92"/>
    <x:mergeCell ref="A93:B93"/>
    <x:mergeCell ref="C93:L93"/>
    <x:mergeCell ref="A94:B94"/>
    <x:mergeCell ref="C94:L94"/>
    <x:mergeCell ref="A95:B95"/>
    <x:mergeCell ref="C95:L95"/>
    <x:mergeCell ref="A96:B96"/>
    <x:mergeCell ref="C96:L96"/>
    <x:mergeCell ref="A97:B97"/>
    <x:mergeCell ref="C97:L97"/>
  </x:mergeCells>
  <x:pageMargins left="0.7" right="0.7" top="0.75" bottom="0.75" header="0.3" footer="0.3"/>
  <x:tableParts count="1">
    <x:tablePart xmlns:r="http://schemas.openxmlformats.org/officeDocument/2006/relationships" r:id="R3310f8ef9fb04088"/>
  </x:tableParts>
</x:worksheet>
</file>